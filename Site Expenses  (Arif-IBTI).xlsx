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BTEHAJ WORK\Data Analyst - Learning &amp; Practice File\GitHub Data\"/>
    </mc:Choice>
  </mc:AlternateContent>
  <bookViews>
    <workbookView xWindow="0" yWindow="0" windowWidth="15600" windowHeight="7752" tabRatio="851" firstSheet="1" activeTab="1"/>
  </bookViews>
  <sheets>
    <sheet name="Sheet1" sheetId="1" state="hidden" r:id="rId1"/>
    <sheet name="Zada" sheetId="19" r:id="rId2"/>
    <sheet name="Summary (Zada)" sheetId="24" r:id="rId3"/>
    <sheet name="Arif" sheetId="20" r:id="rId4"/>
    <sheet name="Summary (Arif)" sheetId="25" r:id="rId5"/>
    <sheet name="Basic Data" sheetId="2" r:id="rId6"/>
    <sheet name="Arif Acc" sheetId="3" r:id="rId7"/>
    <sheet name="Zada Acc" sheetId="4" r:id="rId8"/>
    <sheet name="Total Receipt -Payment" sheetId="5" r:id="rId9"/>
    <sheet name="Zada R_P" sheetId="7" state="hidden" r:id="rId10"/>
    <sheet name="Arif R-P" sheetId="8" state="hidden" r:id="rId11"/>
  </sheets>
  <definedNames>
    <definedName name="_xlnm._FilterDatabase" localSheetId="6" hidden="1">'Arif Acc'!$A$3:$F$1102</definedName>
    <definedName name="_xlnm._FilterDatabase" localSheetId="10" hidden="1">'Arif R-P'!$A$4:$D$911</definedName>
    <definedName name="_xlnm._FilterDatabase" localSheetId="5" hidden="1">'Basic Data'!$A$3:$G$1586</definedName>
    <definedName name="_xlnm._FilterDatabase" localSheetId="0" hidden="1">Sheet1!$A$4:$F$1072</definedName>
    <definedName name="_xlnm._FilterDatabase" localSheetId="7" hidden="1">'Zada Acc'!$A$3:$F$222</definedName>
    <definedName name="_xlnm._FilterDatabase" localSheetId="9" hidden="1">'Zada R_P'!$A$4:$E$158</definedName>
    <definedName name="_xlnm.Print_Area" localSheetId="6">'Arif Acc'!$A$1:$F$1358</definedName>
    <definedName name="_xlnm.Print_Area" localSheetId="5">'Basic Data'!$A$1:$G$1590</definedName>
    <definedName name="_xlnm.Print_Area" localSheetId="0">Sheet1!$A$1:$F$873</definedName>
    <definedName name="_xlnm.Print_Area" localSheetId="7">'Zada Acc'!$A$1:$F$224</definedName>
    <definedName name="_xlnm.Print_Area" localSheetId="9">'Zada R_P'!$A$1:$E$161</definedName>
    <definedName name="_xlnm.Print_Titles" localSheetId="5">'Basic Data'!$1:$3</definedName>
    <definedName name="_xlnm.Print_Titles" localSheetId="0">Sheet1!$1:$4</definedName>
    <definedName name="_xlnm.Print_Titles" localSheetId="9">'Zada R_P'!$1:$4</definedName>
    <definedName name="Z_80F19098_3ACC_4F0A_B214_68DF3421AAAA_.wvu.Cols" localSheetId="0" hidden="1">Sheet1!$C:$C</definedName>
    <definedName name="Z_80F19098_3ACC_4F0A_B214_68DF3421AAAA_.wvu.FilterData" localSheetId="6" hidden="1">'Arif Acc'!$A$3:$D$937</definedName>
    <definedName name="Z_80F19098_3ACC_4F0A_B214_68DF3421AAAA_.wvu.FilterData" localSheetId="10" hidden="1">'Arif R-P'!$A$4:$D$911</definedName>
    <definedName name="Z_80F19098_3ACC_4F0A_B214_68DF3421AAAA_.wvu.FilterData" localSheetId="5" hidden="1">'Basic Data'!$A$3:$G$1175</definedName>
    <definedName name="Z_80F19098_3ACC_4F0A_B214_68DF3421AAAA_.wvu.FilterData" localSheetId="0" hidden="1">Sheet1!$A$4:$F$1072</definedName>
    <definedName name="Z_80F19098_3ACC_4F0A_B214_68DF3421AAAA_.wvu.FilterData" localSheetId="7" hidden="1">'Zada Acc'!$A$3:$D$203</definedName>
    <definedName name="Z_80F19098_3ACC_4F0A_B214_68DF3421AAAA_.wvu.FilterData" localSheetId="9" hidden="1">'Zada R_P'!$A$4:$E$158</definedName>
    <definedName name="Z_80F19098_3ACC_4F0A_B214_68DF3421AAAA_.wvu.PrintArea" localSheetId="5" hidden="1">'Basic Data'!$A$1:$G$1176</definedName>
    <definedName name="Z_80F19098_3ACC_4F0A_B214_68DF3421AAAA_.wvu.PrintArea" localSheetId="0" hidden="1">Sheet1!$A$1:$F$873</definedName>
    <definedName name="Z_80F19098_3ACC_4F0A_B214_68DF3421AAAA_.wvu.PrintArea" localSheetId="9" hidden="1">'Zada R_P'!$A$1:$E$161</definedName>
    <definedName name="Z_80F19098_3ACC_4F0A_B214_68DF3421AAAA_.wvu.PrintTitles" localSheetId="5" hidden="1">'Basic Data'!$1:$3</definedName>
    <definedName name="Z_80F19098_3ACC_4F0A_B214_68DF3421AAAA_.wvu.PrintTitles" localSheetId="0" hidden="1">Sheet1!$1:$4</definedName>
    <definedName name="Z_80F19098_3ACC_4F0A_B214_68DF3421AAAA_.wvu.PrintTitles" localSheetId="9" hidden="1">'Zada R_P'!$1:$4</definedName>
  </definedNames>
  <calcPr calcId="162913"/>
  <customWorkbookViews>
    <customWorkbookView name="Kamran Fasih - Personal View" guid="{80F19098-3ACC-4F0A-B214-68DF3421AAAA}" mergeInterval="0" personalView="1" maximized="1" xWindow="-8" yWindow="-8" windowWidth="1382" windowHeight="744" tabRatio="876" activeSheetId="2"/>
  </customWorkbookViews>
  <pivotCaches>
    <pivotCache cacheId="2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61" i="3" l="1"/>
  <c r="E1360" i="3"/>
  <c r="F1360" i="3"/>
  <c r="C20" i="25" l="1"/>
  <c r="B20" i="25" l="1"/>
  <c r="B17" i="24" l="1"/>
  <c r="C17" i="24"/>
  <c r="B18" i="24" s="1"/>
  <c r="F223" i="4" l="1"/>
  <c r="B21" i="25" l="1"/>
  <c r="E223" i="4" l="1"/>
  <c r="E224" i="4" s="1"/>
  <c r="G193" i="2" l="1"/>
  <c r="G192" i="2"/>
  <c r="G154" i="2"/>
  <c r="G98" i="2"/>
  <c r="G1" i="2" l="1"/>
  <c r="G2" i="2"/>
  <c r="E913" i="8"/>
  <c r="E914" i="8" s="1"/>
  <c r="D913" i="8"/>
  <c r="F1078" i="1" l="1"/>
  <c r="E160" i="7"/>
  <c r="D160" i="7"/>
  <c r="E161" i="7" l="1"/>
</calcChain>
</file>

<file path=xl/sharedStrings.xml><?xml version="1.0" encoding="utf-8"?>
<sst xmlns="http://schemas.openxmlformats.org/spreadsheetml/2006/main" count="14926" uniqueCount="1845">
  <si>
    <t>MAYMAR SITE EXPANSES</t>
  </si>
  <si>
    <t>S.#</t>
  </si>
  <si>
    <t>Date</t>
  </si>
  <si>
    <t>Description</t>
  </si>
  <si>
    <t>Meethai (Sweets)</t>
  </si>
  <si>
    <t>Amount Received</t>
  </si>
  <si>
    <t>Liaqat (Contractor)</t>
  </si>
  <si>
    <t>Nawaz (Labour)</t>
  </si>
  <si>
    <t>Billal (Masson)</t>
  </si>
  <si>
    <t>Masood (Labour)</t>
  </si>
  <si>
    <t>Amman-Ullah (Labour)</t>
  </si>
  <si>
    <t>Rehmat (Labour)</t>
  </si>
  <si>
    <t>Farooq (Labour)</t>
  </si>
  <si>
    <r>
      <t xml:space="preserve">Gull Nawaz (Pouring)             </t>
    </r>
    <r>
      <rPr>
        <sz val="9"/>
        <color theme="1"/>
        <rFont val="Calibri"/>
        <family val="2"/>
        <scheme val="minor"/>
      </rPr>
      <t>Basement Slab</t>
    </r>
  </si>
  <si>
    <t>Site Material</t>
  </si>
  <si>
    <t>Loader</t>
  </si>
  <si>
    <r>
      <t xml:space="preserve">Redoxide </t>
    </r>
    <r>
      <rPr>
        <sz val="10"/>
        <color theme="1"/>
        <rFont val="Calibri"/>
        <family val="2"/>
        <scheme val="minor"/>
      </rPr>
      <t>(for layout)</t>
    </r>
  </si>
  <si>
    <r>
      <t xml:space="preserve">Papu (Pouring)                              </t>
    </r>
    <r>
      <rPr>
        <sz val="9"/>
        <color theme="1"/>
        <rFont val="Calibri"/>
        <family val="2"/>
        <scheme val="minor"/>
      </rPr>
      <t>1st.F</t>
    </r>
    <r>
      <rPr>
        <sz val="11"/>
        <color theme="1"/>
        <rFont val="Calibri"/>
        <family val="2"/>
        <scheme val="minor"/>
      </rPr>
      <t>.</t>
    </r>
    <r>
      <rPr>
        <sz val="9"/>
        <color theme="1"/>
        <rFont val="Calibri"/>
        <family val="2"/>
        <scheme val="minor"/>
      </rPr>
      <t>Column</t>
    </r>
  </si>
  <si>
    <r>
      <t xml:space="preserve">Ibraheem (Shuttring)                       </t>
    </r>
    <r>
      <rPr>
        <sz val="9"/>
        <color theme="1"/>
        <rFont val="Calibri"/>
        <family val="2"/>
        <scheme val="minor"/>
      </rPr>
      <t>CASH</t>
    </r>
  </si>
  <si>
    <r>
      <t xml:space="preserve">Papu (Pouring)                               </t>
    </r>
    <r>
      <rPr>
        <sz val="9"/>
        <color theme="1"/>
        <rFont val="Calibri"/>
        <family val="2"/>
        <scheme val="minor"/>
      </rPr>
      <t>Short Coll.</t>
    </r>
  </si>
  <si>
    <r>
      <t xml:space="preserve">Mushtaaq (Shuttring)                       </t>
    </r>
    <r>
      <rPr>
        <sz val="9"/>
        <color theme="1"/>
        <rFont val="Calibri"/>
        <family val="2"/>
        <scheme val="minor"/>
      </rPr>
      <t>CASH</t>
    </r>
  </si>
  <si>
    <t>Namoos (Masson)</t>
  </si>
  <si>
    <r>
      <t xml:space="preserve">Asif Bhai                          </t>
    </r>
    <r>
      <rPr>
        <sz val="9"/>
        <color theme="1"/>
        <rFont val="Calibri"/>
        <family val="2"/>
        <scheme val="minor"/>
      </rPr>
      <t>Month July-18 Payment</t>
    </r>
  </si>
  <si>
    <r>
      <t xml:space="preserve">Ibraheem (Shuttring)         </t>
    </r>
    <r>
      <rPr>
        <sz val="9"/>
        <color theme="1"/>
        <rFont val="Calibri"/>
        <family val="2"/>
        <scheme val="minor"/>
      </rPr>
      <t>HBL Chq.00000036</t>
    </r>
  </si>
  <si>
    <r>
      <t xml:space="preserve">Nawaz (Labour)                             </t>
    </r>
    <r>
      <rPr>
        <sz val="9"/>
        <color theme="1"/>
        <rFont val="Calibri"/>
        <family val="2"/>
        <scheme val="minor"/>
      </rPr>
      <t>Month July</t>
    </r>
  </si>
  <si>
    <r>
      <t xml:space="preserve">Chacha (Labour)                            </t>
    </r>
    <r>
      <rPr>
        <sz val="9"/>
        <color theme="1"/>
        <rFont val="Calibri"/>
        <family val="2"/>
        <scheme val="minor"/>
      </rPr>
      <t>Month July</t>
    </r>
  </si>
  <si>
    <t>Kashif (Steel)</t>
  </si>
  <si>
    <r>
      <t xml:space="preserve">Ibraheem (Shuttring)    </t>
    </r>
    <r>
      <rPr>
        <sz val="9"/>
        <color theme="1"/>
        <rFont val="Calibri"/>
        <family val="2"/>
        <scheme val="minor"/>
      </rPr>
      <t>HBL Chq. Agnst Matrl</t>
    </r>
  </si>
  <si>
    <t xml:space="preserve">Chacha (Labour)                        </t>
  </si>
  <si>
    <t>Haqq Nawaz (Labour)</t>
  </si>
  <si>
    <t>Safdar (Labour)</t>
  </si>
  <si>
    <r>
      <t xml:space="preserve">Nawab Zada </t>
    </r>
    <r>
      <rPr>
        <sz val="9"/>
        <color theme="1"/>
        <rFont val="Calibri"/>
        <family val="2"/>
        <scheme val="minor"/>
      </rPr>
      <t>(Chunai Plaster)</t>
    </r>
  </si>
  <si>
    <t>Ibraheem (Shuttring)</t>
  </si>
  <si>
    <r>
      <t xml:space="preserve">Asif Bhai                    </t>
    </r>
    <r>
      <rPr>
        <sz val="9"/>
        <color theme="1"/>
        <rFont val="Calibri"/>
        <family val="2"/>
        <scheme val="minor"/>
      </rPr>
      <t>Payment Month Aug-18</t>
    </r>
  </si>
  <si>
    <t>Raasi</t>
  </si>
  <si>
    <t>Trolly Tyre Puncture</t>
  </si>
  <si>
    <r>
      <t xml:space="preserve">Amount Received </t>
    </r>
    <r>
      <rPr>
        <sz val="10"/>
        <color theme="1"/>
        <rFont val="Calibri"/>
        <family val="2"/>
        <scheme val="minor"/>
      </rPr>
      <t>(Asif received from Ahmed)</t>
    </r>
  </si>
  <si>
    <r>
      <t xml:space="preserve">Shah Waris Khan </t>
    </r>
    <r>
      <rPr>
        <sz val="10"/>
        <color theme="1"/>
        <rFont val="Calibri"/>
        <family val="2"/>
        <scheme val="minor"/>
      </rPr>
      <t>(Shuttring)</t>
    </r>
  </si>
  <si>
    <r>
      <t xml:space="preserve">Gullzar </t>
    </r>
    <r>
      <rPr>
        <sz val="10"/>
        <color theme="1"/>
        <rFont val="Calibri"/>
        <family val="2"/>
        <scheme val="minor"/>
      </rPr>
      <t>(Cutting Labour)</t>
    </r>
  </si>
  <si>
    <r>
      <t xml:space="preserve">Amount Received </t>
    </r>
    <r>
      <rPr>
        <sz val="10"/>
        <color theme="1"/>
        <rFont val="Calibri"/>
        <family val="2"/>
        <scheme val="minor"/>
      </rPr>
      <t>(Asif c/o Arif Sb from Ahmed)</t>
    </r>
  </si>
  <si>
    <r>
      <t xml:space="preserve">Liaqat (Contractor)         </t>
    </r>
    <r>
      <rPr>
        <sz val="8"/>
        <color theme="1"/>
        <rFont val="Calibri"/>
        <family val="2"/>
        <scheme val="minor"/>
      </rPr>
      <t>HBL Chq: 00000046</t>
    </r>
  </si>
  <si>
    <t>Cartage for Pranch from Malir Cant.</t>
  </si>
  <si>
    <t>Tea for labour</t>
  </si>
  <si>
    <r>
      <t xml:space="preserve">Asif Bhai      </t>
    </r>
    <r>
      <rPr>
        <sz val="9"/>
        <color theme="1"/>
        <rFont val="Calibri"/>
        <family val="2"/>
        <scheme val="minor"/>
      </rPr>
      <t>HBL Chq:0048,Month Sep-18 Payment</t>
    </r>
  </si>
  <si>
    <r>
      <t xml:space="preserve">Masood </t>
    </r>
    <r>
      <rPr>
        <sz val="10"/>
        <color theme="1"/>
        <rFont val="Calibri"/>
        <family val="2"/>
        <scheme val="minor"/>
      </rPr>
      <t>(Labour)</t>
    </r>
    <r>
      <rPr>
        <sz val="11"/>
        <color theme="1"/>
        <rFont val="Calibri"/>
        <family val="2"/>
        <scheme val="minor"/>
      </rPr>
      <t xml:space="preserve">         </t>
    </r>
    <r>
      <rPr>
        <sz val="9"/>
        <color theme="1"/>
        <rFont val="Calibri"/>
        <family val="2"/>
        <scheme val="minor"/>
      </rPr>
      <t>Month Aug-Sep-18 Pymt</t>
    </r>
  </si>
  <si>
    <r>
      <t xml:space="preserve">Balchaa </t>
    </r>
    <r>
      <rPr>
        <sz val="10"/>
        <color theme="1"/>
        <rFont val="Calibri"/>
        <family val="2"/>
        <scheme val="minor"/>
      </rPr>
      <t>(For Site)</t>
    </r>
  </si>
  <si>
    <r>
      <t xml:space="preserve">Taagari </t>
    </r>
    <r>
      <rPr>
        <sz val="10"/>
        <color theme="1"/>
        <rFont val="Calibri"/>
        <family val="2"/>
        <scheme val="minor"/>
      </rPr>
      <t>(For Site)</t>
    </r>
  </si>
  <si>
    <t>Trolly Tools</t>
  </si>
  <si>
    <r>
      <t xml:space="preserve">Nawaz (Labour)           </t>
    </r>
    <r>
      <rPr>
        <sz val="9"/>
        <color theme="1"/>
        <rFont val="Calibri"/>
        <family val="2"/>
        <scheme val="minor"/>
      </rPr>
      <t>Month Sep-18 Payment</t>
    </r>
  </si>
  <si>
    <t>Trolly Tube</t>
  </si>
  <si>
    <t>Waterproofing Chemical</t>
  </si>
  <si>
    <r>
      <t xml:space="preserve">Nawab Zada </t>
    </r>
    <r>
      <rPr>
        <sz val="9"/>
        <color theme="1"/>
        <rFont val="Calibri"/>
        <family val="2"/>
        <scheme val="minor"/>
      </rPr>
      <t xml:space="preserve">(Chunai Plaster) </t>
    </r>
    <r>
      <rPr>
        <sz val="8"/>
        <color theme="1"/>
        <rFont val="Calibri"/>
        <family val="2"/>
        <scheme val="minor"/>
      </rPr>
      <t>HMP 81431080</t>
    </r>
  </si>
  <si>
    <r>
      <t xml:space="preserve">Ismail </t>
    </r>
    <r>
      <rPr>
        <sz val="10"/>
        <color theme="1"/>
        <rFont val="Calibri"/>
        <family val="2"/>
        <scheme val="minor"/>
      </rPr>
      <t>(Labour)</t>
    </r>
  </si>
  <si>
    <r>
      <t xml:space="preserve">Amount Received </t>
    </r>
    <r>
      <rPr>
        <sz val="10"/>
        <color theme="1"/>
        <rFont val="Calibri"/>
        <family val="2"/>
        <scheme val="minor"/>
      </rPr>
      <t>(Arif received from Ahmed, Chq# MET-1080 )</t>
    </r>
  </si>
  <si>
    <r>
      <t xml:space="preserve">Amount Received </t>
    </r>
    <r>
      <rPr>
        <sz val="10"/>
        <color theme="1"/>
        <rFont val="Calibri"/>
        <family val="2"/>
        <scheme val="minor"/>
      </rPr>
      <t>(Arif received from Ahmed Cash)</t>
    </r>
  </si>
  <si>
    <r>
      <t xml:space="preserve">Haji Aziz </t>
    </r>
    <r>
      <rPr>
        <sz val="10"/>
        <color theme="1"/>
        <rFont val="Calibri"/>
        <family val="2"/>
        <scheme val="minor"/>
      </rPr>
      <t>(Shuttring)</t>
    </r>
  </si>
  <si>
    <t>Starter Frame Repair</t>
  </si>
  <si>
    <t>Vibrator Repair</t>
  </si>
  <si>
    <t>Mohammad Habib</t>
  </si>
  <si>
    <r>
      <t xml:space="preserve">Liaqat </t>
    </r>
    <r>
      <rPr>
        <sz val="10"/>
        <color theme="1"/>
        <rFont val="Calibri"/>
        <family val="2"/>
        <scheme val="minor"/>
      </rPr>
      <t>(Contractor)</t>
    </r>
  </si>
  <si>
    <r>
      <t xml:space="preserve">Papu (Pouring)                        </t>
    </r>
    <r>
      <rPr>
        <sz val="9"/>
        <color theme="1"/>
        <rFont val="Calibri"/>
        <family val="2"/>
        <scheme val="minor"/>
      </rPr>
      <t>2nd Floor Slab</t>
    </r>
  </si>
  <si>
    <r>
      <t xml:space="preserve">Stop </t>
    </r>
    <r>
      <rPr>
        <sz val="10"/>
        <color theme="1"/>
        <rFont val="Calibri"/>
        <family val="2"/>
        <scheme val="minor"/>
      </rPr>
      <t>(Adda Labour)</t>
    </r>
  </si>
  <si>
    <t>Petrol for Vibrator</t>
  </si>
  <si>
    <t>Water Bottols</t>
  </si>
  <si>
    <r>
      <t xml:space="preserve">Masood (Labour)              </t>
    </r>
    <r>
      <rPr>
        <sz val="9"/>
        <color theme="1"/>
        <rFont val="Calibri"/>
        <family val="2"/>
        <scheme val="minor"/>
      </rPr>
      <t>Month Oct-18 Pymt</t>
    </r>
  </si>
  <si>
    <r>
      <t xml:space="preserve">Mohammad Hashir </t>
    </r>
    <r>
      <rPr>
        <sz val="10"/>
        <color theme="1"/>
        <rFont val="Calibri"/>
        <family val="2"/>
        <scheme val="minor"/>
      </rPr>
      <t>(Labour)</t>
    </r>
  </si>
  <si>
    <t>Baalti for site</t>
  </si>
  <si>
    <t>Adday ki Labour</t>
  </si>
  <si>
    <t>Material for Layout</t>
  </si>
  <si>
    <t>Bashir Electric</t>
  </si>
  <si>
    <r>
      <t xml:space="preserve">Asif Bhai                         </t>
    </r>
    <r>
      <rPr>
        <sz val="9"/>
        <color theme="1"/>
        <rFont val="Calibri"/>
        <family val="2"/>
        <scheme val="minor"/>
      </rPr>
      <t>Month Oct-18 Payment</t>
    </r>
  </si>
  <si>
    <r>
      <t xml:space="preserve">Nawaz (Labour)             </t>
    </r>
    <r>
      <rPr>
        <sz val="9"/>
        <color theme="1"/>
        <rFont val="Calibri"/>
        <family val="2"/>
        <scheme val="minor"/>
      </rPr>
      <t>Month Oct-18 Payment</t>
    </r>
  </si>
  <si>
    <r>
      <t xml:space="preserve">Masood (Labour)  </t>
    </r>
    <r>
      <rPr>
        <sz val="9"/>
        <color theme="1"/>
        <rFont val="Calibri"/>
        <family val="2"/>
        <scheme val="minor"/>
      </rPr>
      <t>Month remaining Oct-18 Pymt</t>
    </r>
  </si>
  <si>
    <r>
      <t xml:space="preserve">Massoon+Labour </t>
    </r>
    <r>
      <rPr>
        <sz val="10"/>
        <color theme="1"/>
        <rFont val="Calibri"/>
        <family val="2"/>
        <scheme val="minor"/>
      </rPr>
      <t>(Nawab)</t>
    </r>
  </si>
  <si>
    <r>
      <t xml:space="preserve">Liaqat (Contractor)         </t>
    </r>
    <r>
      <rPr>
        <sz val="8"/>
        <color theme="1"/>
        <rFont val="Calibri"/>
        <family val="2"/>
        <scheme val="minor"/>
      </rPr>
      <t>HBL Chq: 00000058</t>
    </r>
  </si>
  <si>
    <r>
      <t xml:space="preserve">Liaqat (Contractor)         </t>
    </r>
    <r>
      <rPr>
        <sz val="8"/>
        <color theme="1"/>
        <rFont val="Calibri"/>
        <family val="2"/>
        <scheme val="minor"/>
      </rPr>
      <t>HBL Chq: 00000057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</si>
  <si>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3rd Floor Column</t>
    </r>
  </si>
  <si>
    <t xml:space="preserve">Masood (Labour) </t>
  </si>
  <si>
    <r>
      <t xml:space="preserve">Core Cutting     </t>
    </r>
    <r>
      <rPr>
        <sz val="10"/>
        <color theme="1"/>
        <rFont val="Calibri"/>
        <family val="2"/>
        <scheme val="minor"/>
      </rPr>
      <t>(7 Nos)</t>
    </r>
  </si>
  <si>
    <r>
      <t xml:space="preserve">Painter  </t>
    </r>
    <r>
      <rPr>
        <sz val="10"/>
        <color theme="1"/>
        <rFont val="Calibri"/>
        <family val="2"/>
        <scheme val="minor"/>
      </rPr>
      <t>(Babar and Farhan)</t>
    </r>
  </si>
  <si>
    <t>Painter  (Farhan)</t>
  </si>
  <si>
    <t>Rigester+Nails</t>
  </si>
  <si>
    <r>
      <t>Amount Received</t>
    </r>
    <r>
      <rPr>
        <sz val="10"/>
        <color theme="1"/>
        <rFont val="Calibri"/>
        <family val="2"/>
        <scheme val="minor"/>
      </rPr>
      <t>(Arif received from Ahmed,</t>
    </r>
    <r>
      <rPr>
        <sz val="8"/>
        <color theme="1"/>
        <rFont val="Calibri"/>
        <family val="2"/>
        <scheme val="minor"/>
      </rPr>
      <t>Chq# MET-81431090</t>
    </r>
    <r>
      <rPr>
        <sz val="10"/>
        <color theme="1"/>
        <rFont val="Calibri"/>
        <family val="2"/>
        <scheme val="minor"/>
      </rPr>
      <t xml:space="preserve"> )</t>
    </r>
  </si>
  <si>
    <r>
      <t xml:space="preserve">Khalil </t>
    </r>
    <r>
      <rPr>
        <sz val="10"/>
        <color theme="1"/>
        <rFont val="Calibri"/>
        <family val="2"/>
        <scheme val="minor"/>
      </rPr>
      <t>(Plumber)</t>
    </r>
  </si>
  <si>
    <t>Painter  (Rab-Nawaz)</t>
  </si>
  <si>
    <t>Site Material (Balchaa 2 Nos)</t>
  </si>
  <si>
    <t>Chaani Banwai</t>
  </si>
  <si>
    <r>
      <t xml:space="preserve">Amount Received </t>
    </r>
    <r>
      <rPr>
        <sz val="10"/>
        <color theme="1"/>
        <rFont val="Calibri"/>
        <family val="2"/>
        <scheme val="minor"/>
      </rPr>
      <t>(Asif received from Ahmed)    Cash</t>
    </r>
  </si>
  <si>
    <r>
      <t xml:space="preserve">Nails+Patti </t>
    </r>
    <r>
      <rPr>
        <sz val="10"/>
        <color theme="1"/>
        <rFont val="Calibri"/>
        <family val="2"/>
        <scheme val="minor"/>
      </rPr>
      <t>(Haji Aziz)</t>
    </r>
  </si>
  <si>
    <r>
      <t xml:space="preserve">Labour Month Payment </t>
    </r>
    <r>
      <rPr>
        <sz val="8"/>
        <color theme="1"/>
        <rFont val="Calibri"/>
        <family val="2"/>
        <scheme val="minor"/>
      </rPr>
      <t>(Nawab Masson, Manhole)</t>
    </r>
  </si>
  <si>
    <r>
      <t xml:space="preserve">Nawaz (Labour)             </t>
    </r>
    <r>
      <rPr>
        <sz val="9"/>
        <color theme="1"/>
        <rFont val="Calibri"/>
        <family val="2"/>
        <scheme val="minor"/>
      </rPr>
      <t>Month Nov-18 Payment</t>
    </r>
  </si>
  <si>
    <r>
      <t xml:space="preserve">Masood (Labour)            </t>
    </r>
    <r>
      <rPr>
        <sz val="9"/>
        <color theme="1"/>
        <rFont val="Calibri"/>
        <family val="2"/>
        <scheme val="minor"/>
      </rPr>
      <t>Month Nov-18 Pymt</t>
    </r>
  </si>
  <si>
    <t>Emaan (Labour)</t>
  </si>
  <si>
    <t>Ashiq (Labour)</t>
  </si>
  <si>
    <t xml:space="preserve">Masood (Labour)          </t>
  </si>
  <si>
    <t>Balchaa Dasta+Fixing (For Site)</t>
  </si>
  <si>
    <t>Tralley Tyube</t>
  </si>
  <si>
    <t>Muzamil (Labour)</t>
  </si>
  <si>
    <t>Tralley Puncture</t>
  </si>
  <si>
    <r>
      <t xml:space="preserve">Amount Received </t>
    </r>
    <r>
      <rPr>
        <sz val="10"/>
        <color theme="1"/>
        <rFont val="Calibri"/>
        <family val="2"/>
        <scheme val="minor"/>
      </rPr>
      <t>(S.Ibtehaj received from Ahmed)    Cash</t>
    </r>
  </si>
  <si>
    <t>Amir (Labour)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</si>
  <si>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3rd Floor Slab</t>
    </r>
  </si>
  <si>
    <t>Shah Waris Khan (Shuttring)</t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</si>
  <si>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Nov-18 Payment</t>
    </r>
  </si>
  <si>
    <t>Layout Material</t>
  </si>
  <si>
    <t>Trolley Puncture</t>
  </si>
  <si>
    <t>Haji Aziz (Shuttring)</t>
  </si>
  <si>
    <t>Grinder Disc</t>
  </si>
  <si>
    <t>Voucher Book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</si>
  <si>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4thFloor Column</t>
    </r>
  </si>
  <si>
    <t>Vibrator Rent</t>
  </si>
  <si>
    <r>
      <t xml:space="preserve">Nawaz (Labour)             </t>
    </r>
    <r>
      <rPr>
        <sz val="9"/>
        <color theme="1"/>
        <rFont val="Calibri"/>
        <family val="2"/>
        <scheme val="minor"/>
      </rPr>
      <t>Month Dec-18 Payment</t>
    </r>
  </si>
  <si>
    <r>
      <t xml:space="preserve">Nawab Zada </t>
    </r>
    <r>
      <rPr>
        <sz val="9"/>
        <color theme="1"/>
        <rFont val="Calibri"/>
        <family val="2"/>
        <scheme val="minor"/>
      </rPr>
      <t>(Masson+Labour Dec-18 Pymt)</t>
    </r>
  </si>
  <si>
    <t>Khalil (Plumber)</t>
  </si>
  <si>
    <r>
      <t xml:space="preserve">Masood (Labour)            </t>
    </r>
    <r>
      <rPr>
        <sz val="9"/>
        <color theme="1"/>
        <rFont val="Calibri"/>
        <family val="2"/>
        <scheme val="minor"/>
      </rPr>
      <t>Month Dec-18 Pymt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</si>
  <si>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Dec-18 Payment</t>
    </r>
  </si>
  <si>
    <r>
      <t xml:space="preserve">Amman-Ullah (Labour)      </t>
    </r>
    <r>
      <rPr>
        <sz val="9"/>
        <color theme="1"/>
        <rFont val="Calibri"/>
        <family val="2"/>
        <scheme val="minor"/>
      </rPr>
      <t>Month Dec-18 Pymt</t>
    </r>
  </si>
  <si>
    <r>
      <t xml:space="preserve">Amir (Labour)                    </t>
    </r>
    <r>
      <rPr>
        <sz val="9"/>
        <color theme="1"/>
        <rFont val="Calibri"/>
        <family val="2"/>
        <scheme val="minor"/>
      </rPr>
      <t>Month Dec-18 Pymt</t>
    </r>
  </si>
  <si>
    <r>
      <t xml:space="preserve">Muzamil (Labour)              </t>
    </r>
    <r>
      <rPr>
        <sz val="9"/>
        <color theme="1"/>
        <rFont val="Calibri"/>
        <family val="2"/>
        <scheme val="minor"/>
      </rPr>
      <t>Month Dec-18 Pymt</t>
    </r>
  </si>
  <si>
    <t>Trolley Puncture/Tyre</t>
  </si>
  <si>
    <t>Jaali</t>
  </si>
  <si>
    <r>
      <t xml:space="preserve">Suzuki Rent       </t>
    </r>
    <r>
      <rPr>
        <sz val="9"/>
        <color theme="1"/>
        <rFont val="Calibri"/>
        <family val="2"/>
        <scheme val="minor"/>
      </rPr>
      <t>(Material Shift KIA to /Maymar)</t>
    </r>
  </si>
  <si>
    <t>Jhaaro</t>
  </si>
  <si>
    <t>Block Trolley Puncture/Tyre</t>
  </si>
  <si>
    <r>
      <t>Amount Received</t>
    </r>
    <r>
      <rPr>
        <sz val="10"/>
        <color theme="1"/>
        <rFont val="Calibri"/>
        <family val="2"/>
        <scheme val="minor"/>
      </rPr>
      <t>(S.Ibtehaj received from Ahmed,</t>
    </r>
    <r>
      <rPr>
        <sz val="8"/>
        <color theme="1"/>
        <rFont val="Calibri"/>
        <family val="2"/>
        <scheme val="minor"/>
      </rPr>
      <t>Chq# Mezan-...</t>
    </r>
    <r>
      <rPr>
        <sz val="10"/>
        <color theme="1"/>
        <rFont val="Calibri"/>
        <family val="2"/>
        <scheme val="minor"/>
      </rPr>
      <t xml:space="preserve"> )</t>
    </r>
  </si>
  <si>
    <t>6 Nos. Steel leader for plaster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</si>
  <si>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4thFloor Slab</t>
    </r>
  </si>
  <si>
    <t>Haji Nazaqat (labour)</t>
  </si>
  <si>
    <r>
      <t xml:space="preserve">Masood (Labour)            </t>
    </r>
    <r>
      <rPr>
        <sz val="9"/>
        <color theme="1"/>
        <rFont val="Calibri"/>
        <family val="2"/>
        <scheme val="minor"/>
      </rPr>
      <t>Month Jan-19 Pymt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</si>
  <si>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Chq#CA-43876</t>
    </r>
  </si>
  <si>
    <r>
      <t xml:space="preserve">Amount Received </t>
    </r>
    <r>
      <rPr>
        <sz val="10"/>
        <color theme="1"/>
        <rFont val="Calibri"/>
        <family val="2"/>
        <scheme val="minor"/>
      </rPr>
      <t>(Arif Sb received from Ahmed) Cash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</si>
  <si>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5thFloor col</t>
    </r>
  </si>
  <si>
    <r>
      <t xml:space="preserve">Amount Received </t>
    </r>
    <r>
      <rPr>
        <sz val="10"/>
        <color theme="1"/>
        <rFont val="Calibri"/>
        <family val="2"/>
        <scheme val="minor"/>
      </rPr>
      <t>(Asif received from Ahmed) Cash</t>
    </r>
  </si>
  <si>
    <t xml:space="preserve">Rehmat (Labour)     </t>
  </si>
  <si>
    <t xml:space="preserve">Amman-Ullah (Labour)     </t>
  </si>
  <si>
    <t xml:space="preserve">Muzamil (Labour)              </t>
  </si>
  <si>
    <t>Jawaid (Labour)</t>
  </si>
  <si>
    <t>Nawab Labour</t>
  </si>
  <si>
    <t>Gull Nawaz labour</t>
  </si>
  <si>
    <t>Pipe Level</t>
  </si>
  <si>
    <r>
      <t>Amount Received</t>
    </r>
    <r>
      <rPr>
        <sz val="10"/>
        <color theme="1"/>
        <rFont val="Calibri"/>
        <family val="2"/>
        <scheme val="minor"/>
      </rPr>
      <t>(S.Ibtehaj received from Ahmed,</t>
    </r>
    <r>
      <rPr>
        <sz val="8"/>
        <color theme="1"/>
        <rFont val="Calibri"/>
        <family val="2"/>
        <scheme val="minor"/>
      </rPr>
      <t>Chq# HMP51</t>
    </r>
    <r>
      <rPr>
        <sz val="10"/>
        <color theme="1"/>
        <rFont val="Calibri"/>
        <family val="2"/>
        <scheme val="minor"/>
      </rPr>
      <t>)</t>
    </r>
  </si>
  <si>
    <r>
      <t>Amount Received</t>
    </r>
    <r>
      <rPr>
        <sz val="10"/>
        <color theme="1"/>
        <rFont val="Calibri"/>
        <family val="2"/>
        <scheme val="minor"/>
      </rPr>
      <t>(S.Ibtehaj received from Ahmed,</t>
    </r>
    <r>
      <rPr>
        <sz val="8"/>
        <color theme="1"/>
        <rFont val="Calibri"/>
        <family val="2"/>
        <scheme val="minor"/>
      </rPr>
      <t>Chq# HMP52</t>
    </r>
    <r>
      <rPr>
        <sz val="10"/>
        <color theme="1"/>
        <rFont val="Calibri"/>
        <family val="2"/>
        <scheme val="minor"/>
      </rPr>
      <t>)</t>
    </r>
  </si>
  <si>
    <r>
      <t xml:space="preserve">Nawaz (Labour)             </t>
    </r>
    <r>
      <rPr>
        <sz val="9"/>
        <color theme="1"/>
        <rFont val="Calibri"/>
        <family val="2"/>
        <scheme val="minor"/>
      </rPr>
      <t>Month Jan-19 Payment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</si>
  <si>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Jan-19 Payment</t>
    </r>
  </si>
  <si>
    <t xml:space="preserve">Nawaz (Labour)   </t>
  </si>
  <si>
    <t xml:space="preserve">Haqq Nawaz (Labour)   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</si>
  <si>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(Arif Sb received from Ahmed Bhai) </t>
    </r>
    <r>
      <rPr>
        <sz val="8"/>
        <color theme="1"/>
        <rFont val="Calibri"/>
        <family val="2"/>
        <scheme val="minor"/>
      </rPr>
      <t>Cash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</si>
  <si>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(Ibtehaj received from Ahmed) </t>
    </r>
    <r>
      <rPr>
        <sz val="8"/>
        <color theme="1"/>
        <rFont val="Calibri"/>
        <family val="2"/>
        <scheme val="minor"/>
      </rPr>
      <t>Chq#33481284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</si>
  <si>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(Ibtehaj received from Ahmed) </t>
    </r>
    <r>
      <rPr>
        <sz val="8"/>
        <color theme="1"/>
        <rFont val="Calibri"/>
        <family val="2"/>
        <scheme val="minor"/>
      </rPr>
      <t>Chq#33481286</t>
    </r>
  </si>
  <si>
    <r>
      <t xml:space="preserve">Liaqat (Contractor)         </t>
    </r>
    <r>
      <rPr>
        <sz val="9"/>
        <color theme="1"/>
        <rFont val="Calibri"/>
        <family val="2"/>
        <scheme val="minor"/>
      </rPr>
      <t>(Al-Baraka Chq#4839)</t>
    </r>
  </si>
  <si>
    <r>
      <t xml:space="preserve">Haqq Nawaz (Labour)    </t>
    </r>
    <r>
      <rPr>
        <sz val="9"/>
        <color theme="1"/>
        <rFont val="Calibri"/>
        <family val="2"/>
        <scheme val="minor"/>
      </rPr>
      <t>Month Feb-19 Payment</t>
    </r>
  </si>
  <si>
    <r>
      <t xml:space="preserve">Gull-Roz (Labour)         </t>
    </r>
    <r>
      <rPr>
        <sz val="9"/>
        <color theme="1"/>
        <rFont val="Calibri"/>
        <family val="2"/>
        <scheme val="minor"/>
      </rPr>
      <t>Month Feb-19 Payment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</si>
  <si>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Feb-19 Payment</t>
    </r>
  </si>
  <si>
    <t>Rakshaw Karaya, Chemical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</si>
  <si>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(Ibtehaj received from Ahmed) </t>
    </r>
    <r>
      <rPr>
        <sz val="8"/>
        <color theme="1"/>
        <rFont val="Calibri"/>
        <family val="2"/>
        <scheme val="minor"/>
      </rPr>
      <t>Cash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</si>
  <si>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5thFloor slab</t>
    </r>
  </si>
  <si>
    <r>
      <t xml:space="preserve">Liaqat (Contractor)         </t>
    </r>
    <r>
      <rPr>
        <sz val="9"/>
        <color theme="1"/>
        <rFont val="Calibri"/>
        <family val="2"/>
        <scheme val="minor"/>
      </rPr>
      <t>(cash)</t>
    </r>
  </si>
  <si>
    <t>Baber (Labour)</t>
  </si>
  <si>
    <t>Redoxide (for layout)</t>
  </si>
  <si>
    <r>
      <t xml:space="preserve">Kashif (Steel)         </t>
    </r>
    <r>
      <rPr>
        <sz val="9"/>
        <color theme="1"/>
        <rFont val="Calibri"/>
        <family val="2"/>
        <scheme val="minor"/>
      </rPr>
      <t>(Al-Baraka Chq#4844)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</si>
  <si>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Cash</t>
    </r>
  </si>
  <si>
    <t>Haqq Nawaz (Labour)   Adv</t>
  </si>
  <si>
    <t>Haqq Nawaz (Labour)   Adv     (Arif Sb)</t>
  </si>
  <si>
    <r>
      <t xml:space="preserve">Liaqat (Contractor)       </t>
    </r>
    <r>
      <rPr>
        <sz val="9"/>
        <color theme="1"/>
        <rFont val="Calibri"/>
        <family val="2"/>
        <scheme val="minor"/>
      </rPr>
      <t>(Al-Baraka Chq#4845)</t>
    </r>
  </si>
  <si>
    <r>
      <t xml:space="preserve">Liaqat (Contractor)       </t>
    </r>
    <r>
      <rPr>
        <sz val="9"/>
        <color theme="1"/>
        <rFont val="Calibri"/>
        <family val="2"/>
        <scheme val="minor"/>
      </rPr>
      <t>(HBL Chq#00067)</t>
    </r>
  </si>
  <si>
    <r>
      <t xml:space="preserve">Nawab Zada </t>
    </r>
    <r>
      <rPr>
        <sz val="9"/>
        <color theme="1"/>
        <rFont val="Calibri"/>
        <family val="2"/>
        <scheme val="minor"/>
      </rPr>
      <t>(Chunai Plaster) (Al-Barka Chq#4846)</t>
    </r>
  </si>
  <si>
    <t>Site Material (Register)</t>
  </si>
  <si>
    <r>
      <t xml:space="preserve">Babar (Labour)    </t>
    </r>
    <r>
      <rPr>
        <sz val="9"/>
        <color theme="1"/>
        <rFont val="Calibri"/>
        <family val="2"/>
        <scheme val="minor"/>
      </rPr>
      <t>Month Mar-19 Payment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</si>
  <si>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Mar-19 Payment</t>
    </r>
  </si>
  <si>
    <r>
      <t xml:space="preserve">Abdul Razaq (Labour)  </t>
    </r>
    <r>
      <rPr>
        <sz val="9"/>
        <color theme="1"/>
        <rFont val="Calibri"/>
        <family val="2"/>
        <scheme val="minor"/>
      </rPr>
      <t>Month Mar-19 Payment</t>
    </r>
  </si>
  <si>
    <r>
      <t xml:space="preserve">Nawab's Labour)  </t>
    </r>
    <r>
      <rPr>
        <sz val="9"/>
        <color theme="1"/>
        <rFont val="Calibri"/>
        <family val="2"/>
        <scheme val="minor"/>
      </rPr>
      <t>Month Mar-19 Payment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</si>
  <si>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Mar-19 Payment</t>
    </r>
  </si>
  <si>
    <t>Brush for Waterprofing Chemical</t>
  </si>
  <si>
    <t xml:space="preserve">Haqq Nawaz (Labour) </t>
  </si>
  <si>
    <t xml:space="preserve">Abdul Razaq (Labour)  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</si>
  <si>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Cash+Chq 200+20</t>
    </r>
  </si>
  <si>
    <r>
      <t xml:space="preserve">Nawab Zada </t>
    </r>
    <r>
      <rPr>
        <sz val="9"/>
        <color theme="1"/>
        <rFont val="Calibri"/>
        <family val="2"/>
        <scheme val="minor"/>
      </rPr>
      <t xml:space="preserve">(Chunai Plaster)  75+50+25   </t>
    </r>
    <r>
      <rPr>
        <sz val="8"/>
        <color theme="1"/>
        <rFont val="Calibri"/>
        <family val="2"/>
        <scheme val="minor"/>
      </rPr>
      <t>(Cash)</t>
    </r>
  </si>
  <si>
    <r>
      <t xml:space="preserve">Abdul Razaq (Labour)  </t>
    </r>
    <r>
      <rPr>
        <sz val="9"/>
        <color theme="1"/>
        <rFont val="Calibri"/>
        <family val="2"/>
        <scheme val="minor"/>
      </rPr>
      <t>Month Apr-19 Payment</t>
    </r>
  </si>
  <si>
    <r>
      <t xml:space="preserve">Tea for labour  </t>
    </r>
    <r>
      <rPr>
        <sz val="10"/>
        <color theme="1"/>
        <rFont val="Calibri"/>
        <family val="2"/>
        <scheme val="minor"/>
      </rPr>
      <t>5/4/19  to 19/4/19</t>
    </r>
  </si>
  <si>
    <r>
      <t xml:space="preserve">Haji aziz (Shuttring)   </t>
    </r>
    <r>
      <rPr>
        <sz val="9"/>
        <color theme="1"/>
        <rFont val="Calibri"/>
        <family val="2"/>
        <scheme val="minor"/>
      </rPr>
      <t>(Nails)</t>
    </r>
  </si>
  <si>
    <r>
      <t xml:space="preserve">M.Zada </t>
    </r>
    <r>
      <rPr>
        <sz val="9"/>
        <color rgb="FFFF0000"/>
        <rFont val="Calibri"/>
        <family val="2"/>
        <scheme val="minor"/>
      </rPr>
      <t>(Trolley Repair) Gullshan Site</t>
    </r>
  </si>
  <si>
    <r>
      <t xml:space="preserve">Riyaz </t>
    </r>
    <r>
      <rPr>
        <sz val="10"/>
        <color theme="1"/>
        <rFont val="Calibri"/>
        <family val="2"/>
        <scheme val="minor"/>
      </rPr>
      <t>(Labour)</t>
    </r>
  </si>
  <si>
    <r>
      <t xml:space="preserve">Nawab Zada </t>
    </r>
    <r>
      <rPr>
        <sz val="9"/>
        <color theme="1"/>
        <rFont val="Calibri"/>
        <family val="2"/>
        <scheme val="minor"/>
      </rPr>
      <t xml:space="preserve">(Chunai Plaster)  </t>
    </r>
    <r>
      <rPr>
        <sz val="8"/>
        <color theme="1"/>
        <rFont val="Calibri"/>
        <family val="2"/>
        <scheme val="minor"/>
      </rPr>
      <t>30+25   (Cash)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</si>
  <si>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(Ibtehaj received from Hamza) </t>
    </r>
    <r>
      <rPr>
        <sz val="8"/>
        <color theme="1"/>
        <rFont val="Calibri"/>
        <family val="2"/>
        <scheme val="minor"/>
      </rPr>
      <t>Cash</t>
    </r>
  </si>
  <si>
    <r>
      <t xml:space="preserve">Nawab Zada </t>
    </r>
    <r>
      <rPr>
        <sz val="9"/>
        <color theme="1"/>
        <rFont val="Calibri"/>
        <family val="2"/>
        <scheme val="minor"/>
      </rPr>
      <t xml:space="preserve">(Chunai Plaster)    </t>
    </r>
    <r>
      <rPr>
        <sz val="9"/>
        <color rgb="FFFF0000"/>
        <rFont val="Calibri"/>
        <family val="2"/>
        <scheme val="minor"/>
      </rPr>
      <t>HYD M.Zada Site</t>
    </r>
  </si>
  <si>
    <t>Chacha Latif kay ghar Paisay diye</t>
  </si>
  <si>
    <t xml:space="preserve">Haji aziz (Shuttring) </t>
  </si>
  <si>
    <t>Gaiti ka Dasta</t>
  </si>
  <si>
    <t xml:space="preserve">Raziq (Labour) 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</si>
  <si>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</t>
    </r>
    <r>
      <rPr>
        <sz val="8"/>
        <color theme="1"/>
        <rFont val="Calibri"/>
        <family val="2"/>
        <scheme val="minor"/>
      </rPr>
      <t>Design+Machine Room Col</t>
    </r>
  </si>
  <si>
    <r>
      <t xml:space="preserve">Raziq (Labour)  </t>
    </r>
    <r>
      <rPr>
        <sz val="9"/>
        <color theme="1"/>
        <rFont val="Calibri"/>
        <family val="2"/>
        <scheme val="minor"/>
      </rPr>
      <t>Month Apr-19 Payment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</si>
  <si>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Apr-19 Payment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</si>
  <si>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Apr-19 Payment</t>
    </r>
  </si>
  <si>
    <r>
      <t xml:space="preserve">Raziq (Labour)  </t>
    </r>
    <r>
      <rPr>
        <sz val="9"/>
        <color theme="1"/>
        <rFont val="Calibri"/>
        <family val="2"/>
        <scheme val="minor"/>
      </rPr>
      <t>Month May-19 Payment</t>
    </r>
  </si>
  <si>
    <r>
      <t xml:space="preserve">Baans </t>
    </r>
    <r>
      <rPr>
        <sz val="10"/>
        <color theme="1"/>
        <rFont val="Calibri"/>
        <family val="2"/>
        <scheme val="minor"/>
      </rPr>
      <t>(Bamboo)                  70 Nos. 30 ft.</t>
    </r>
  </si>
  <si>
    <t>Rent</t>
  </si>
  <si>
    <r>
      <t xml:space="preserve">Raasi                            </t>
    </r>
    <r>
      <rPr>
        <sz val="10"/>
        <color theme="1"/>
        <rFont val="Calibri"/>
        <family val="2"/>
        <scheme val="minor"/>
      </rPr>
      <t>19.200 Kg</t>
    </r>
  </si>
  <si>
    <r>
      <t xml:space="preserve">Liaqat (Contractor)       </t>
    </r>
    <r>
      <rPr>
        <sz val="9"/>
        <color theme="1"/>
        <rFont val="Calibri"/>
        <family val="2"/>
        <scheme val="minor"/>
      </rPr>
      <t>(HBL Chq#21434854)</t>
    </r>
  </si>
  <si>
    <r>
      <t xml:space="preserve">Raasi                            </t>
    </r>
    <r>
      <rPr>
        <sz val="10"/>
        <color theme="1"/>
        <rFont val="Calibri"/>
        <family val="2"/>
        <scheme val="minor"/>
      </rPr>
      <t>23 Kg, Rs.210/-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</si>
  <si>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Machine Room Bott Slab+Design</t>
    </r>
  </si>
  <si>
    <r>
      <t xml:space="preserve">Haqq Nawaz </t>
    </r>
    <r>
      <rPr>
        <sz val="10"/>
        <color theme="1"/>
        <rFont val="Calibri"/>
        <family val="2"/>
        <scheme val="minor"/>
      </rPr>
      <t xml:space="preserve">(Labour)  </t>
    </r>
  </si>
  <si>
    <r>
      <t xml:space="preserve">Baans </t>
    </r>
    <r>
      <rPr>
        <sz val="10"/>
        <color theme="1"/>
        <rFont val="Calibri"/>
        <family val="2"/>
        <scheme val="minor"/>
      </rPr>
      <t>(Bamboo)                  40 Nos. 12 Phatay</t>
    </r>
  </si>
  <si>
    <t>30ft 480/-</t>
  </si>
  <si>
    <t>Keel Paati (Phaton Kliye)</t>
  </si>
  <si>
    <t>10, 1200</t>
  </si>
  <si>
    <r>
      <t xml:space="preserve">Raasi                            </t>
    </r>
    <r>
      <rPr>
        <sz val="10"/>
        <color theme="1"/>
        <rFont val="Calibri"/>
        <family val="2"/>
        <scheme val="minor"/>
      </rPr>
      <t>10.5 Kg, Rs.210/-</t>
    </r>
  </si>
  <si>
    <t>Nails+Patti (Haji Aziz)</t>
  </si>
  <si>
    <r>
      <t xml:space="preserve">Sawan </t>
    </r>
    <r>
      <rPr>
        <sz val="10"/>
        <color theme="1"/>
        <rFont val="Calibri"/>
        <family val="2"/>
        <scheme val="minor"/>
      </rPr>
      <t xml:space="preserve">(Labour)  </t>
    </r>
  </si>
  <si>
    <r>
      <t xml:space="preserve">Imran </t>
    </r>
    <r>
      <rPr>
        <sz val="10"/>
        <color theme="1"/>
        <rFont val="Calibri"/>
        <family val="2"/>
        <scheme val="minor"/>
      </rPr>
      <t xml:space="preserve">(Labour)  </t>
    </r>
  </si>
  <si>
    <r>
      <t xml:space="preserve">Liaqat (Contractor)       </t>
    </r>
    <r>
      <rPr>
        <sz val="9"/>
        <color theme="1"/>
        <rFont val="Calibri"/>
        <family val="2"/>
        <scheme val="minor"/>
      </rPr>
      <t>(CASH)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</si>
  <si>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May-19 Payment</t>
    </r>
  </si>
  <si>
    <r>
      <t xml:space="preserve">Asif Bhai                             </t>
    </r>
    <r>
      <rPr>
        <sz val="9"/>
        <color theme="1"/>
        <rFont val="Calibri"/>
        <family val="2"/>
        <scheme val="minor"/>
      </rPr>
      <t>EIDI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</si>
  <si>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May-19 Payment</t>
    </r>
  </si>
  <si>
    <r>
      <t xml:space="preserve">Haqq Nawaz (Labour)       </t>
    </r>
    <r>
      <rPr>
        <sz val="9"/>
        <color theme="1"/>
        <rFont val="Calibri"/>
        <family val="2"/>
        <scheme val="minor"/>
      </rPr>
      <t>EIDI</t>
    </r>
  </si>
  <si>
    <r>
      <t xml:space="preserve">Sawan (Labour)         </t>
    </r>
    <r>
      <rPr>
        <sz val="9"/>
        <color theme="1"/>
        <rFont val="Calibri"/>
        <family val="2"/>
        <scheme val="minor"/>
      </rPr>
      <t>Month May-19 Payment</t>
    </r>
  </si>
  <si>
    <t>Core Cutting</t>
  </si>
  <si>
    <r>
      <t xml:space="preserve">Nails  </t>
    </r>
    <r>
      <rPr>
        <sz val="10"/>
        <color theme="1"/>
        <rFont val="Calibri"/>
        <family val="2"/>
        <scheme val="minor"/>
      </rPr>
      <t>(3")</t>
    </r>
  </si>
  <si>
    <r>
      <t xml:space="preserve">Mix Material </t>
    </r>
    <r>
      <rPr>
        <sz val="10"/>
        <color theme="1"/>
        <rFont val="Calibri"/>
        <family val="2"/>
        <scheme val="minor"/>
      </rPr>
      <t>(Cooler Null, Nails etc)</t>
    </r>
  </si>
  <si>
    <t>Chaini Banwai</t>
  </si>
  <si>
    <t>Repairing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</si>
  <si>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(Arif Sb received from Ahmed) </t>
    </r>
    <r>
      <rPr>
        <sz val="8"/>
        <color theme="1"/>
        <rFont val="Calibri"/>
        <family val="2"/>
        <scheme val="minor"/>
      </rPr>
      <t>Cash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</si>
  <si>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June-19 Payment</t>
    </r>
  </si>
  <si>
    <r>
      <t xml:space="preserve">Kacha Plaster </t>
    </r>
    <r>
      <rPr>
        <sz val="10"/>
        <color theme="1"/>
        <rFont val="Calibri"/>
        <family val="2"/>
        <scheme val="minor"/>
      </rPr>
      <t>(Messon+Labour)</t>
    </r>
  </si>
  <si>
    <t>Site Material (Taagari)</t>
  </si>
  <si>
    <r>
      <t xml:space="preserve">Goola/Kacha Plaster </t>
    </r>
    <r>
      <rPr>
        <sz val="10"/>
        <color theme="1"/>
        <rFont val="Calibri"/>
        <family val="2"/>
        <scheme val="minor"/>
      </rPr>
      <t>(Akram Messon+Labour)</t>
    </r>
  </si>
  <si>
    <t>10' Wooden Piece 2 Nos</t>
  </si>
  <si>
    <r>
      <t xml:space="preserve">Liaqat (Contractor)       </t>
    </r>
    <r>
      <rPr>
        <sz val="9"/>
        <color theme="1"/>
        <rFont val="Calibri"/>
        <family val="2"/>
        <scheme val="minor"/>
      </rPr>
      <t>(HBL Chq#000000)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</si>
  <si>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O.H.W.T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</si>
  <si>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June-19 Payment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</si>
  <si>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Chq#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</si>
  <si>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HMB </t>
    </r>
    <r>
      <rPr>
        <sz val="8"/>
        <color theme="1"/>
        <rFont val="Calibri"/>
        <family val="2"/>
        <scheme val="minor"/>
      </rPr>
      <t>Chq#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</si>
  <si>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July-19 Payment</t>
    </r>
  </si>
  <si>
    <r>
      <t xml:space="preserve">Muhammad </t>
    </r>
    <r>
      <rPr>
        <sz val="10"/>
        <color theme="1"/>
        <rFont val="Calibri"/>
        <family val="2"/>
        <scheme val="minor"/>
      </rPr>
      <t>(Masson)</t>
    </r>
  </si>
  <si>
    <r>
      <t xml:space="preserve">Sadiq </t>
    </r>
    <r>
      <rPr>
        <sz val="10"/>
        <color theme="1"/>
        <rFont val="Calibri"/>
        <family val="2"/>
        <scheme val="minor"/>
      </rPr>
      <t>(Labour)</t>
    </r>
  </si>
  <si>
    <r>
      <t xml:space="preserve">Parvaiz </t>
    </r>
    <r>
      <rPr>
        <sz val="10"/>
        <color theme="1"/>
        <rFont val="Calibri"/>
        <family val="2"/>
        <scheme val="minor"/>
      </rPr>
      <t>(Masson)</t>
    </r>
  </si>
  <si>
    <r>
      <t xml:space="preserve">Gull Bashir </t>
    </r>
    <r>
      <rPr>
        <sz val="10"/>
        <color theme="1"/>
        <rFont val="Calibri"/>
        <family val="2"/>
        <scheme val="minor"/>
      </rPr>
      <t>(Masson)</t>
    </r>
  </si>
  <si>
    <t>Sabir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</si>
  <si>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Meezan </t>
    </r>
    <r>
      <rPr>
        <sz val="8"/>
        <color theme="1"/>
        <rFont val="Calibri"/>
        <family val="2"/>
        <scheme val="minor"/>
      </rPr>
      <t>Chq#</t>
    </r>
  </si>
  <si>
    <r>
      <t xml:space="preserve">Liaqat (Contractor)       </t>
    </r>
    <r>
      <rPr>
        <sz val="9"/>
        <color theme="1"/>
        <rFont val="Calibri"/>
        <family val="2"/>
        <scheme val="minor"/>
      </rPr>
      <t>(Cash)</t>
    </r>
  </si>
  <si>
    <t>Reti Chaan + Bailcha</t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</si>
  <si>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July-19 Payment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</si>
  <si>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Ahmed/Zada) </t>
    </r>
    <r>
      <rPr>
        <sz val="8"/>
        <color theme="1"/>
        <rFont val="Calibri"/>
        <family val="2"/>
        <scheme val="minor"/>
      </rPr>
      <t>Cash</t>
    </r>
  </si>
  <si>
    <t>Haji aziz (Shuttring)</t>
  </si>
  <si>
    <t>Kamraa Turrai Adda Labour</t>
  </si>
  <si>
    <t>Pranch Plumber kliye</t>
  </si>
  <si>
    <r>
      <t xml:space="preserve">Haqq Nawaz (Labour)  </t>
    </r>
    <r>
      <rPr>
        <sz val="9"/>
        <color theme="1"/>
        <rFont val="Calibri"/>
        <family val="2"/>
        <scheme val="minor"/>
      </rPr>
      <t>Month Aug-19 Payment</t>
    </r>
  </si>
  <si>
    <t>Labour Mix Payment</t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</si>
  <si>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Aug-19 Payment</t>
    </r>
  </si>
  <si>
    <t>Shuttring Labour (Baba)</t>
  </si>
  <si>
    <r>
      <t xml:space="preserve">Haqq Nawaz (Labour)  </t>
    </r>
    <r>
      <rPr>
        <sz val="9"/>
        <color theme="1"/>
        <rFont val="Calibri"/>
        <family val="2"/>
        <scheme val="minor"/>
      </rPr>
      <t>Month Sep-19 Payment</t>
    </r>
  </si>
  <si>
    <t>Bailcha</t>
  </si>
  <si>
    <t>Robe</t>
  </si>
  <si>
    <r>
      <t xml:space="preserve">Liaqat (Contractor)       </t>
    </r>
    <r>
      <rPr>
        <sz val="9"/>
        <color theme="1"/>
        <rFont val="Calibri"/>
        <family val="2"/>
        <scheme val="minor"/>
      </rPr>
      <t>(HBL 000117)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</si>
  <si>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Transfer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</si>
  <si>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Sep-19 Payment</t>
    </r>
  </si>
  <si>
    <t>Babar (Labour)</t>
  </si>
  <si>
    <t>Reti Chaan + Robe</t>
  </si>
  <si>
    <r>
      <t xml:space="preserve">Rab-Nawaz </t>
    </r>
    <r>
      <rPr>
        <sz val="9"/>
        <color theme="1"/>
        <rFont val="Calibri"/>
        <family val="2"/>
        <scheme val="minor"/>
      </rPr>
      <t>(Painter)</t>
    </r>
  </si>
  <si>
    <t>Wooden Piece (Golla)</t>
  </si>
  <si>
    <t>Rab-Nawaz (Painter)</t>
  </si>
  <si>
    <r>
      <t xml:space="preserve">Taagari </t>
    </r>
    <r>
      <rPr>
        <sz val="9"/>
        <color theme="1"/>
        <rFont val="Calibri"/>
        <family val="2"/>
        <scheme val="minor"/>
      </rPr>
      <t>(For Site)</t>
    </r>
  </si>
  <si>
    <r>
      <t xml:space="preserve">Goola/Kacha Plaster </t>
    </r>
    <r>
      <rPr>
        <sz val="9"/>
        <color theme="1"/>
        <rFont val="Calibri"/>
        <family val="2"/>
        <scheme val="minor"/>
      </rPr>
      <t>(Akram Messon+Labour)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</si>
  <si>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Oct-19 Payment</t>
    </r>
  </si>
  <si>
    <r>
      <t xml:space="preserve">Babar (Labour)              </t>
    </r>
    <r>
      <rPr>
        <sz val="9"/>
        <color theme="1"/>
        <rFont val="Calibri"/>
        <family val="2"/>
        <scheme val="minor"/>
      </rPr>
      <t>Month Oct-19 Payment</t>
    </r>
  </si>
  <si>
    <r>
      <t xml:space="preserve">Massoon+Labour </t>
    </r>
    <r>
      <rPr>
        <sz val="10"/>
        <color theme="1"/>
        <rFont val="Calibri"/>
        <family val="2"/>
        <scheme val="minor"/>
      </rPr>
      <t>(Mix Work)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</si>
  <si>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Oct-19 Payment</t>
    </r>
  </si>
  <si>
    <r>
      <t xml:space="preserve">Pakka Kaam </t>
    </r>
    <r>
      <rPr>
        <sz val="9"/>
        <color theme="1"/>
        <rFont val="Calibri"/>
        <family val="2"/>
        <scheme val="minor"/>
      </rPr>
      <t>(Chemical)</t>
    </r>
  </si>
  <si>
    <t>Head of Account</t>
  </si>
  <si>
    <t>Credit /(Credit)                Rs.</t>
  </si>
  <si>
    <t>ARIF</t>
  </si>
  <si>
    <t>Receipt-payment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</si>
  <si>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</si>
  <si>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</si>
  <si>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</si>
  <si>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</si>
  <si>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</si>
  <si>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</si>
  <si>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</si>
  <si>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</si>
  <si>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</si>
  <si>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</si>
  <si>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</si>
  <si>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</si>
  <si>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</si>
  <si>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</si>
  <si>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</si>
  <si>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</si>
  <si>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</si>
  <si>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</si>
  <si>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</si>
  <si>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</si>
  <si>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</si>
  <si>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</si>
  <si>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</si>
  <si>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</si>
  <si>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</si>
  <si>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</si>
  <si>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</si>
  <si>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</si>
  <si>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</si>
  <si>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</si>
  <si>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</si>
  <si>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</si>
  <si>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</si>
  <si>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</si>
  <si>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</si>
  <si>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</si>
  <si>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</si>
  <si>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</si>
  <si>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</si>
  <si>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</si>
  <si>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</si>
  <si>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</si>
  <si>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</si>
  <si>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</si>
  <si>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</si>
  <si>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</si>
  <si>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</si>
  <si>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</si>
  <si>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</si>
  <si>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A-50</t>
  </si>
  <si>
    <t>A-51</t>
  </si>
  <si>
    <t>A-52</t>
  </si>
  <si>
    <t>A-53</t>
  </si>
  <si>
    <t>A-54</t>
  </si>
  <si>
    <t>A-55</t>
  </si>
  <si>
    <t>A-56</t>
  </si>
  <si>
    <t>A-57</t>
  </si>
  <si>
    <t>A-58</t>
  </si>
  <si>
    <t>A-59</t>
  </si>
  <si>
    <t>A-60</t>
  </si>
  <si>
    <t>A-61</t>
  </si>
  <si>
    <t>A-62</t>
  </si>
  <si>
    <t>A-63</t>
  </si>
  <si>
    <t>A-64</t>
  </si>
  <si>
    <t>A-65</t>
  </si>
  <si>
    <t>A-66</t>
  </si>
  <si>
    <t>A-67</t>
  </si>
  <si>
    <t>A-68</t>
  </si>
  <si>
    <t>A-69</t>
  </si>
  <si>
    <t>A-70</t>
  </si>
  <si>
    <t>A-71</t>
  </si>
  <si>
    <t>A-72</t>
  </si>
  <si>
    <t>A-73</t>
  </si>
  <si>
    <t>A-74</t>
  </si>
  <si>
    <t>A-75</t>
  </si>
  <si>
    <t>A-76</t>
  </si>
  <si>
    <t>A-77</t>
  </si>
  <si>
    <t>A-78</t>
  </si>
  <si>
    <t>A-79</t>
  </si>
  <si>
    <t>A-80</t>
  </si>
  <si>
    <t>A-81</t>
  </si>
  <si>
    <t>A-82</t>
  </si>
  <si>
    <t>A-83</t>
  </si>
  <si>
    <t>A-84</t>
  </si>
  <si>
    <t>A-85</t>
  </si>
  <si>
    <t>A-86</t>
  </si>
  <si>
    <t>A-87</t>
  </si>
  <si>
    <t>A-88</t>
  </si>
  <si>
    <t>A-89</t>
  </si>
  <si>
    <t>A-90</t>
  </si>
  <si>
    <t>A-91</t>
  </si>
  <si>
    <t>A-92</t>
  </si>
  <si>
    <t>A-93</t>
  </si>
  <si>
    <t>A-94</t>
  </si>
  <si>
    <t>A-95</t>
  </si>
  <si>
    <t>A-96</t>
  </si>
  <si>
    <t>A-97</t>
  </si>
  <si>
    <t>A-98</t>
  </si>
  <si>
    <t>A-99</t>
  </si>
  <si>
    <t>A-100</t>
  </si>
  <si>
    <t>A-101</t>
  </si>
  <si>
    <t>A-102</t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</si>
  <si>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</si>
  <si>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</si>
  <si>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</si>
  <si>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</si>
  <si>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</si>
  <si>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</si>
  <si>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</si>
  <si>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</si>
  <si>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A-111</t>
  </si>
  <si>
    <t>A-112</t>
  </si>
  <si>
    <t>A-113</t>
  </si>
  <si>
    <t>A-114</t>
  </si>
  <si>
    <t>A-115</t>
  </si>
  <si>
    <t>A-116</t>
  </si>
  <si>
    <t>A-117</t>
  </si>
  <si>
    <t>A-118</t>
  </si>
  <si>
    <t>A-119</t>
  </si>
  <si>
    <t>A-120</t>
  </si>
  <si>
    <t>A-121</t>
  </si>
  <si>
    <t>A-122</t>
  </si>
  <si>
    <t>A-123</t>
  </si>
  <si>
    <t>A-124</t>
  </si>
  <si>
    <t>A-125</t>
  </si>
  <si>
    <t>A-126</t>
  </si>
  <si>
    <t>A-127</t>
  </si>
  <si>
    <t>A-128</t>
  </si>
  <si>
    <t>A-129</t>
  </si>
  <si>
    <t>A-130</t>
  </si>
  <si>
    <t>A-131</t>
  </si>
  <si>
    <t>A-132</t>
  </si>
  <si>
    <t>A-133</t>
  </si>
  <si>
    <t>A-134</t>
  </si>
  <si>
    <t>A-135</t>
  </si>
  <si>
    <t>A-136</t>
  </si>
  <si>
    <t>A-137</t>
  </si>
  <si>
    <t>A-138</t>
  </si>
  <si>
    <t>A-139</t>
  </si>
  <si>
    <t>A-140</t>
  </si>
  <si>
    <t>A-141</t>
  </si>
  <si>
    <t>A-142</t>
  </si>
  <si>
    <t>A-143</t>
  </si>
  <si>
    <t>A-144</t>
  </si>
  <si>
    <t>A-145</t>
  </si>
  <si>
    <t>A-146</t>
  </si>
  <si>
    <t>A-147</t>
  </si>
  <si>
    <t>A-148</t>
  </si>
  <si>
    <t>A-149</t>
  </si>
  <si>
    <t>A-150</t>
  </si>
  <si>
    <t>A-151</t>
  </si>
  <si>
    <t>A-152</t>
  </si>
  <si>
    <t>A-153</t>
  </si>
  <si>
    <t>A-154</t>
  </si>
  <si>
    <t>A-155</t>
  </si>
  <si>
    <t>A-156</t>
  </si>
  <si>
    <t>A-157</t>
  </si>
  <si>
    <t>A-158</t>
  </si>
  <si>
    <t>A-159</t>
  </si>
  <si>
    <t>A-160</t>
  </si>
  <si>
    <t>A-161</t>
  </si>
  <si>
    <t>A-162</t>
  </si>
  <si>
    <t>A-163</t>
  </si>
  <si>
    <t>A-164</t>
  </si>
  <si>
    <t>A-165</t>
  </si>
  <si>
    <t>A-166</t>
  </si>
  <si>
    <t>A-167</t>
  </si>
  <si>
    <t>A-168</t>
  </si>
  <si>
    <t>A-169</t>
  </si>
  <si>
    <t>A-170</t>
  </si>
  <si>
    <t>A-171</t>
  </si>
  <si>
    <t>A-172</t>
  </si>
  <si>
    <t>A-173</t>
  </si>
  <si>
    <t>A-174</t>
  </si>
  <si>
    <t>A-175</t>
  </si>
  <si>
    <t>A-176</t>
  </si>
  <si>
    <t>A-177</t>
  </si>
  <si>
    <t>A-178</t>
  </si>
  <si>
    <t>A-179</t>
  </si>
  <si>
    <t>A-180</t>
  </si>
  <si>
    <t>A-181</t>
  </si>
  <si>
    <t>A-182</t>
  </si>
  <si>
    <t>A-183</t>
  </si>
  <si>
    <t>A-184</t>
  </si>
  <si>
    <t>A-185</t>
  </si>
  <si>
    <t>A-186</t>
  </si>
  <si>
    <t>A-187</t>
  </si>
  <si>
    <t>A-188</t>
  </si>
  <si>
    <t>A-189</t>
  </si>
  <si>
    <t>A-190</t>
  </si>
  <si>
    <t>A-191</t>
  </si>
  <si>
    <t>A-192</t>
  </si>
  <si>
    <t>A-193</t>
  </si>
  <si>
    <t>A-194</t>
  </si>
  <si>
    <t>A-195</t>
  </si>
  <si>
    <t>A-196</t>
  </si>
  <si>
    <t>A-197</t>
  </si>
  <si>
    <t>A-198</t>
  </si>
  <si>
    <t>A-199</t>
  </si>
  <si>
    <t>A-200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</si>
  <si>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</si>
  <si>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</si>
  <si>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</si>
  <si>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</si>
  <si>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</si>
  <si>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</si>
  <si>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</si>
  <si>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</si>
  <si>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</si>
  <si>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</si>
  <si>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</si>
  <si>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</si>
  <si>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</si>
  <si>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</si>
  <si>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</si>
  <si>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A-216</t>
  </si>
  <si>
    <t>A-217</t>
  </si>
  <si>
    <t>A-218</t>
  </si>
  <si>
    <t>A-219</t>
  </si>
  <si>
    <t>A-220</t>
  </si>
  <si>
    <t>A-221</t>
  </si>
  <si>
    <t>A-222</t>
  </si>
  <si>
    <t>A-223</t>
  </si>
  <si>
    <t>A-224</t>
  </si>
  <si>
    <t>A-225</t>
  </si>
  <si>
    <t>A-226</t>
  </si>
  <si>
    <t>A-227</t>
  </si>
  <si>
    <t>A-228</t>
  </si>
  <si>
    <t>A-229</t>
  </si>
  <si>
    <t>A-230</t>
  </si>
  <si>
    <t>A-231</t>
  </si>
  <si>
    <t>A-232</t>
  </si>
  <si>
    <t>A-233</t>
  </si>
  <si>
    <t>A-234</t>
  </si>
  <si>
    <t>A-235</t>
  </si>
  <si>
    <t>A-236</t>
  </si>
  <si>
    <t>A-237</t>
  </si>
  <si>
    <t>A-238</t>
  </si>
  <si>
    <t>A-239</t>
  </si>
  <si>
    <t>A-240</t>
  </si>
  <si>
    <t>A-241</t>
  </si>
  <si>
    <t>A-242</t>
  </si>
  <si>
    <t>A-243</t>
  </si>
  <si>
    <t>A-244</t>
  </si>
  <si>
    <t>A-245</t>
  </si>
  <si>
    <t>A-246</t>
  </si>
  <si>
    <t>A-247</t>
  </si>
  <si>
    <t>A-248</t>
  </si>
  <si>
    <t>A-249</t>
  </si>
  <si>
    <t>A-250</t>
  </si>
  <si>
    <t>A-251</t>
  </si>
  <si>
    <t>A-252</t>
  </si>
  <si>
    <t>A-253</t>
  </si>
  <si>
    <t>A-254</t>
  </si>
  <si>
    <t>A-255</t>
  </si>
  <si>
    <t>A-256</t>
  </si>
  <si>
    <t>A-257</t>
  </si>
  <si>
    <t>A-258</t>
  </si>
  <si>
    <t>A-259</t>
  </si>
  <si>
    <t>A-260</t>
  </si>
  <si>
    <t>A-261</t>
  </si>
  <si>
    <t>A-262</t>
  </si>
  <si>
    <t>A-263</t>
  </si>
  <si>
    <t>A-264</t>
  </si>
  <si>
    <t>A-265</t>
  </si>
  <si>
    <t>A-266</t>
  </si>
  <si>
    <t>A-267</t>
  </si>
  <si>
    <t>A-268</t>
  </si>
  <si>
    <t>A-269</t>
  </si>
  <si>
    <t>A-270</t>
  </si>
  <si>
    <t>A-271</t>
  </si>
  <si>
    <t>A-272</t>
  </si>
  <si>
    <t>A-273</t>
  </si>
  <si>
    <t>A-274</t>
  </si>
  <si>
    <t>A-275</t>
  </si>
  <si>
    <t>A-276</t>
  </si>
  <si>
    <t>A-277</t>
  </si>
  <si>
    <t>A-278</t>
  </si>
  <si>
    <t>A-279</t>
  </si>
  <si>
    <t>A-280</t>
  </si>
  <si>
    <t>A-281</t>
  </si>
  <si>
    <t>A-282</t>
  </si>
  <si>
    <t>A-283</t>
  </si>
  <si>
    <t>A-284</t>
  </si>
  <si>
    <t>A-285</t>
  </si>
  <si>
    <t>A-286</t>
  </si>
  <si>
    <t>A-287</t>
  </si>
  <si>
    <t>A-288</t>
  </si>
  <si>
    <t>A-289</t>
  </si>
  <si>
    <t>A-290</t>
  </si>
  <si>
    <t>A-291</t>
  </si>
  <si>
    <t>A-292</t>
  </si>
  <si>
    <t>A-293</t>
  </si>
  <si>
    <t>A-294</t>
  </si>
  <si>
    <t>A-295</t>
  </si>
  <si>
    <t>A-296</t>
  </si>
  <si>
    <t>A-297</t>
  </si>
  <si>
    <t>A-298</t>
  </si>
  <si>
    <t>A-299</t>
  </si>
  <si>
    <t>A-300</t>
  </si>
  <si>
    <t>A-301</t>
  </si>
  <si>
    <t>A-302</t>
  </si>
  <si>
    <t>A-303</t>
  </si>
  <si>
    <t>A-304</t>
  </si>
  <si>
    <t>A-305</t>
  </si>
  <si>
    <t>A-306</t>
  </si>
  <si>
    <t>A-307</t>
  </si>
  <si>
    <t>A-308</t>
  </si>
  <si>
    <t>A-309</t>
  </si>
  <si>
    <t>A-310</t>
  </si>
  <si>
    <t>A-311</t>
  </si>
  <si>
    <t>A-312</t>
  </si>
  <si>
    <t>A-313</t>
  </si>
  <si>
    <t>A-314</t>
  </si>
  <si>
    <t>A-315</t>
  </si>
  <si>
    <t>A-316</t>
  </si>
  <si>
    <t>A-317</t>
  </si>
  <si>
    <t>A-318</t>
  </si>
  <si>
    <t>A-319</t>
  </si>
  <si>
    <t>A-320</t>
  </si>
  <si>
    <t>A-321</t>
  </si>
  <si>
    <t>A-322</t>
  </si>
  <si>
    <t>A-323</t>
  </si>
  <si>
    <t>A-324</t>
  </si>
  <si>
    <t>A-325</t>
  </si>
  <si>
    <t>A-326</t>
  </si>
  <si>
    <t>A-327</t>
  </si>
  <si>
    <t>A-328</t>
  </si>
  <si>
    <t>A-329</t>
  </si>
  <si>
    <t>A-330</t>
  </si>
  <si>
    <t>A-331</t>
  </si>
  <si>
    <t>A-332</t>
  </si>
  <si>
    <t>A-333</t>
  </si>
  <si>
    <t>A-334</t>
  </si>
  <si>
    <t>A-335</t>
  </si>
  <si>
    <t>A-336</t>
  </si>
  <si>
    <t>A-337</t>
  </si>
  <si>
    <t>A-338</t>
  </si>
  <si>
    <t>A-339</t>
  </si>
  <si>
    <t>A-340</t>
  </si>
  <si>
    <t>A-341</t>
  </si>
  <si>
    <t>A-342</t>
  </si>
  <si>
    <t>A-343</t>
  </si>
  <si>
    <t>A-344</t>
  </si>
  <si>
    <t>A-345</t>
  </si>
  <si>
    <t>A-346</t>
  </si>
  <si>
    <t>A-347</t>
  </si>
  <si>
    <t>A-348</t>
  </si>
  <si>
    <t>A-349</t>
  </si>
  <si>
    <t>A-350</t>
  </si>
  <si>
    <t>A-351</t>
  </si>
  <si>
    <t>A-352</t>
  </si>
  <si>
    <t>A-353</t>
  </si>
  <si>
    <t>A-354</t>
  </si>
  <si>
    <t>A-355</t>
  </si>
  <si>
    <t>A-356</t>
  </si>
  <si>
    <t>A-357</t>
  </si>
  <si>
    <t>A-358</t>
  </si>
  <si>
    <t>A-359</t>
  </si>
  <si>
    <t>A-360</t>
  </si>
  <si>
    <t>A-361</t>
  </si>
  <si>
    <t>A-362</t>
  </si>
  <si>
    <t>A-363</t>
  </si>
  <si>
    <t>A-364</t>
  </si>
  <si>
    <t>A-365</t>
  </si>
  <si>
    <t>A-366</t>
  </si>
  <si>
    <t>A-367</t>
  </si>
  <si>
    <t>A-368</t>
  </si>
  <si>
    <t>A-369</t>
  </si>
  <si>
    <t>A-370</t>
  </si>
  <si>
    <t>A-371</t>
  </si>
  <si>
    <t>A-372</t>
  </si>
  <si>
    <t>A-373</t>
  </si>
  <si>
    <t>A-374</t>
  </si>
  <si>
    <t>A-375</t>
  </si>
  <si>
    <t>A-376</t>
  </si>
  <si>
    <t>A-377</t>
  </si>
  <si>
    <t>A-378</t>
  </si>
  <si>
    <t>A-379</t>
  </si>
  <si>
    <t>A-380</t>
  </si>
  <si>
    <t>A-381</t>
  </si>
  <si>
    <t>A-382</t>
  </si>
  <si>
    <t>A-383</t>
  </si>
  <si>
    <t>A-384</t>
  </si>
  <si>
    <t>A-385</t>
  </si>
  <si>
    <t>A-386</t>
  </si>
  <si>
    <t>A-387</t>
  </si>
  <si>
    <t>A-388</t>
  </si>
  <si>
    <t>A-389</t>
  </si>
  <si>
    <t>A-390</t>
  </si>
  <si>
    <t>A-391</t>
  </si>
  <si>
    <t>A-392</t>
  </si>
  <si>
    <t>A-393</t>
  </si>
  <si>
    <t>A-394</t>
  </si>
  <si>
    <t>A-395</t>
  </si>
  <si>
    <t>A-396</t>
  </si>
  <si>
    <t>A-397</t>
  </si>
  <si>
    <t>A-398</t>
  </si>
  <si>
    <t>A-399</t>
  </si>
  <si>
    <t>A-400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</si>
  <si>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</si>
  <si>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</si>
  <si>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</si>
  <si>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</si>
  <si>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</si>
  <si>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</si>
  <si>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</si>
  <si>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</si>
  <si>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A-409</t>
  </si>
  <si>
    <t>A-410</t>
  </si>
  <si>
    <t>A-411</t>
  </si>
  <si>
    <t>A-412</t>
  </si>
  <si>
    <t>A-413</t>
  </si>
  <si>
    <t>A-414</t>
  </si>
  <si>
    <t>A-415</t>
  </si>
  <si>
    <t>A-416</t>
  </si>
  <si>
    <t>A-417</t>
  </si>
  <si>
    <t>A-418</t>
  </si>
  <si>
    <t>A-419</t>
  </si>
  <si>
    <t>A-420</t>
  </si>
  <si>
    <t>A-421</t>
  </si>
  <si>
    <t>A-422</t>
  </si>
  <si>
    <t>A-423</t>
  </si>
  <si>
    <t>A-424</t>
  </si>
  <si>
    <t>A-425</t>
  </si>
  <si>
    <t>A-426</t>
  </si>
  <si>
    <t>A-427</t>
  </si>
  <si>
    <t>A-428</t>
  </si>
  <si>
    <t>A-429</t>
  </si>
  <si>
    <t>A-430</t>
  </si>
  <si>
    <t>A-431</t>
  </si>
  <si>
    <t>A-432</t>
  </si>
  <si>
    <t>A-433</t>
  </si>
  <si>
    <t>A-434</t>
  </si>
  <si>
    <t>A-435</t>
  </si>
  <si>
    <t>A-436</t>
  </si>
  <si>
    <t>A-437</t>
  </si>
  <si>
    <t>A-438</t>
  </si>
  <si>
    <t>A-439</t>
  </si>
  <si>
    <t>A-440</t>
  </si>
  <si>
    <t>A-441</t>
  </si>
  <si>
    <t>A-442</t>
  </si>
  <si>
    <t>A-443</t>
  </si>
  <si>
    <t>A-444</t>
  </si>
  <si>
    <t>A-445</t>
  </si>
  <si>
    <t>A-446</t>
  </si>
  <si>
    <t>A-447</t>
  </si>
  <si>
    <t>A-448</t>
  </si>
  <si>
    <t>A-449</t>
  </si>
  <si>
    <t>A-450</t>
  </si>
  <si>
    <t>A-451</t>
  </si>
  <si>
    <t>A-452</t>
  </si>
  <si>
    <t>A-453</t>
  </si>
  <si>
    <t>A-454</t>
  </si>
  <si>
    <t>A-455</t>
  </si>
  <si>
    <t>A-456</t>
  </si>
  <si>
    <t>A-457</t>
  </si>
  <si>
    <t>A-458</t>
  </si>
  <si>
    <t>A-459</t>
  </si>
  <si>
    <t>A-460</t>
  </si>
  <si>
    <t>A-461</t>
  </si>
  <si>
    <t>A-462</t>
  </si>
  <si>
    <t>A-463</t>
  </si>
  <si>
    <t>A-464</t>
  </si>
  <si>
    <t>A-465</t>
  </si>
  <si>
    <t>A-466</t>
  </si>
  <si>
    <t>A-467</t>
  </si>
  <si>
    <t>A-468</t>
  </si>
  <si>
    <t>A-469</t>
  </si>
  <si>
    <t>A-470</t>
  </si>
  <si>
    <t>A-471</t>
  </si>
  <si>
    <t>A-472</t>
  </si>
  <si>
    <t>A-473</t>
  </si>
  <si>
    <t>A-474</t>
  </si>
  <si>
    <t>A-475</t>
  </si>
  <si>
    <t>A-476</t>
  </si>
  <si>
    <t>A-477</t>
  </si>
  <si>
    <t>A-478</t>
  </si>
  <si>
    <t>A-479</t>
  </si>
  <si>
    <t>A-480</t>
  </si>
  <si>
    <t>A-481</t>
  </si>
  <si>
    <t>A-482</t>
  </si>
  <si>
    <t>A-483</t>
  </si>
  <si>
    <t>A-484</t>
  </si>
  <si>
    <t>A-485</t>
  </si>
  <si>
    <t>A-486</t>
  </si>
  <si>
    <t>A-487</t>
  </si>
  <si>
    <t>A-488</t>
  </si>
  <si>
    <t>A-489</t>
  </si>
  <si>
    <t>A-490</t>
  </si>
  <si>
    <t>A-491</t>
  </si>
  <si>
    <t>A-492</t>
  </si>
  <si>
    <t>A-493</t>
  </si>
  <si>
    <t>A-494</t>
  </si>
  <si>
    <t>A-495</t>
  </si>
  <si>
    <t>A-496</t>
  </si>
  <si>
    <t>A-497</t>
  </si>
  <si>
    <t>A-498</t>
  </si>
  <si>
    <t>A-499</t>
  </si>
  <si>
    <t>A-500</t>
  </si>
  <si>
    <t>A-501</t>
  </si>
  <si>
    <t>A-502</t>
  </si>
  <si>
    <t>A-503</t>
  </si>
  <si>
    <t>A-504</t>
  </si>
  <si>
    <t>A-505</t>
  </si>
  <si>
    <t>A-506</t>
  </si>
  <si>
    <t>A-507</t>
  </si>
  <si>
    <t>A-508</t>
  </si>
  <si>
    <t>A-509</t>
  </si>
  <si>
    <t>A-510</t>
  </si>
  <si>
    <t>A-511</t>
  </si>
  <si>
    <t>A-512</t>
  </si>
  <si>
    <t>A-513</t>
  </si>
  <si>
    <t>A-514</t>
  </si>
  <si>
    <t>A-515</t>
  </si>
  <si>
    <t>A-516</t>
  </si>
  <si>
    <t>A-517</t>
  </si>
  <si>
    <t>A-518</t>
  </si>
  <si>
    <t>A-519</t>
  </si>
  <si>
    <t>A-520</t>
  </si>
  <si>
    <t>A-521</t>
  </si>
  <si>
    <t>A-522</t>
  </si>
  <si>
    <t>A-523</t>
  </si>
  <si>
    <t>A-524</t>
  </si>
  <si>
    <t>A-525</t>
  </si>
  <si>
    <t>A-526</t>
  </si>
  <si>
    <t>A-527</t>
  </si>
  <si>
    <t>A-528</t>
  </si>
  <si>
    <t>A-529</t>
  </si>
  <si>
    <t>A-530</t>
  </si>
  <si>
    <t>A-531</t>
  </si>
  <si>
    <t>A-532</t>
  </si>
  <si>
    <t>A-533</t>
  </si>
  <si>
    <t>A-534</t>
  </si>
  <si>
    <t>A-535</t>
  </si>
  <si>
    <t>A-536</t>
  </si>
  <si>
    <t>A-537</t>
  </si>
  <si>
    <t>A-538</t>
  </si>
  <si>
    <t>A-539</t>
  </si>
  <si>
    <t>A-540</t>
  </si>
  <si>
    <t>A-541</t>
  </si>
  <si>
    <t>A-542</t>
  </si>
  <si>
    <t>A-543</t>
  </si>
  <si>
    <t>A-544</t>
  </si>
  <si>
    <t>A-545</t>
  </si>
  <si>
    <t>A-546</t>
  </si>
  <si>
    <t>A-547</t>
  </si>
  <si>
    <t>A-548</t>
  </si>
  <si>
    <t>A-549</t>
  </si>
  <si>
    <t>A-550</t>
  </si>
  <si>
    <t>A-551</t>
  </si>
  <si>
    <t>A-552</t>
  </si>
  <si>
    <t>A-553</t>
  </si>
  <si>
    <t>A-554</t>
  </si>
  <si>
    <t>A-555</t>
  </si>
  <si>
    <t>A-556</t>
  </si>
  <si>
    <t>A-557</t>
  </si>
  <si>
    <t>A-558</t>
  </si>
  <si>
    <t>A-559</t>
  </si>
  <si>
    <t>A-560</t>
  </si>
  <si>
    <t>A-561</t>
  </si>
  <si>
    <t>A-562</t>
  </si>
  <si>
    <t>A-563</t>
  </si>
  <si>
    <t>A-564</t>
  </si>
  <si>
    <t>A-565</t>
  </si>
  <si>
    <t>A-566</t>
  </si>
  <si>
    <t>A-567</t>
  </si>
  <si>
    <t>A-568</t>
  </si>
  <si>
    <t>A-569</t>
  </si>
  <si>
    <t>A-570</t>
  </si>
  <si>
    <t>A-571</t>
  </si>
  <si>
    <t>A-572</t>
  </si>
  <si>
    <t>A-573</t>
  </si>
  <si>
    <t>A-574</t>
  </si>
  <si>
    <t>A-575</t>
  </si>
  <si>
    <t>A-576</t>
  </si>
  <si>
    <t>A-577</t>
  </si>
  <si>
    <t>A-578</t>
  </si>
  <si>
    <t>A-579</t>
  </si>
  <si>
    <t>A-580</t>
  </si>
  <si>
    <t>A-581</t>
  </si>
  <si>
    <t>A-582</t>
  </si>
  <si>
    <t>A-583</t>
  </si>
  <si>
    <t>A-584</t>
  </si>
  <si>
    <t>A-585</t>
  </si>
  <si>
    <t>A-586</t>
  </si>
  <si>
    <t>A-587</t>
  </si>
  <si>
    <t>A-588</t>
  </si>
  <si>
    <t>A-589</t>
  </si>
  <si>
    <t>A-590</t>
  </si>
  <si>
    <t>A-591</t>
  </si>
  <si>
    <t>A-592</t>
  </si>
  <si>
    <t>A-593</t>
  </si>
  <si>
    <t>A-594</t>
  </si>
  <si>
    <t>A-595</t>
  </si>
  <si>
    <t>A-596</t>
  </si>
  <si>
    <t>A-597</t>
  </si>
  <si>
    <t>A-598</t>
  </si>
  <si>
    <t>A-599</t>
  </si>
  <si>
    <t>A-600</t>
  </si>
  <si>
    <t>A-601</t>
  </si>
  <si>
    <t>A-602</t>
  </si>
  <si>
    <t>A-603</t>
  </si>
  <si>
    <t>A-604</t>
  </si>
  <si>
    <t>A-605</t>
  </si>
  <si>
    <t>A-606</t>
  </si>
  <si>
    <t>A-607</t>
  </si>
  <si>
    <t>A-608</t>
  </si>
  <si>
    <t>A-609</t>
  </si>
  <si>
    <t>A-610</t>
  </si>
  <si>
    <t>A-611</t>
  </si>
  <si>
    <t>A-612</t>
  </si>
  <si>
    <t>A-613</t>
  </si>
  <si>
    <t>A-614</t>
  </si>
  <si>
    <t>A-615</t>
  </si>
  <si>
    <t>A-616</t>
  </si>
  <si>
    <t>A-617</t>
  </si>
  <si>
    <t>A-618</t>
  </si>
  <si>
    <t>A-619</t>
  </si>
  <si>
    <t>A-620</t>
  </si>
  <si>
    <t>A-621</t>
  </si>
  <si>
    <t>A-622</t>
  </si>
  <si>
    <t>A-623</t>
  </si>
  <si>
    <t>A-624</t>
  </si>
  <si>
    <t>A-625</t>
  </si>
  <si>
    <t>A-626</t>
  </si>
  <si>
    <t>A-627</t>
  </si>
  <si>
    <t>A-628</t>
  </si>
  <si>
    <t>A-629</t>
  </si>
  <si>
    <t>A-630</t>
  </si>
  <si>
    <t>A-631</t>
  </si>
  <si>
    <t>A-632</t>
  </si>
  <si>
    <t>A-633</t>
  </si>
  <si>
    <t>A-634</t>
  </si>
  <si>
    <t>A-635</t>
  </si>
  <si>
    <t>A-636</t>
  </si>
  <si>
    <t>A-637</t>
  </si>
  <si>
    <t>A-638</t>
  </si>
  <si>
    <t>A-639</t>
  </si>
  <si>
    <t>A-640</t>
  </si>
  <si>
    <t>A-641</t>
  </si>
  <si>
    <t>A-642</t>
  </si>
  <si>
    <t>A-643</t>
  </si>
  <si>
    <t>A-644</t>
  </si>
  <si>
    <t>A-645</t>
  </si>
  <si>
    <t>A-646</t>
  </si>
  <si>
    <t>A-647</t>
  </si>
  <si>
    <t>A-648</t>
  </si>
  <si>
    <t>A-649</t>
  </si>
  <si>
    <t>A-650</t>
  </si>
  <si>
    <t>A-651</t>
  </si>
  <si>
    <t>A-652</t>
  </si>
  <si>
    <t>A-653</t>
  </si>
  <si>
    <t>A-654</t>
  </si>
  <si>
    <t>A-655</t>
  </si>
  <si>
    <t>A-656</t>
  </si>
  <si>
    <t>A-657</t>
  </si>
  <si>
    <t>A-658</t>
  </si>
  <si>
    <t>A-659</t>
  </si>
  <si>
    <t>A-660</t>
  </si>
  <si>
    <t>A-661</t>
  </si>
  <si>
    <t>A-662</t>
  </si>
  <si>
    <t>A-663</t>
  </si>
  <si>
    <t>A-664</t>
  </si>
  <si>
    <t>A-665</t>
  </si>
  <si>
    <t>A-666</t>
  </si>
  <si>
    <t>A-667</t>
  </si>
  <si>
    <t>A-668</t>
  </si>
  <si>
    <t>A-669</t>
  </si>
  <si>
    <t>A-670</t>
  </si>
  <si>
    <t>A-671</t>
  </si>
  <si>
    <t>A-672</t>
  </si>
  <si>
    <t>A-673</t>
  </si>
  <si>
    <t>A-674</t>
  </si>
  <si>
    <t>A-675</t>
  </si>
  <si>
    <t>A-676</t>
  </si>
  <si>
    <t>A-677</t>
  </si>
  <si>
    <t>A-678</t>
  </si>
  <si>
    <t>A-679</t>
  </si>
  <si>
    <t>A-680</t>
  </si>
  <si>
    <t>A-681</t>
  </si>
  <si>
    <t>A-682</t>
  </si>
  <si>
    <t>A-683</t>
  </si>
  <si>
    <t>A-684</t>
  </si>
  <si>
    <t>A-685</t>
  </si>
  <si>
    <t>A-686</t>
  </si>
  <si>
    <t>A-687</t>
  </si>
  <si>
    <t>A-688</t>
  </si>
  <si>
    <t>A-689</t>
  </si>
  <si>
    <t>A-690</t>
  </si>
  <si>
    <t>A-691</t>
  </si>
  <si>
    <t>A-692</t>
  </si>
  <si>
    <t>A-693</t>
  </si>
  <si>
    <t>A-694</t>
  </si>
  <si>
    <t>A-695</t>
  </si>
  <si>
    <t>A-696</t>
  </si>
  <si>
    <t>A-697</t>
  </si>
  <si>
    <t>A-698</t>
  </si>
  <si>
    <t>A-699</t>
  </si>
  <si>
    <t>A-700</t>
  </si>
  <si>
    <t>A-701</t>
  </si>
  <si>
    <t>A-702</t>
  </si>
  <si>
    <t>A-703</t>
  </si>
  <si>
    <t>A-704</t>
  </si>
  <si>
    <t>A-705</t>
  </si>
  <si>
    <t>A-706</t>
  </si>
  <si>
    <t>A-707</t>
  </si>
  <si>
    <t>A-708</t>
  </si>
  <si>
    <t>A-709</t>
  </si>
  <si>
    <t>A-710</t>
  </si>
  <si>
    <t>A-711</t>
  </si>
  <si>
    <t>A-712</t>
  </si>
  <si>
    <t>A-713</t>
  </si>
  <si>
    <t>A-714</t>
  </si>
  <si>
    <t>A-715</t>
  </si>
  <si>
    <t>A-716</t>
  </si>
  <si>
    <t>A-717</t>
  </si>
  <si>
    <t>A-718</t>
  </si>
  <si>
    <t>A-719</t>
  </si>
  <si>
    <t>A-720</t>
  </si>
  <si>
    <t>A-721</t>
  </si>
  <si>
    <t>A-722</t>
  </si>
  <si>
    <t>A-723</t>
  </si>
  <si>
    <t>A-724</t>
  </si>
  <si>
    <t>A-725</t>
  </si>
  <si>
    <t>A-726</t>
  </si>
  <si>
    <t>A-727</t>
  </si>
  <si>
    <t>A-728</t>
  </si>
  <si>
    <t>A-729</t>
  </si>
  <si>
    <t>A-730</t>
  </si>
  <si>
    <t>A-731</t>
  </si>
  <si>
    <t>A-732</t>
  </si>
  <si>
    <t>A-733</t>
  </si>
  <si>
    <t>A-734</t>
  </si>
  <si>
    <t>A-735</t>
  </si>
  <si>
    <t>A-736</t>
  </si>
  <si>
    <t>A-737</t>
  </si>
  <si>
    <t>A-738</t>
  </si>
  <si>
    <t>A-739</t>
  </si>
  <si>
    <t>A-740</t>
  </si>
  <si>
    <t>A-741</t>
  </si>
  <si>
    <t>A-742</t>
  </si>
  <si>
    <t>A-743</t>
  </si>
  <si>
    <t>A-744</t>
  </si>
  <si>
    <t>A-745</t>
  </si>
  <si>
    <t>A-746</t>
  </si>
  <si>
    <t>A-747</t>
  </si>
  <si>
    <t>A-748</t>
  </si>
  <si>
    <t>A-749</t>
  </si>
  <si>
    <t>A-750</t>
  </si>
  <si>
    <t>A-751</t>
  </si>
  <si>
    <t>A-752</t>
  </si>
  <si>
    <t>A-753</t>
  </si>
  <si>
    <t>A-754</t>
  </si>
  <si>
    <t>A-755</t>
  </si>
  <si>
    <t>A-756</t>
  </si>
  <si>
    <t>A-757</t>
  </si>
  <si>
    <t>A-758</t>
  </si>
  <si>
    <t>A-759</t>
  </si>
  <si>
    <t>A-760</t>
  </si>
  <si>
    <t>A-761</t>
  </si>
  <si>
    <t>A-762</t>
  </si>
  <si>
    <t>A-763</t>
  </si>
  <si>
    <t>A-764</t>
  </si>
  <si>
    <t>A-765</t>
  </si>
  <si>
    <t>A-766</t>
  </si>
  <si>
    <t>A-767</t>
  </si>
  <si>
    <t>A-768</t>
  </si>
  <si>
    <t>A-769</t>
  </si>
  <si>
    <t>A-770</t>
  </si>
  <si>
    <t>A-771</t>
  </si>
  <si>
    <t>A-772</t>
  </si>
  <si>
    <t>A-773</t>
  </si>
  <si>
    <t>A-774</t>
  </si>
  <si>
    <t>A-775</t>
  </si>
  <si>
    <t>A-776</t>
  </si>
  <si>
    <t>A-777</t>
  </si>
  <si>
    <t>A-778</t>
  </si>
  <si>
    <t>A-779</t>
  </si>
  <si>
    <t>A-780</t>
  </si>
  <si>
    <t>A-781</t>
  </si>
  <si>
    <t>A-782</t>
  </si>
  <si>
    <t>A-783</t>
  </si>
  <si>
    <t>A-784</t>
  </si>
  <si>
    <t>A-785</t>
  </si>
  <si>
    <t>A-786</t>
  </si>
  <si>
    <t>A-787</t>
  </si>
  <si>
    <t>A-788</t>
  </si>
  <si>
    <t>A-789</t>
  </si>
  <si>
    <t>A-790</t>
  </si>
  <si>
    <t>A-791</t>
  </si>
  <si>
    <t>A-792</t>
  </si>
  <si>
    <t>A-793</t>
  </si>
  <si>
    <t>A-794</t>
  </si>
  <si>
    <t>A-795</t>
  </si>
  <si>
    <t>A-796</t>
  </si>
  <si>
    <t>A-797</t>
  </si>
  <si>
    <t>A-798</t>
  </si>
  <si>
    <t>A-799</t>
  </si>
  <si>
    <t>A-800</t>
  </si>
  <si>
    <t>A-801</t>
  </si>
  <si>
    <t>A-802</t>
  </si>
  <si>
    <t>A-803</t>
  </si>
  <si>
    <t>A-804</t>
  </si>
  <si>
    <t>A-805</t>
  </si>
  <si>
    <t>A-806</t>
  </si>
  <si>
    <t>A-807</t>
  </si>
  <si>
    <t>A-808</t>
  </si>
  <si>
    <t>A-809</t>
  </si>
  <si>
    <t>A-810</t>
  </si>
  <si>
    <t>A-811</t>
  </si>
  <si>
    <t>A-812</t>
  </si>
  <si>
    <t>A-813</t>
  </si>
  <si>
    <t>A-814</t>
  </si>
  <si>
    <t>A-815</t>
  </si>
  <si>
    <t>A-816</t>
  </si>
  <si>
    <t>A-817</t>
  </si>
  <si>
    <t>A-818</t>
  </si>
  <si>
    <t>A-819</t>
  </si>
  <si>
    <t>A-820</t>
  </si>
  <si>
    <t>A-821</t>
  </si>
  <si>
    <t>A-822</t>
  </si>
  <si>
    <t>A-823</t>
  </si>
  <si>
    <t>A-824</t>
  </si>
  <si>
    <t>A-825</t>
  </si>
  <si>
    <t>A-826</t>
  </si>
  <si>
    <t>A-827</t>
  </si>
  <si>
    <t>A-828</t>
  </si>
  <si>
    <t>A-829</t>
  </si>
  <si>
    <t>A-830</t>
  </si>
  <si>
    <t>A-831</t>
  </si>
  <si>
    <t>A-832</t>
  </si>
  <si>
    <t>A-833</t>
  </si>
  <si>
    <t>A-834</t>
  </si>
  <si>
    <t>A-835</t>
  </si>
  <si>
    <t>A-836</t>
  </si>
  <si>
    <t>A-837</t>
  </si>
  <si>
    <t>A-838</t>
  </si>
  <si>
    <t>A-839</t>
  </si>
  <si>
    <t>A-840</t>
  </si>
  <si>
    <t>A-841</t>
  </si>
  <si>
    <t>A-842</t>
  </si>
  <si>
    <t>A-843</t>
  </si>
  <si>
    <t>A-844</t>
  </si>
  <si>
    <t>A-845</t>
  </si>
  <si>
    <t>A-846</t>
  </si>
  <si>
    <t>A-847</t>
  </si>
  <si>
    <t>A-848</t>
  </si>
  <si>
    <t>A-849</t>
  </si>
  <si>
    <t>A-850</t>
  </si>
  <si>
    <t>A-851</t>
  </si>
  <si>
    <t>A-852</t>
  </si>
  <si>
    <t>A-853</t>
  </si>
  <si>
    <t>A-854</t>
  </si>
  <si>
    <t>A-855</t>
  </si>
  <si>
    <t>A-856</t>
  </si>
  <si>
    <t>A-857</t>
  </si>
  <si>
    <t>A-858</t>
  </si>
  <si>
    <t>A-859</t>
  </si>
  <si>
    <t>A-860</t>
  </si>
  <si>
    <t>A-861</t>
  </si>
  <si>
    <t>A-862</t>
  </si>
  <si>
    <t>A-864</t>
  </si>
  <si>
    <t>A-865</t>
  </si>
  <si>
    <t>A-866</t>
  </si>
  <si>
    <t>Z-1</t>
  </si>
  <si>
    <t>Zada</t>
  </si>
  <si>
    <t>Payment</t>
  </si>
  <si>
    <t>Z-2</t>
  </si>
  <si>
    <t>Samandar (Masson)</t>
  </si>
  <si>
    <t>Z-3</t>
  </si>
  <si>
    <t>Z-4</t>
  </si>
  <si>
    <t>Farooq (Supervisor)</t>
  </si>
  <si>
    <t>Z-5</t>
  </si>
  <si>
    <t>Sindhi Labour</t>
  </si>
  <si>
    <t>Z-6</t>
  </si>
  <si>
    <t>Excavated Earth Sellout</t>
  </si>
  <si>
    <t>Receipt</t>
  </si>
  <si>
    <t>Z-7</t>
  </si>
  <si>
    <t>Excavator (Nawaz)         50x2000</t>
  </si>
  <si>
    <t>Z-8</t>
  </si>
  <si>
    <t>Laatri Walay Ko</t>
  </si>
  <si>
    <t>Z-9</t>
  </si>
  <si>
    <t>Excavator Bhaata</t>
  </si>
  <si>
    <t>Z-10</t>
  </si>
  <si>
    <t>Z-11</t>
  </si>
  <si>
    <t>Kandactor Kharcha</t>
  </si>
  <si>
    <t>Z-12</t>
  </si>
  <si>
    <t>Dumper 2 Haazri</t>
  </si>
  <si>
    <t>Z-13</t>
  </si>
  <si>
    <t>Compactor Rent</t>
  </si>
  <si>
    <t>Z-14</t>
  </si>
  <si>
    <t>Petrol</t>
  </si>
  <si>
    <t>Z-15</t>
  </si>
  <si>
    <t>Trolly</t>
  </si>
  <si>
    <t>Z-16</t>
  </si>
  <si>
    <t>Rang+Doori+Keel</t>
  </si>
  <si>
    <t>Z-17</t>
  </si>
  <si>
    <t>Juice+Chaai</t>
  </si>
  <si>
    <t>Z-18</t>
  </si>
  <si>
    <t>Drum+Balcha+Geeti</t>
  </si>
  <si>
    <t>Z-19</t>
  </si>
  <si>
    <t>Phatay Karaya</t>
  </si>
  <si>
    <t>Z-20</t>
  </si>
  <si>
    <t>Rawksha Karaya+Labour Mistiri Paisay</t>
  </si>
  <si>
    <t>Z-21</t>
  </si>
  <si>
    <t>Z-22</t>
  </si>
  <si>
    <t>Long Boot+Dastanay</t>
  </si>
  <si>
    <t>Z-23</t>
  </si>
  <si>
    <t>Z-24</t>
  </si>
  <si>
    <t>Inch Tape</t>
  </si>
  <si>
    <t>Z-25</t>
  </si>
  <si>
    <t>Solution Tape</t>
  </si>
  <si>
    <t>Z-26</t>
  </si>
  <si>
    <t>Petrol Gallon Rent</t>
  </si>
  <si>
    <t>Z-27</t>
  </si>
  <si>
    <t>Z-28</t>
  </si>
  <si>
    <t>Reeti Chaan</t>
  </si>
  <si>
    <t>Z-29</t>
  </si>
  <si>
    <t>Hand Level</t>
  </si>
  <si>
    <t>Z-30</t>
  </si>
  <si>
    <t>Redoxide</t>
  </si>
  <si>
    <t>Z-31</t>
  </si>
  <si>
    <t>Drawing Photocopy+Coating</t>
  </si>
  <si>
    <t>Z-32</t>
  </si>
  <si>
    <t>Haatora 2Nos.</t>
  </si>
  <si>
    <t>Z-33</t>
  </si>
  <si>
    <t>Cheni 2Nos.</t>
  </si>
  <si>
    <t>Z-34</t>
  </si>
  <si>
    <t>Z-35</t>
  </si>
  <si>
    <t>Shah Dost (Labour)</t>
  </si>
  <si>
    <t>Z-36</t>
  </si>
  <si>
    <t>Z-37</t>
  </si>
  <si>
    <t>Z-38</t>
  </si>
  <si>
    <t>Nawaz</t>
  </si>
  <si>
    <t>Z-39</t>
  </si>
  <si>
    <t>Z-40</t>
  </si>
  <si>
    <t>Qaari (Masson)</t>
  </si>
  <si>
    <t>Z-41</t>
  </si>
  <si>
    <t>Kashif Kay Aadmi</t>
  </si>
  <si>
    <t>Z-42</t>
  </si>
  <si>
    <t>Bharai Walay Kay Aadmi</t>
  </si>
  <si>
    <t>Z-43</t>
  </si>
  <si>
    <t>Z-44</t>
  </si>
  <si>
    <t>Ramzaan (Labour)</t>
  </si>
  <si>
    <t>Z-45</t>
  </si>
  <si>
    <t>Z-46</t>
  </si>
  <si>
    <t>Z-47</t>
  </si>
  <si>
    <t>Nawaz (Chemical Labour)</t>
  </si>
  <si>
    <t>Z-48</t>
  </si>
  <si>
    <t>ARIF CONTRACTOR (at state agency Ali Raza)</t>
  </si>
  <si>
    <t>Z-49</t>
  </si>
  <si>
    <t>ARIF CONTRACTOR (Raft Pouring)</t>
  </si>
  <si>
    <t>Z-50</t>
  </si>
  <si>
    <t>Vibrator+Petrol</t>
  </si>
  <si>
    <t>Z-51</t>
  </si>
  <si>
    <t>Paid to Arif Contractor for (Rafting)</t>
  </si>
  <si>
    <t>Z-52</t>
  </si>
  <si>
    <t>Arif Contractor Cash by Ali's Hand Received by Mohammad Zada</t>
  </si>
  <si>
    <t>Z-53</t>
  </si>
  <si>
    <t>Ali) Arif Contractor</t>
  </si>
  <si>
    <t>Z-54</t>
  </si>
  <si>
    <t>For Rafting</t>
  </si>
  <si>
    <t>Z-55</t>
  </si>
  <si>
    <t>Phatay</t>
  </si>
  <si>
    <t>Z-56</t>
  </si>
  <si>
    <t>Ghoori Banwai</t>
  </si>
  <si>
    <t>Z-57</t>
  </si>
  <si>
    <t>Labour</t>
  </si>
  <si>
    <t>Z-58</t>
  </si>
  <si>
    <t>Z-59</t>
  </si>
  <si>
    <t>Z-60</t>
  </si>
  <si>
    <t>Z-61</t>
  </si>
  <si>
    <t>Channa Moota Karaya</t>
  </si>
  <si>
    <t>Z-62</t>
  </si>
  <si>
    <t>Eidi Chokidaar+Labour</t>
  </si>
  <si>
    <t>Z-63</t>
  </si>
  <si>
    <t>Pranch Phattay Karaya</t>
  </si>
  <si>
    <t>Z-64</t>
  </si>
  <si>
    <t>Hillti Karaya</t>
  </si>
  <si>
    <t>Z-65</t>
  </si>
  <si>
    <t>Chani+Haatora</t>
  </si>
  <si>
    <t>Z-66</t>
  </si>
  <si>
    <t>Z-67</t>
  </si>
  <si>
    <t>Z-68</t>
  </si>
  <si>
    <t>Z-69</t>
  </si>
  <si>
    <t>Z-70</t>
  </si>
  <si>
    <t>Z-71</t>
  </si>
  <si>
    <t>Z-72</t>
  </si>
  <si>
    <t>Chacha Latif (Labour)</t>
  </si>
  <si>
    <t>Z-73</t>
  </si>
  <si>
    <t>Ammanullah (Labour)</t>
  </si>
  <si>
    <t>Z-74</t>
  </si>
  <si>
    <t>Z-75</t>
  </si>
  <si>
    <t>Amaan</t>
  </si>
  <si>
    <t>Z-76</t>
  </si>
  <si>
    <t>Chaai Baraf</t>
  </si>
  <si>
    <t>Z-77</t>
  </si>
  <si>
    <t>Chaai</t>
  </si>
  <si>
    <t>Z-78</t>
  </si>
  <si>
    <t>Z-79</t>
  </si>
  <si>
    <t>Z-80</t>
  </si>
  <si>
    <t>Basement Slab</t>
  </si>
  <si>
    <t>Z-81</t>
  </si>
  <si>
    <t>Loader (AF) / (MZ)</t>
  </si>
  <si>
    <t>Z-82</t>
  </si>
  <si>
    <t>Z-83</t>
  </si>
  <si>
    <t>Z-84</t>
  </si>
  <si>
    <t>Z-85</t>
  </si>
  <si>
    <t>Z-86</t>
  </si>
  <si>
    <t>Z-87</t>
  </si>
  <si>
    <t>Z-88</t>
  </si>
  <si>
    <t>Haatim Khan</t>
  </si>
  <si>
    <t>Z-89</t>
  </si>
  <si>
    <t>Z-90</t>
  </si>
  <si>
    <t>Nawaz ki Labour</t>
  </si>
  <si>
    <t>Z-91</t>
  </si>
  <si>
    <t>Tahir (Labour)</t>
  </si>
  <si>
    <t>Z-92</t>
  </si>
  <si>
    <t>Masood Kay Banday</t>
  </si>
  <si>
    <t>Z-93</t>
  </si>
  <si>
    <t>Abdull Samad (Baloch Labour)</t>
  </si>
  <si>
    <t>Z-94</t>
  </si>
  <si>
    <t>Riyaaz (Baloch Labour)</t>
  </si>
  <si>
    <t>Z-95</t>
  </si>
  <si>
    <t>Z-96</t>
  </si>
  <si>
    <t>Z-97</t>
  </si>
  <si>
    <t>Arif Contractor (27 Columns)</t>
  </si>
  <si>
    <t>Z-98</t>
  </si>
  <si>
    <r>
      <t xml:space="preserve">Rehmat (Labour)        </t>
    </r>
    <r>
      <rPr>
        <sz val="9"/>
        <color theme="1"/>
        <rFont val="Calibri"/>
        <family val="2"/>
        <scheme val="minor"/>
      </rPr>
      <t>Kharcha</t>
    </r>
  </si>
  <si>
    <t>Z-99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</si>
  <si>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</si>
  <si>
    <t>Z-100</t>
  </si>
  <si>
    <r>
      <t xml:space="preserve">Bashir </t>
    </r>
    <r>
      <rPr>
        <sz val="10"/>
        <color theme="1"/>
        <rFont val="Calibri"/>
        <family val="2"/>
        <scheme val="minor"/>
      </rPr>
      <t>(Electric)</t>
    </r>
  </si>
  <si>
    <t>Z-101</t>
  </si>
  <si>
    <r>
      <t xml:space="preserve">Khaleel </t>
    </r>
    <r>
      <rPr>
        <sz val="9"/>
        <color theme="1"/>
        <rFont val="Calibri"/>
        <family val="2"/>
        <scheme val="minor"/>
      </rPr>
      <t>(Plumber)</t>
    </r>
  </si>
  <si>
    <t>Z-102</t>
  </si>
  <si>
    <r>
      <t xml:space="preserve">Kashif </t>
    </r>
    <r>
      <rPr>
        <sz val="10"/>
        <color theme="1"/>
        <rFont val="Calibri"/>
        <family val="2"/>
        <scheme val="minor"/>
      </rPr>
      <t>(Steel)</t>
    </r>
  </si>
  <si>
    <t>Z-103</t>
  </si>
  <si>
    <r>
      <t xml:space="preserve">Nawab Zada </t>
    </r>
    <r>
      <rPr>
        <sz val="10"/>
        <color theme="1"/>
        <rFont val="Calibri"/>
        <family val="2"/>
        <scheme val="minor"/>
      </rPr>
      <t>(Chunai Plaster)</t>
    </r>
  </si>
  <si>
    <t>Z-104</t>
  </si>
  <si>
    <r>
      <t xml:space="preserve">Haaji Aziz </t>
    </r>
    <r>
      <rPr>
        <sz val="10"/>
        <color theme="1"/>
        <rFont val="Calibri"/>
        <family val="2"/>
        <scheme val="minor"/>
      </rPr>
      <t>(Shuttring)</t>
    </r>
  </si>
  <si>
    <t>Z-105</t>
  </si>
  <si>
    <r>
      <t xml:space="preserve">Liaqat </t>
    </r>
    <r>
      <rPr>
        <sz val="10"/>
        <color theme="1"/>
        <rFont val="Calibri"/>
        <family val="2"/>
        <scheme val="minor"/>
      </rPr>
      <t>(Reti Bajri)</t>
    </r>
  </si>
  <si>
    <t>Z-106</t>
  </si>
  <si>
    <t>Z-107</t>
  </si>
  <si>
    <t>Z-108</t>
  </si>
  <si>
    <t>Hilti Repairing</t>
  </si>
  <si>
    <t>Z-109</t>
  </si>
  <si>
    <t>Z-110</t>
  </si>
  <si>
    <t>Tea for Labour</t>
  </si>
  <si>
    <t>Z-111</t>
  </si>
  <si>
    <t>Z-112</t>
  </si>
  <si>
    <t>Grander</t>
  </si>
  <si>
    <t>Z-113</t>
  </si>
  <si>
    <t>Z-114</t>
  </si>
  <si>
    <t>Cylinder Test</t>
  </si>
  <si>
    <t>Z-115</t>
  </si>
  <si>
    <t>Chacha Latif</t>
  </si>
  <si>
    <t>Z-116</t>
  </si>
  <si>
    <t>Curing (Hashim &amp; Majid)</t>
  </si>
  <si>
    <t>Z-117</t>
  </si>
  <si>
    <t>Z-118</t>
  </si>
  <si>
    <t>Grander Disk</t>
  </si>
  <si>
    <t>Z-119</t>
  </si>
  <si>
    <t>Paid for Shop Roof</t>
  </si>
  <si>
    <t>Z-120</t>
  </si>
  <si>
    <t>Long Shoes</t>
  </si>
  <si>
    <t>Z-121</t>
  </si>
  <si>
    <t>Z-122</t>
  </si>
  <si>
    <t>Qaari Messon</t>
  </si>
  <si>
    <t>Z-123</t>
  </si>
  <si>
    <t>Z-124</t>
  </si>
  <si>
    <t>Amman-ullah (Labour)</t>
  </si>
  <si>
    <t>Z-125</t>
  </si>
  <si>
    <t>Z-126</t>
  </si>
  <si>
    <t>Haji Nazaqat (Labour)</t>
  </si>
  <si>
    <t>Z-127</t>
  </si>
  <si>
    <t>Pappo (Pouring)                  1st Floor Slab</t>
  </si>
  <si>
    <t>Z-128</t>
  </si>
  <si>
    <t>Z-129</t>
  </si>
  <si>
    <t>Asif Bhai</t>
  </si>
  <si>
    <t>Z-130</t>
  </si>
  <si>
    <t>Z-131</t>
  </si>
  <si>
    <t>Z-132</t>
  </si>
  <si>
    <t>Aaari Blade</t>
  </si>
  <si>
    <t>Z-133</t>
  </si>
  <si>
    <t>Jhaaro and Brush</t>
  </si>
  <si>
    <t>Z-134</t>
  </si>
  <si>
    <t>Z-135</t>
  </si>
  <si>
    <t>Z-136</t>
  </si>
  <si>
    <t>Z-137</t>
  </si>
  <si>
    <t>Z-138</t>
  </si>
  <si>
    <t>Z-139</t>
  </si>
  <si>
    <t>Z-140</t>
  </si>
  <si>
    <t>Z-141</t>
  </si>
  <si>
    <t>Vibratour Service</t>
  </si>
  <si>
    <t>Z-142</t>
  </si>
  <si>
    <t>Drawing photocopy and coating</t>
  </si>
  <si>
    <t>Z-143</t>
  </si>
  <si>
    <t>Steel Nails+Buraf (Korangi)</t>
  </si>
  <si>
    <t>Z-144</t>
  </si>
  <si>
    <t>Z-145</t>
  </si>
  <si>
    <t>Korangi Labour Kharcha</t>
  </si>
  <si>
    <t>Z-146</t>
  </si>
  <si>
    <t>1st Floor Column Filling (Arif Contractor)</t>
  </si>
  <si>
    <t>Z-147</t>
  </si>
  <si>
    <t>Z-148</t>
  </si>
  <si>
    <t>Z-149</t>
  </si>
  <si>
    <t>Gull-Jaan (Labour)</t>
  </si>
  <si>
    <t>Z-150</t>
  </si>
  <si>
    <t>Dasti to Khan Zada on dated 20/08/2018 Adjustment Entry</t>
  </si>
  <si>
    <t>Z-151</t>
  </si>
  <si>
    <r>
      <t xml:space="preserve">Payment Received M.Habib </t>
    </r>
    <r>
      <rPr>
        <sz val="9"/>
        <color theme="1"/>
        <rFont val="Calibri"/>
        <family val="2"/>
        <scheme val="minor"/>
      </rPr>
      <t>Chq#31085</t>
    </r>
  </si>
  <si>
    <t>Z-152</t>
  </si>
  <si>
    <t>Nawaz Paymen Haydri MZ</t>
  </si>
  <si>
    <t>Z-153</t>
  </si>
  <si>
    <r>
      <t xml:space="preserve">Paid against M.Habib </t>
    </r>
    <r>
      <rPr>
        <sz val="10"/>
        <color theme="1"/>
        <rFont val="Calibri"/>
        <family val="2"/>
        <scheme val="minor"/>
      </rPr>
      <t>(Flat No.201)</t>
    </r>
    <r>
      <rPr>
        <sz val="11"/>
        <color theme="1"/>
        <rFont val="Calibri"/>
        <family val="2"/>
        <scheme val="minor"/>
      </rPr>
      <t xml:space="preserve"> c/o M.Zada</t>
    </r>
  </si>
  <si>
    <t>Z-154</t>
  </si>
  <si>
    <t>Adjustment Flate # 201 Muhammad Habib</t>
  </si>
  <si>
    <t>Z-155</t>
  </si>
  <si>
    <t>Cash Received Farooq Supervisor C/O M Zada</t>
  </si>
  <si>
    <t>I-1</t>
  </si>
  <si>
    <t>Mujahid (Masson)</t>
  </si>
  <si>
    <t>Ajjab Khan (Masson)</t>
  </si>
  <si>
    <t>Aazam (Labour)</t>
  </si>
  <si>
    <r>
      <t xml:space="preserve">Liaqat (Contractor)       </t>
    </r>
    <r>
      <rPr>
        <sz val="9"/>
        <color theme="1"/>
        <rFont val="Calibri"/>
        <family val="2"/>
        <scheme val="minor"/>
      </rPr>
      <t>(Cash, Arif Sb)</t>
    </r>
  </si>
  <si>
    <r>
      <t xml:space="preserve">Babar (Labour)              </t>
    </r>
    <r>
      <rPr>
        <sz val="9"/>
        <color theme="1"/>
        <rFont val="Calibri"/>
        <family val="2"/>
        <scheme val="minor"/>
      </rPr>
      <t>Month Nov-19 Payment</t>
    </r>
  </si>
  <si>
    <t>I-2</t>
  </si>
  <si>
    <t>I-3</t>
  </si>
  <si>
    <t>I-4</t>
  </si>
  <si>
    <t>I-5</t>
  </si>
  <si>
    <t>I-6</t>
  </si>
  <si>
    <t>I-7</t>
  </si>
  <si>
    <t>I-8</t>
  </si>
  <si>
    <t>I-9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</si>
  <si>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</si>
  <si>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</si>
  <si>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</si>
  <si>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</si>
  <si>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</si>
  <si>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</si>
  <si>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</si>
  <si>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</si>
  <si>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</si>
  <si>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</si>
  <si>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</si>
  <si>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</si>
  <si>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</si>
  <si>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</si>
  <si>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</si>
  <si>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</si>
  <si>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</si>
  <si>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</si>
  <si>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</si>
  <si>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</si>
  <si>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</si>
  <si>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</si>
  <si>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</si>
  <si>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</si>
  <si>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</si>
  <si>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</si>
  <si>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</si>
  <si>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</si>
  <si>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</si>
  <si>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</si>
  <si>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</si>
  <si>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</si>
  <si>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</si>
  <si>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</si>
  <si>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</si>
  <si>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</si>
  <si>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</si>
  <si>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</si>
  <si>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</si>
  <si>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receipt</t>
  </si>
  <si>
    <t>Row Labels</t>
  </si>
  <si>
    <t>Grand Total</t>
  </si>
  <si>
    <t>Column Labels</t>
  </si>
  <si>
    <t>s.no</t>
  </si>
  <si>
    <t>Pakka Kaam (Chemical)</t>
  </si>
  <si>
    <t>Amman0ullah (Labour)</t>
  </si>
  <si>
    <t>Gull0Jaan (Labour)</t>
  </si>
  <si>
    <t>Expenses Detail of Syed Arif Ali</t>
  </si>
  <si>
    <t>Payments</t>
  </si>
  <si>
    <t>Receipts</t>
  </si>
  <si>
    <t>Haq Nawaz Labour</t>
  </si>
  <si>
    <t>Received from Ahmed Bhai</t>
  </si>
  <si>
    <t>Nawab Chunai Plaster (Rd 5000 from Habib)</t>
  </si>
  <si>
    <t>Net Total</t>
  </si>
  <si>
    <t>Haq Nawaz Labour November Payment</t>
  </si>
  <si>
    <t>Ajab Khan - Meson + Labour</t>
  </si>
  <si>
    <t>Nawab - Chunai Plaster</t>
  </si>
  <si>
    <t>Trolly Bearing Repair</t>
  </si>
  <si>
    <t>Asif November Payment</t>
  </si>
  <si>
    <t>Liaqat Raity Crush</t>
  </si>
  <si>
    <t>Note-1</t>
  </si>
  <si>
    <t>Note-2</t>
  </si>
  <si>
    <t>Note-3</t>
  </si>
  <si>
    <t>Note-4</t>
  </si>
  <si>
    <t>Shuttering</t>
  </si>
  <si>
    <t>Asif Pasta</t>
  </si>
  <si>
    <t>00552987</t>
  </si>
  <si>
    <t>00552990</t>
  </si>
  <si>
    <t>00553001</t>
  </si>
  <si>
    <t>Cash - Badast Farooq</t>
  </si>
  <si>
    <t>00553006</t>
  </si>
  <si>
    <t>00553022</t>
  </si>
  <si>
    <t>00553028</t>
  </si>
  <si>
    <t>00553040</t>
  </si>
  <si>
    <t>Cash- Ibrahim</t>
  </si>
  <si>
    <t>Cash -Ibrahim</t>
  </si>
  <si>
    <t>Cash-Mushtaq</t>
  </si>
  <si>
    <t>39794567</t>
  </si>
  <si>
    <t>Cash- Ibrahim Mushtaq</t>
  </si>
  <si>
    <t>Cash - Mushtaq</t>
  </si>
  <si>
    <t>Badast Kashif</t>
  </si>
  <si>
    <t>Cash - Ibrahim</t>
  </si>
  <si>
    <t>Shawaiz Wages</t>
  </si>
  <si>
    <t>Cash Badast Arif</t>
  </si>
  <si>
    <t>2989</t>
  </si>
  <si>
    <t>2992</t>
  </si>
  <si>
    <t>39794565 _ Sher Zada</t>
  </si>
  <si>
    <t>39794566 _ Sher Zada</t>
  </si>
  <si>
    <t>Askari Cheque</t>
  </si>
  <si>
    <t>Cheque</t>
  </si>
  <si>
    <t>00553007</t>
  </si>
  <si>
    <t>019</t>
  </si>
  <si>
    <t>021</t>
  </si>
  <si>
    <t>00553023</t>
  </si>
  <si>
    <t>Dumper 2 Wages</t>
  </si>
  <si>
    <t xml:space="preserve">Loader </t>
  </si>
  <si>
    <t>Raft Poaring Gul Nawaz</t>
  </si>
  <si>
    <t>Column Poaring Gul Nawaz</t>
  </si>
  <si>
    <t>00552968 - Asif Pasta</t>
  </si>
  <si>
    <t>00552999 Asif Pasta</t>
  </si>
  <si>
    <t>Cash Badast Habib Electrician</t>
  </si>
  <si>
    <t>Cash Badast Yaser Chuta- Khalil Electrician</t>
  </si>
  <si>
    <t>Muhammad Zada Electrician</t>
  </si>
  <si>
    <t>PCC 1:4:8 - Poaring</t>
  </si>
  <si>
    <t>Mushtaq Purdy + Column- Poaring</t>
  </si>
  <si>
    <t>First Flour Slab- Poaring</t>
  </si>
  <si>
    <t>First Flour Column- Poaring</t>
  </si>
  <si>
    <t>Zada Recipt and Payment Account</t>
  </si>
  <si>
    <t>Name Arif / Zada</t>
  </si>
  <si>
    <t>Wages</t>
  </si>
  <si>
    <t>Salary</t>
  </si>
  <si>
    <t>Refreshment</t>
  </si>
  <si>
    <t>Khudai Exp</t>
  </si>
  <si>
    <t>Collection</t>
  </si>
  <si>
    <t>Expense Site</t>
  </si>
  <si>
    <t>Steel Fixing</t>
  </si>
  <si>
    <t>Aggregate Supply</t>
  </si>
  <si>
    <t>Electric Expenses</t>
  </si>
  <si>
    <t xml:space="preserve"> Kashif Steel</t>
  </si>
  <si>
    <t>Chunai Plaster</t>
  </si>
  <si>
    <t xml:space="preserve"> Waterproofing</t>
  </si>
  <si>
    <t>Shabbir Electrician (Electrician)</t>
  </si>
  <si>
    <t>Plumbing Exp</t>
  </si>
  <si>
    <t>Pouring</t>
  </si>
  <si>
    <t>Riksha Fare</t>
  </si>
  <si>
    <t>Rope</t>
  </si>
  <si>
    <t>Paint Expenses</t>
  </si>
  <si>
    <t>Zada Receipt and Payment Account</t>
  </si>
  <si>
    <t>Other Receipt</t>
  </si>
  <si>
    <t>Nawab Payment Haydri MZ</t>
  </si>
  <si>
    <r>
      <t xml:space="preserve">M.Zada </t>
    </r>
    <r>
      <rPr>
        <sz val="9"/>
        <rFont val="Calibri"/>
        <family val="2"/>
        <scheme val="minor"/>
      </rPr>
      <t>(Trolley Repair) Gullshan Site</t>
    </r>
  </si>
  <si>
    <r>
      <t xml:space="preserve">Gull Nawaz (Pouring)             </t>
    </r>
    <r>
      <rPr>
        <sz val="9"/>
        <rFont val="Calibri"/>
        <family val="2"/>
        <scheme val="minor"/>
      </rPr>
      <t>Basement Slab</t>
    </r>
  </si>
  <si>
    <r>
      <t xml:space="preserve">Rehmat (Labour)        </t>
    </r>
    <r>
      <rPr>
        <sz val="9"/>
        <rFont val="Calibri"/>
        <family val="2"/>
        <scheme val="minor"/>
      </rPr>
      <t>Kharcha</t>
    </r>
  </si>
  <si>
    <r>
      <t xml:space="preserve">Asif Bhai                          </t>
    </r>
    <r>
      <rPr>
        <sz val="9"/>
        <rFont val="Calibri"/>
        <family val="2"/>
        <scheme val="minor"/>
      </rPr>
      <t>Month July-18 Payment</t>
    </r>
  </si>
  <si>
    <r>
      <t xml:space="preserve">Papu (Pouring)                              </t>
    </r>
    <r>
      <rPr>
        <sz val="9"/>
        <rFont val="Calibri"/>
        <family val="2"/>
        <scheme val="minor"/>
      </rPr>
      <t>1st.F</t>
    </r>
    <r>
      <rPr>
        <sz val="11"/>
        <rFont val="Calibri"/>
        <family val="2"/>
        <scheme val="minor"/>
      </rPr>
      <t>.</t>
    </r>
    <r>
      <rPr>
        <sz val="9"/>
        <rFont val="Calibri"/>
        <family val="2"/>
        <scheme val="minor"/>
      </rPr>
      <t>Column</t>
    </r>
  </si>
  <si>
    <r>
      <t xml:space="preserve">Ibraheem (Shuttring)                       </t>
    </r>
    <r>
      <rPr>
        <sz val="9"/>
        <rFont val="Calibri"/>
        <family val="2"/>
        <scheme val="minor"/>
      </rPr>
      <t>CASH</t>
    </r>
  </si>
  <si>
    <r>
      <t xml:space="preserve">Papu (Pouring)                               </t>
    </r>
    <r>
      <rPr>
        <sz val="9"/>
        <rFont val="Calibri"/>
        <family val="2"/>
        <scheme val="minor"/>
      </rPr>
      <t>Short Coll.</t>
    </r>
  </si>
  <si>
    <r>
      <t xml:space="preserve">Mushtaaq (Shuttring)                       </t>
    </r>
    <r>
      <rPr>
        <sz val="9"/>
        <rFont val="Calibri"/>
        <family val="2"/>
        <scheme val="minor"/>
      </rPr>
      <t>CASH</t>
    </r>
  </si>
  <si>
    <r>
      <t xml:space="preserve">Redoxide </t>
    </r>
    <r>
      <rPr>
        <sz val="10"/>
        <rFont val="Calibri"/>
        <family val="2"/>
        <scheme val="minor"/>
      </rPr>
      <t>(for layout)</t>
    </r>
  </si>
  <si>
    <r>
      <t xml:space="preserve">Ibraheem (Shuttring)         </t>
    </r>
    <r>
      <rPr>
        <sz val="9"/>
        <rFont val="Calibri"/>
        <family val="2"/>
        <scheme val="minor"/>
      </rPr>
      <t>HBL Chq.00000036</t>
    </r>
  </si>
  <si>
    <r>
      <t xml:space="preserve">Ibraheem (Shuttring)    </t>
    </r>
    <r>
      <rPr>
        <sz val="9"/>
        <rFont val="Calibri"/>
        <family val="2"/>
        <scheme val="minor"/>
      </rPr>
      <t>HBL Chq. Agnst Matrl</t>
    </r>
  </si>
  <si>
    <r>
      <t xml:space="preserve">Nawab Zada </t>
    </r>
    <r>
      <rPr>
        <sz val="9"/>
        <rFont val="Calibri"/>
        <family val="2"/>
        <scheme val="minor"/>
      </rPr>
      <t>(Chunai Plaster)</t>
    </r>
  </si>
  <si>
    <r>
      <t xml:space="preserve">Asif Bhai                    </t>
    </r>
    <r>
      <rPr>
        <sz val="9"/>
        <rFont val="Calibri"/>
        <family val="2"/>
        <scheme val="minor"/>
      </rPr>
      <t>Payment Month Aug-18</t>
    </r>
  </si>
  <si>
    <r>
      <t xml:space="preserve">Amount Received </t>
    </r>
    <r>
      <rPr>
        <sz val="10"/>
        <rFont val="Calibri"/>
        <family val="2"/>
        <scheme val="minor"/>
      </rPr>
      <t>(Asif received from Ahmed)</t>
    </r>
  </si>
  <si>
    <r>
      <t xml:space="preserve">Shah Waris Khan </t>
    </r>
    <r>
      <rPr>
        <sz val="10"/>
        <rFont val="Calibri"/>
        <family val="2"/>
        <scheme val="minor"/>
      </rPr>
      <t>(Shuttring)</t>
    </r>
  </si>
  <si>
    <r>
      <t xml:space="preserve">Gullzar </t>
    </r>
    <r>
      <rPr>
        <sz val="10"/>
        <rFont val="Calibri"/>
        <family val="2"/>
        <scheme val="minor"/>
      </rPr>
      <t>(Cutting Labour)</t>
    </r>
  </si>
  <si>
    <r>
      <t xml:space="preserve">Amount Received </t>
    </r>
    <r>
      <rPr>
        <sz val="10"/>
        <rFont val="Calibri"/>
        <family val="2"/>
        <scheme val="minor"/>
      </rPr>
      <t>(Asif c/o Arif Sb from Ahmed)</t>
    </r>
  </si>
  <si>
    <r>
      <t xml:space="preserve">Liaqat (Contractor)         </t>
    </r>
    <r>
      <rPr>
        <sz val="8"/>
        <rFont val="Calibri"/>
        <family val="2"/>
        <scheme val="minor"/>
      </rPr>
      <t>HBL Chq: 00000046</t>
    </r>
  </si>
  <si>
    <r>
      <t xml:space="preserve">Asif Bhai      </t>
    </r>
    <r>
      <rPr>
        <sz val="9"/>
        <rFont val="Calibri"/>
        <family val="2"/>
        <scheme val="minor"/>
      </rPr>
      <t>HBL Chq:0048,Month Sep-18 Payment</t>
    </r>
  </si>
  <si>
    <r>
      <t xml:space="preserve">Masood </t>
    </r>
    <r>
      <rPr>
        <sz val="10"/>
        <rFont val="Calibri"/>
        <family val="2"/>
        <scheme val="minor"/>
      </rPr>
      <t>(Labour)</t>
    </r>
    <r>
      <rPr>
        <sz val="11"/>
        <rFont val="Calibri"/>
        <family val="2"/>
        <scheme val="minor"/>
      </rPr>
      <t xml:space="preserve">         </t>
    </r>
    <r>
      <rPr>
        <sz val="9"/>
        <rFont val="Calibri"/>
        <family val="2"/>
        <scheme val="minor"/>
      </rPr>
      <t>Month Aug-Sep-18 Pymt</t>
    </r>
  </si>
  <si>
    <r>
      <t xml:space="preserve">Balchaa </t>
    </r>
    <r>
      <rPr>
        <sz val="10"/>
        <rFont val="Calibri"/>
        <family val="2"/>
        <scheme val="minor"/>
      </rPr>
      <t>(For Site)</t>
    </r>
  </si>
  <si>
    <r>
      <t xml:space="preserve">Taagari </t>
    </r>
    <r>
      <rPr>
        <sz val="10"/>
        <rFont val="Calibri"/>
        <family val="2"/>
        <scheme val="minor"/>
      </rPr>
      <t>(For Site)</t>
    </r>
  </si>
  <si>
    <r>
      <t xml:space="preserve">Nawaz (Labour)           </t>
    </r>
    <r>
      <rPr>
        <sz val="9"/>
        <rFont val="Calibri"/>
        <family val="2"/>
        <scheme val="minor"/>
      </rPr>
      <t>Month Sep-18 Payment</t>
    </r>
  </si>
  <si>
    <r>
      <t xml:space="preserve">Nawab Zada </t>
    </r>
    <r>
      <rPr>
        <sz val="9"/>
        <rFont val="Calibri"/>
        <family val="2"/>
        <scheme val="minor"/>
      </rPr>
      <t xml:space="preserve">(Chunai Plaster) </t>
    </r>
    <r>
      <rPr>
        <sz val="8"/>
        <rFont val="Calibri"/>
        <family val="2"/>
        <scheme val="minor"/>
      </rPr>
      <t>HMP 81431080</t>
    </r>
  </si>
  <si>
    <r>
      <t xml:space="preserve">Ismail </t>
    </r>
    <r>
      <rPr>
        <sz val="10"/>
        <rFont val="Calibri"/>
        <family val="2"/>
        <scheme val="minor"/>
      </rPr>
      <t>(Labour)</t>
    </r>
  </si>
  <si>
    <r>
      <t xml:space="preserve">Amount Received </t>
    </r>
    <r>
      <rPr>
        <sz val="10"/>
        <rFont val="Calibri"/>
        <family val="2"/>
        <scheme val="minor"/>
      </rPr>
      <t>(Arif received from Ahmed, Chq# MET-1080 )</t>
    </r>
  </si>
  <si>
    <r>
      <t xml:space="preserve">Amount Received </t>
    </r>
    <r>
      <rPr>
        <sz val="10"/>
        <rFont val="Calibri"/>
        <family val="2"/>
        <scheme val="minor"/>
      </rPr>
      <t>(Arif received from Ahmed Cash)</t>
    </r>
  </si>
  <si>
    <r>
      <t xml:space="preserve">Haji Aziz </t>
    </r>
    <r>
      <rPr>
        <sz val="10"/>
        <rFont val="Calibri"/>
        <family val="2"/>
        <scheme val="minor"/>
      </rPr>
      <t>(Shuttring)</t>
    </r>
  </si>
  <si>
    <r>
      <t xml:space="preserve">Liaqat </t>
    </r>
    <r>
      <rPr>
        <sz val="10"/>
        <rFont val="Calibri"/>
        <family val="2"/>
        <scheme val="minor"/>
      </rPr>
      <t>(Contractor)</t>
    </r>
  </si>
  <si>
    <r>
      <t xml:space="preserve">Papu (Pouring)                        </t>
    </r>
    <r>
      <rPr>
        <sz val="9"/>
        <rFont val="Calibri"/>
        <family val="2"/>
        <scheme val="minor"/>
      </rPr>
      <t>2nd Floor Slab</t>
    </r>
  </si>
  <si>
    <r>
      <t xml:space="preserve">Stop </t>
    </r>
    <r>
      <rPr>
        <sz val="10"/>
        <rFont val="Calibri"/>
        <family val="2"/>
        <scheme val="minor"/>
      </rPr>
      <t>(Adda Labour)</t>
    </r>
  </si>
  <si>
    <r>
      <t xml:space="preserve">Masood (Labour)              </t>
    </r>
    <r>
      <rPr>
        <sz val="9"/>
        <rFont val="Calibri"/>
        <family val="2"/>
        <scheme val="minor"/>
      </rPr>
      <t>Month Oct-18 Pymt</t>
    </r>
  </si>
  <si>
    <r>
      <t xml:space="preserve">Mohammad Hashir </t>
    </r>
    <r>
      <rPr>
        <sz val="10"/>
        <rFont val="Calibri"/>
        <family val="2"/>
        <scheme val="minor"/>
      </rPr>
      <t>(Labour)</t>
    </r>
  </si>
  <si>
    <r>
      <t xml:space="preserve">Payment Received M.Habib </t>
    </r>
    <r>
      <rPr>
        <sz val="9"/>
        <rFont val="Calibri"/>
        <family val="2"/>
        <scheme val="minor"/>
      </rPr>
      <t>Chq#31085</t>
    </r>
  </si>
  <si>
    <r>
      <t xml:space="preserve">Asif Bhai                         </t>
    </r>
    <r>
      <rPr>
        <sz val="9"/>
        <rFont val="Calibri"/>
        <family val="2"/>
        <scheme val="minor"/>
      </rPr>
      <t>Month Oct-18 Payment</t>
    </r>
  </si>
  <si>
    <r>
      <t xml:space="preserve">Nawaz (Labour)             </t>
    </r>
    <r>
      <rPr>
        <sz val="9"/>
        <rFont val="Calibri"/>
        <family val="2"/>
        <scheme val="minor"/>
      </rPr>
      <t>Month Oct-18 Payment</t>
    </r>
  </si>
  <si>
    <r>
      <t xml:space="preserve">Masood (Labour)  </t>
    </r>
    <r>
      <rPr>
        <sz val="9"/>
        <rFont val="Calibri"/>
        <family val="2"/>
        <scheme val="minor"/>
      </rPr>
      <t>Month remaining Oct-18 Pymt</t>
    </r>
  </si>
  <si>
    <r>
      <t xml:space="preserve">Massoon+Labour </t>
    </r>
    <r>
      <rPr>
        <sz val="10"/>
        <rFont val="Calibri"/>
        <family val="2"/>
        <scheme val="minor"/>
      </rPr>
      <t>(Nawab)</t>
    </r>
  </si>
  <si>
    <r>
      <t xml:space="preserve">Liaqat (Contractor)         </t>
    </r>
    <r>
      <rPr>
        <sz val="8"/>
        <rFont val="Calibri"/>
        <family val="2"/>
        <scheme val="minor"/>
      </rPr>
      <t>HBL Chq: 00000058</t>
    </r>
  </si>
  <si>
    <r>
      <t xml:space="preserve">Liaqat (Contractor)         </t>
    </r>
    <r>
      <rPr>
        <sz val="8"/>
        <rFont val="Calibri"/>
        <family val="2"/>
        <scheme val="minor"/>
      </rPr>
      <t>HBL Chq: 00000057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</si>
  <si>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3rd Floor Column</t>
    </r>
  </si>
  <si>
    <r>
      <t xml:space="preserve">Core Cutting     </t>
    </r>
    <r>
      <rPr>
        <sz val="10"/>
        <rFont val="Calibri"/>
        <family val="2"/>
        <scheme val="minor"/>
      </rPr>
      <t>(7 Nos)</t>
    </r>
  </si>
  <si>
    <r>
      <t xml:space="preserve">Painter  </t>
    </r>
    <r>
      <rPr>
        <sz val="10"/>
        <rFont val="Calibri"/>
        <family val="2"/>
        <scheme val="minor"/>
      </rPr>
      <t>(Babar and Farhan)</t>
    </r>
  </si>
  <si>
    <r>
      <t>Amount Received</t>
    </r>
    <r>
      <rPr>
        <sz val="10"/>
        <rFont val="Calibri"/>
        <family val="2"/>
        <scheme val="minor"/>
      </rPr>
      <t>(Arif received from Ahmed,</t>
    </r>
    <r>
      <rPr>
        <sz val="8"/>
        <rFont val="Calibri"/>
        <family val="2"/>
        <scheme val="minor"/>
      </rPr>
      <t>Chq# MET-81431090</t>
    </r>
    <r>
      <rPr>
        <sz val="10"/>
        <rFont val="Calibri"/>
        <family val="2"/>
        <scheme val="minor"/>
      </rPr>
      <t xml:space="preserve"> )</t>
    </r>
  </si>
  <si>
    <r>
      <t xml:space="preserve">Khalil </t>
    </r>
    <r>
      <rPr>
        <sz val="10"/>
        <rFont val="Calibri"/>
        <family val="2"/>
        <scheme val="minor"/>
      </rPr>
      <t>(Plumber)</t>
    </r>
  </si>
  <si>
    <r>
      <t xml:space="preserve">Amount Received </t>
    </r>
    <r>
      <rPr>
        <sz val="10"/>
        <rFont val="Calibri"/>
        <family val="2"/>
        <scheme val="minor"/>
      </rPr>
      <t>(Asif received from Ahmed)    Cash</t>
    </r>
  </si>
  <si>
    <r>
      <t xml:space="preserve">Nails+Patti </t>
    </r>
    <r>
      <rPr>
        <sz val="10"/>
        <rFont val="Calibri"/>
        <family val="2"/>
        <scheme val="minor"/>
      </rPr>
      <t>(Haji Aziz)</t>
    </r>
  </si>
  <si>
    <r>
      <t xml:space="preserve">Labour Payment </t>
    </r>
    <r>
      <rPr>
        <sz val="8"/>
        <rFont val="Calibri"/>
        <family val="2"/>
        <scheme val="minor"/>
      </rPr>
      <t>(Nawab Masson, Manhole)</t>
    </r>
  </si>
  <si>
    <r>
      <t xml:space="preserve">Nawaz (Labour)             </t>
    </r>
    <r>
      <rPr>
        <sz val="9"/>
        <rFont val="Calibri"/>
        <family val="2"/>
        <scheme val="minor"/>
      </rPr>
      <t>Month Nov-18 Payment</t>
    </r>
  </si>
  <si>
    <r>
      <t xml:space="preserve">Masood (Labour)            </t>
    </r>
    <r>
      <rPr>
        <sz val="9"/>
        <rFont val="Calibri"/>
        <family val="2"/>
        <scheme val="minor"/>
      </rPr>
      <t>Month Nov-18 Pymt</t>
    </r>
  </si>
  <si>
    <r>
      <t xml:space="preserve">Amount Received </t>
    </r>
    <r>
      <rPr>
        <sz val="10"/>
        <rFont val="Calibri"/>
        <family val="2"/>
        <scheme val="minor"/>
      </rPr>
      <t>(S.Ibtehaj received from Ahmed)    Cash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</si>
  <si>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3rd Floor Slab</t>
    </r>
  </si>
  <si>
    <r>
      <t xml:space="preserve">Asif Bhai                      </t>
    </r>
    <r>
      <rPr>
        <sz val="9"/>
        <rFont val="Calibri"/>
        <family val="2"/>
        <scheme val="minor"/>
      </rPr>
      <t>Month Nov-18 Payment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</si>
  <si>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4thFloor Column</t>
    </r>
  </si>
  <si>
    <r>
      <t xml:space="preserve">Nawaz (Labour)             </t>
    </r>
    <r>
      <rPr>
        <sz val="9"/>
        <rFont val="Calibri"/>
        <family val="2"/>
        <scheme val="minor"/>
      </rPr>
      <t>Month Dec-18 Payment</t>
    </r>
  </si>
  <si>
    <r>
      <t xml:space="preserve">Nawab Zada </t>
    </r>
    <r>
      <rPr>
        <sz val="9"/>
        <rFont val="Calibri"/>
        <family val="2"/>
        <scheme val="minor"/>
      </rPr>
      <t>(Masson+Labour Dec-18 Pymt)</t>
    </r>
  </si>
  <si>
    <r>
      <t xml:space="preserve">Masood (Labour)            </t>
    </r>
    <r>
      <rPr>
        <sz val="9"/>
        <rFont val="Calibri"/>
        <family val="2"/>
        <scheme val="minor"/>
      </rPr>
      <t>Month Dec-18 Pymt</t>
    </r>
  </si>
  <si>
    <r>
      <t xml:space="preserve">Asif Bhai                      </t>
    </r>
    <r>
      <rPr>
        <sz val="9"/>
        <rFont val="Calibri"/>
        <family val="2"/>
        <scheme val="minor"/>
      </rPr>
      <t>Month Dec-18 Payment</t>
    </r>
  </si>
  <si>
    <r>
      <t xml:space="preserve">Amman-Ullah (Labour)      </t>
    </r>
    <r>
      <rPr>
        <sz val="9"/>
        <rFont val="Calibri"/>
        <family val="2"/>
        <scheme val="minor"/>
      </rPr>
      <t>Month Dec-18 Pymt</t>
    </r>
  </si>
  <si>
    <r>
      <t xml:space="preserve">Amir (Labour)                    </t>
    </r>
    <r>
      <rPr>
        <sz val="9"/>
        <rFont val="Calibri"/>
        <family val="2"/>
        <scheme val="minor"/>
      </rPr>
      <t>Month Dec-18 Pymt</t>
    </r>
  </si>
  <si>
    <r>
      <t xml:space="preserve">Muzamil (Labour)              </t>
    </r>
    <r>
      <rPr>
        <sz val="9"/>
        <rFont val="Calibri"/>
        <family val="2"/>
        <scheme val="minor"/>
      </rPr>
      <t>Month Dec-18 Pymt</t>
    </r>
  </si>
  <si>
    <r>
      <t xml:space="preserve">Suzuki Rent       </t>
    </r>
    <r>
      <rPr>
        <sz val="9"/>
        <rFont val="Calibri"/>
        <family val="2"/>
        <scheme val="minor"/>
      </rPr>
      <t>(Material Shift KIA to /Maymar)</t>
    </r>
  </si>
  <si>
    <r>
      <t>Amount Received</t>
    </r>
    <r>
      <rPr>
        <sz val="10"/>
        <rFont val="Calibri"/>
        <family val="2"/>
        <scheme val="minor"/>
      </rPr>
      <t>(S.Ibtehaj received from Ahmed,</t>
    </r>
    <r>
      <rPr>
        <sz val="8"/>
        <rFont val="Calibri"/>
        <family val="2"/>
        <scheme val="minor"/>
      </rPr>
      <t>Chq# Mezan-...</t>
    </r>
    <r>
      <rPr>
        <sz val="10"/>
        <rFont val="Calibri"/>
        <family val="2"/>
        <scheme val="minor"/>
      </rPr>
      <t xml:space="preserve"> )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</si>
  <si>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4thFloor Slab</t>
    </r>
  </si>
  <si>
    <r>
      <t xml:space="preserve">Masood (Labour)            </t>
    </r>
    <r>
      <rPr>
        <sz val="9"/>
        <rFont val="Calibri"/>
        <family val="2"/>
        <scheme val="minor"/>
      </rPr>
      <t>Month Jan-19 Pymt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</si>
  <si>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Chq#CA-43876</t>
    </r>
  </si>
  <si>
    <r>
      <t xml:space="preserve">Amount Received </t>
    </r>
    <r>
      <rPr>
        <sz val="10"/>
        <rFont val="Calibri"/>
        <family val="2"/>
        <scheme val="minor"/>
      </rPr>
      <t>(Arif Sb received from Ahmed) Cash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</si>
  <si>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5thFloor col</t>
    </r>
  </si>
  <si>
    <r>
      <t xml:space="preserve">Amount Received </t>
    </r>
    <r>
      <rPr>
        <sz val="10"/>
        <rFont val="Calibri"/>
        <family val="2"/>
        <scheme val="minor"/>
      </rPr>
      <t>(Asif received from Ahmed) Cash</t>
    </r>
  </si>
  <si>
    <r>
      <t>Amount Received</t>
    </r>
    <r>
      <rPr>
        <sz val="10"/>
        <rFont val="Calibri"/>
        <family val="2"/>
        <scheme val="minor"/>
      </rPr>
      <t>(S.Ibtehaj received from Ahmed,</t>
    </r>
    <r>
      <rPr>
        <sz val="8"/>
        <rFont val="Calibri"/>
        <family val="2"/>
        <scheme val="minor"/>
      </rPr>
      <t>Chq# HMP51</t>
    </r>
    <r>
      <rPr>
        <sz val="10"/>
        <rFont val="Calibri"/>
        <family val="2"/>
        <scheme val="minor"/>
      </rPr>
      <t>)</t>
    </r>
  </si>
  <si>
    <r>
      <t>Amount Received</t>
    </r>
    <r>
      <rPr>
        <sz val="10"/>
        <rFont val="Calibri"/>
        <family val="2"/>
        <scheme val="minor"/>
      </rPr>
      <t>(S.Ibtehaj received from Ahmed,</t>
    </r>
    <r>
      <rPr>
        <sz val="8"/>
        <rFont val="Calibri"/>
        <family val="2"/>
        <scheme val="minor"/>
      </rPr>
      <t>Chq# HMP52</t>
    </r>
    <r>
      <rPr>
        <sz val="10"/>
        <rFont val="Calibri"/>
        <family val="2"/>
        <scheme val="minor"/>
      </rPr>
      <t>)</t>
    </r>
  </si>
  <si>
    <r>
      <t xml:space="preserve">Nawaz (Labour)             </t>
    </r>
    <r>
      <rPr>
        <sz val="9"/>
        <rFont val="Calibri"/>
        <family val="2"/>
        <scheme val="minor"/>
      </rPr>
      <t>Month Jan-19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</si>
  <si>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Jan-19 Payment</t>
    </r>
  </si>
  <si>
    <r>
      <t xml:space="preserve">Amount Received </t>
    </r>
    <r>
      <rPr>
        <sz val="10"/>
        <rFont val="Calibri"/>
        <family val="2"/>
        <scheme val="minor"/>
      </rPr>
      <t xml:space="preserve">(Arif Sb received from Ahmed Bhai) </t>
    </r>
    <r>
      <rPr>
        <sz val="8"/>
        <rFont val="Calibri"/>
        <family val="2"/>
        <scheme val="minor"/>
      </rPr>
      <t>Cash</t>
    </r>
  </si>
  <si>
    <r>
      <t xml:space="preserve">Amount Received </t>
    </r>
    <r>
      <rPr>
        <sz val="10"/>
        <rFont val="Calibri"/>
        <family val="2"/>
        <scheme val="minor"/>
      </rPr>
      <t xml:space="preserve">(Ibtehaj received from Ahmed) </t>
    </r>
    <r>
      <rPr>
        <sz val="8"/>
        <rFont val="Calibri"/>
        <family val="2"/>
        <scheme val="minor"/>
      </rPr>
      <t>Chq#33481284</t>
    </r>
  </si>
  <si>
    <r>
      <t xml:space="preserve">Amount Received </t>
    </r>
    <r>
      <rPr>
        <sz val="10"/>
        <rFont val="Calibri"/>
        <family val="2"/>
        <scheme val="minor"/>
      </rPr>
      <t xml:space="preserve">(Ibtehaj received from Ahmed) </t>
    </r>
    <r>
      <rPr>
        <sz val="8"/>
        <rFont val="Calibri"/>
        <family val="2"/>
        <scheme val="minor"/>
      </rPr>
      <t>Chq#33481286</t>
    </r>
  </si>
  <si>
    <r>
      <t xml:space="preserve">Liaqat (Contractor)         </t>
    </r>
    <r>
      <rPr>
        <sz val="9"/>
        <rFont val="Calibri"/>
        <family val="2"/>
        <scheme val="minor"/>
      </rPr>
      <t>(Al-Baraka Chq#4839)</t>
    </r>
  </si>
  <si>
    <r>
      <t xml:space="preserve">Haqq Nawaz (Labour)    </t>
    </r>
    <r>
      <rPr>
        <sz val="9"/>
        <rFont val="Calibri"/>
        <family val="2"/>
        <scheme val="minor"/>
      </rPr>
      <t>Month Feb-19 Payment</t>
    </r>
  </si>
  <si>
    <r>
      <t xml:space="preserve">Gull-Roz (Labour)         </t>
    </r>
    <r>
      <rPr>
        <sz val="9"/>
        <rFont val="Calibri"/>
        <family val="2"/>
        <scheme val="minor"/>
      </rPr>
      <t>Month Feb-19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</si>
  <si>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Feb-19 Payment</t>
    </r>
  </si>
  <si>
    <r>
      <t xml:space="preserve">Paid against M.Habib </t>
    </r>
    <r>
      <rPr>
        <sz val="10"/>
        <rFont val="Calibri"/>
        <family val="2"/>
        <scheme val="minor"/>
      </rPr>
      <t>(Flat No.201)</t>
    </r>
    <r>
      <rPr>
        <sz val="11"/>
        <rFont val="Calibri"/>
        <family val="2"/>
        <scheme val="minor"/>
      </rPr>
      <t xml:space="preserve"> c/o M.Zada</t>
    </r>
  </si>
  <si>
    <r>
      <t xml:space="preserve">Amount Received </t>
    </r>
    <r>
      <rPr>
        <sz val="10"/>
        <rFont val="Calibri"/>
        <family val="2"/>
        <scheme val="minor"/>
      </rPr>
      <t xml:space="preserve">(Ibtehaj received from Ahmed) </t>
    </r>
    <r>
      <rPr>
        <sz val="8"/>
        <rFont val="Calibri"/>
        <family val="2"/>
        <scheme val="minor"/>
      </rPr>
      <t>Cash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</si>
  <si>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5thFloor slab</t>
    </r>
  </si>
  <si>
    <r>
      <t xml:space="preserve">Liaqat (Contractor)         </t>
    </r>
    <r>
      <rPr>
        <sz val="9"/>
        <rFont val="Calibri"/>
        <family val="2"/>
        <scheme val="minor"/>
      </rPr>
      <t>(cash)</t>
    </r>
  </si>
  <si>
    <r>
      <t xml:space="preserve">Kashif (Steel)         </t>
    </r>
    <r>
      <rPr>
        <sz val="9"/>
        <rFont val="Calibri"/>
        <family val="2"/>
        <scheme val="minor"/>
      </rPr>
      <t>(Al-Baraka Chq#4844)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</si>
  <si>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Cash</t>
    </r>
  </si>
  <si>
    <r>
      <t xml:space="preserve">Liaqat (Contractor)       </t>
    </r>
    <r>
      <rPr>
        <sz val="9"/>
        <rFont val="Calibri"/>
        <family val="2"/>
        <scheme val="minor"/>
      </rPr>
      <t>(Al-Baraka Chq#4845)</t>
    </r>
  </si>
  <si>
    <r>
      <t xml:space="preserve">Liaqat (Contractor)       </t>
    </r>
    <r>
      <rPr>
        <sz val="9"/>
        <rFont val="Calibri"/>
        <family val="2"/>
        <scheme val="minor"/>
      </rPr>
      <t>(HBL Chq#00067)</t>
    </r>
  </si>
  <si>
    <r>
      <t xml:space="preserve">Nawab Zada </t>
    </r>
    <r>
      <rPr>
        <sz val="9"/>
        <rFont val="Calibri"/>
        <family val="2"/>
        <scheme val="minor"/>
      </rPr>
      <t>(Chunai Plaster) (Al-Barka Chq#4846)</t>
    </r>
  </si>
  <si>
    <r>
      <t xml:space="preserve">Babar (Labour)    </t>
    </r>
    <r>
      <rPr>
        <sz val="9"/>
        <rFont val="Calibri"/>
        <family val="2"/>
        <scheme val="minor"/>
      </rPr>
      <t>Month Mar-19 Payment</t>
    </r>
  </si>
  <si>
    <r>
      <t xml:space="preserve">Haqq Nawaz (Labour)  </t>
    </r>
    <r>
      <rPr>
        <sz val="9"/>
        <rFont val="Calibri"/>
        <family val="2"/>
        <scheme val="minor"/>
      </rPr>
      <t>Month Mar-19 Payment</t>
    </r>
  </si>
  <si>
    <r>
      <t xml:space="preserve">Abdul Razaq (Labour)  </t>
    </r>
    <r>
      <rPr>
        <sz val="9"/>
        <rFont val="Calibri"/>
        <family val="2"/>
        <scheme val="minor"/>
      </rPr>
      <t>Month Mar-19 Payment</t>
    </r>
  </si>
  <si>
    <r>
      <t xml:space="preserve">Nawab's Labour)  </t>
    </r>
    <r>
      <rPr>
        <sz val="9"/>
        <rFont val="Calibri"/>
        <family val="2"/>
        <scheme val="minor"/>
      </rPr>
      <t>Month Mar-19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</si>
  <si>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Mar-19 Payment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</si>
  <si>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Cash+Chq 200+20</t>
    </r>
  </si>
  <si>
    <r>
      <t xml:space="preserve">Nawab Zada </t>
    </r>
    <r>
      <rPr>
        <sz val="9"/>
        <rFont val="Calibri"/>
        <family val="2"/>
        <scheme val="minor"/>
      </rPr>
      <t xml:space="preserve">(Chunai Plaster)  75+50+25   </t>
    </r>
    <r>
      <rPr>
        <sz val="8"/>
        <rFont val="Calibri"/>
        <family val="2"/>
        <scheme val="minor"/>
      </rPr>
      <t>(Cash)</t>
    </r>
  </si>
  <si>
    <r>
      <t xml:space="preserve">Abdul Razaq (Labour)  </t>
    </r>
    <r>
      <rPr>
        <sz val="9"/>
        <rFont val="Calibri"/>
        <family val="2"/>
        <scheme val="minor"/>
      </rPr>
      <t>Month Apr-19 Payment</t>
    </r>
  </si>
  <si>
    <r>
      <t xml:space="preserve">Tea for labour  </t>
    </r>
    <r>
      <rPr>
        <sz val="10"/>
        <rFont val="Calibri"/>
        <family val="2"/>
        <scheme val="minor"/>
      </rPr>
      <t>5/4/19  to 19/4/19</t>
    </r>
  </si>
  <si>
    <r>
      <t xml:space="preserve">Haji aziz (Shuttring)   </t>
    </r>
    <r>
      <rPr>
        <sz val="9"/>
        <rFont val="Calibri"/>
        <family val="2"/>
        <scheme val="minor"/>
      </rPr>
      <t>(Nails)</t>
    </r>
  </si>
  <si>
    <r>
      <t xml:space="preserve">Riyaz </t>
    </r>
    <r>
      <rPr>
        <sz val="10"/>
        <rFont val="Calibri"/>
        <family val="2"/>
        <scheme val="minor"/>
      </rPr>
      <t>(Labour)</t>
    </r>
  </si>
  <si>
    <r>
      <t xml:space="preserve">Nawab Zada </t>
    </r>
    <r>
      <rPr>
        <sz val="9"/>
        <rFont val="Calibri"/>
        <family val="2"/>
        <scheme val="minor"/>
      </rPr>
      <t xml:space="preserve">(Chunai Plaster)  </t>
    </r>
    <r>
      <rPr>
        <sz val="8"/>
        <rFont val="Calibri"/>
        <family val="2"/>
        <scheme val="minor"/>
      </rPr>
      <t>30+25   (Cash)</t>
    </r>
  </si>
  <si>
    <r>
      <t xml:space="preserve">Amount Received </t>
    </r>
    <r>
      <rPr>
        <sz val="10"/>
        <rFont val="Calibri"/>
        <family val="2"/>
        <scheme val="minor"/>
      </rPr>
      <t xml:space="preserve">(Ibtehaj received from Hamza) </t>
    </r>
    <r>
      <rPr>
        <sz val="8"/>
        <rFont val="Calibri"/>
        <family val="2"/>
        <scheme val="minor"/>
      </rPr>
      <t>Cash</t>
    </r>
  </si>
  <si>
    <r>
      <t xml:space="preserve">Nawab Zada </t>
    </r>
    <r>
      <rPr>
        <sz val="9"/>
        <rFont val="Calibri"/>
        <family val="2"/>
        <scheme val="minor"/>
      </rPr>
      <t>(Chunai Plaster)    HYD M.Zada Site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</si>
  <si>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</t>
    </r>
    <r>
      <rPr>
        <sz val="8"/>
        <rFont val="Calibri"/>
        <family val="2"/>
        <scheme val="minor"/>
      </rPr>
      <t>Design+Machine Room Col</t>
    </r>
  </si>
  <si>
    <r>
      <t xml:space="preserve">Raziq (Labour)  </t>
    </r>
    <r>
      <rPr>
        <sz val="9"/>
        <rFont val="Calibri"/>
        <family val="2"/>
        <scheme val="minor"/>
      </rPr>
      <t>Month Apr-19 Payment</t>
    </r>
  </si>
  <si>
    <r>
      <t xml:space="preserve">Haqq Nawaz (Labour)  </t>
    </r>
    <r>
      <rPr>
        <sz val="9"/>
        <rFont val="Calibri"/>
        <family val="2"/>
        <scheme val="minor"/>
      </rPr>
      <t>Month Apr-19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</si>
  <si>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Apr-19 Payment</t>
    </r>
  </si>
  <si>
    <r>
      <t xml:space="preserve">Raziq (Labour)  </t>
    </r>
    <r>
      <rPr>
        <sz val="9"/>
        <rFont val="Calibri"/>
        <family val="2"/>
        <scheme val="minor"/>
      </rPr>
      <t>Month May-19 Payment</t>
    </r>
  </si>
  <si>
    <r>
      <t xml:space="preserve">Baans </t>
    </r>
    <r>
      <rPr>
        <sz val="10"/>
        <rFont val="Calibri"/>
        <family val="2"/>
        <scheme val="minor"/>
      </rPr>
      <t>(Bamboo)                  70 Nos. 30 ft.</t>
    </r>
  </si>
  <si>
    <r>
      <t xml:space="preserve">Raasi                            </t>
    </r>
    <r>
      <rPr>
        <sz val="10"/>
        <rFont val="Calibri"/>
        <family val="2"/>
        <scheme val="minor"/>
      </rPr>
      <t>19.200 Kg</t>
    </r>
  </si>
  <si>
    <r>
      <t xml:space="preserve">Liaqat (Contractor)       </t>
    </r>
    <r>
      <rPr>
        <sz val="9"/>
        <rFont val="Calibri"/>
        <family val="2"/>
        <scheme val="minor"/>
      </rPr>
      <t>(HBL Chq#21434854)</t>
    </r>
  </si>
  <si>
    <r>
      <t xml:space="preserve">Raasi                            </t>
    </r>
    <r>
      <rPr>
        <sz val="10"/>
        <rFont val="Calibri"/>
        <family val="2"/>
        <scheme val="minor"/>
      </rPr>
      <t>23 Kg, Rs.210/-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</si>
  <si>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Machine Room Bott Slab+Design</t>
    </r>
  </si>
  <si>
    <r>
      <t xml:space="preserve">Haqq Nawaz </t>
    </r>
    <r>
      <rPr>
        <sz val="10"/>
        <rFont val="Calibri"/>
        <family val="2"/>
        <scheme val="minor"/>
      </rPr>
      <t xml:space="preserve">(Labour)  </t>
    </r>
  </si>
  <si>
    <r>
      <t xml:space="preserve">Baans </t>
    </r>
    <r>
      <rPr>
        <sz val="10"/>
        <rFont val="Calibri"/>
        <family val="2"/>
        <scheme val="minor"/>
      </rPr>
      <t>(Bamboo)                  40 Nos. 12 Phatay</t>
    </r>
  </si>
  <si>
    <r>
      <t xml:space="preserve">Raasi                            </t>
    </r>
    <r>
      <rPr>
        <sz val="10"/>
        <rFont val="Calibri"/>
        <family val="2"/>
        <scheme val="minor"/>
      </rPr>
      <t>10.5 Kg, Rs.210/-</t>
    </r>
  </si>
  <si>
    <r>
      <t xml:space="preserve">Sawan </t>
    </r>
    <r>
      <rPr>
        <sz val="10"/>
        <rFont val="Calibri"/>
        <family val="2"/>
        <scheme val="minor"/>
      </rPr>
      <t xml:space="preserve">(Labour)  </t>
    </r>
  </si>
  <si>
    <r>
      <t xml:space="preserve">Imran </t>
    </r>
    <r>
      <rPr>
        <sz val="10"/>
        <rFont val="Calibri"/>
        <family val="2"/>
        <scheme val="minor"/>
      </rPr>
      <t xml:space="preserve">(Labour)  </t>
    </r>
  </si>
  <si>
    <r>
      <t xml:space="preserve">Liaqat (Contractor)       </t>
    </r>
    <r>
      <rPr>
        <sz val="9"/>
        <rFont val="Calibri"/>
        <family val="2"/>
        <scheme val="minor"/>
      </rPr>
      <t>(CASH)</t>
    </r>
  </si>
  <si>
    <r>
      <t xml:space="preserve">Asif Bhai                      </t>
    </r>
    <r>
      <rPr>
        <sz val="9"/>
        <rFont val="Calibri"/>
        <family val="2"/>
        <scheme val="minor"/>
      </rPr>
      <t>Month May-19 Payment</t>
    </r>
  </si>
  <si>
    <r>
      <t xml:space="preserve">Asif Bhai                             </t>
    </r>
    <r>
      <rPr>
        <sz val="9"/>
        <rFont val="Calibri"/>
        <family val="2"/>
        <scheme val="minor"/>
      </rPr>
      <t>EIDI</t>
    </r>
  </si>
  <si>
    <r>
      <t xml:space="preserve">Haqq Nawaz (Labour)  </t>
    </r>
    <r>
      <rPr>
        <sz val="9"/>
        <rFont val="Calibri"/>
        <family val="2"/>
        <scheme val="minor"/>
      </rPr>
      <t>Month May-19 Payment</t>
    </r>
  </si>
  <si>
    <r>
      <t xml:space="preserve">Haqq Nawaz (Labour)       </t>
    </r>
    <r>
      <rPr>
        <sz val="9"/>
        <rFont val="Calibri"/>
        <family val="2"/>
        <scheme val="minor"/>
      </rPr>
      <t>EIDI</t>
    </r>
  </si>
  <si>
    <r>
      <t xml:space="preserve">Sawan (Labour)         </t>
    </r>
    <r>
      <rPr>
        <sz val="9"/>
        <rFont val="Calibri"/>
        <family val="2"/>
        <scheme val="minor"/>
      </rPr>
      <t>Month May-19 Payment</t>
    </r>
  </si>
  <si>
    <r>
      <t xml:space="preserve">Nails  </t>
    </r>
    <r>
      <rPr>
        <sz val="10"/>
        <rFont val="Calibri"/>
        <family val="2"/>
        <scheme val="minor"/>
      </rPr>
      <t>(3")</t>
    </r>
  </si>
  <si>
    <r>
      <t xml:space="preserve">Mix Material </t>
    </r>
    <r>
      <rPr>
        <sz val="10"/>
        <rFont val="Calibri"/>
        <family val="2"/>
        <scheme val="minor"/>
      </rPr>
      <t>(Cooler Null, Nails etc)</t>
    </r>
  </si>
  <si>
    <r>
      <t xml:space="preserve">Amount Received </t>
    </r>
    <r>
      <rPr>
        <sz val="10"/>
        <rFont val="Calibri"/>
        <family val="2"/>
        <scheme val="minor"/>
      </rPr>
      <t xml:space="preserve">(Arif Sb received from Ahmed) </t>
    </r>
    <r>
      <rPr>
        <sz val="8"/>
        <rFont val="Calibri"/>
        <family val="2"/>
        <scheme val="minor"/>
      </rPr>
      <t>Cash</t>
    </r>
  </si>
  <si>
    <r>
      <t xml:space="preserve">Haqq Nawaz (Labour)  </t>
    </r>
    <r>
      <rPr>
        <sz val="9"/>
        <rFont val="Calibri"/>
        <family val="2"/>
        <scheme val="minor"/>
      </rPr>
      <t>Month June-19 Payment</t>
    </r>
  </si>
  <si>
    <r>
      <t xml:space="preserve">Kacha Plaster </t>
    </r>
    <r>
      <rPr>
        <sz val="10"/>
        <rFont val="Calibri"/>
        <family val="2"/>
        <scheme val="minor"/>
      </rPr>
      <t>(Messon+Labour)</t>
    </r>
  </si>
  <si>
    <r>
      <t xml:space="preserve">Goola/Kacha Plaster </t>
    </r>
    <r>
      <rPr>
        <sz val="10"/>
        <rFont val="Calibri"/>
        <family val="2"/>
        <scheme val="minor"/>
      </rPr>
      <t>(Akram Messon+Labour)</t>
    </r>
  </si>
  <si>
    <r>
      <t xml:space="preserve">Liaqat (Contractor)       </t>
    </r>
    <r>
      <rPr>
        <sz val="9"/>
        <rFont val="Calibri"/>
        <family val="2"/>
        <scheme val="minor"/>
      </rPr>
      <t>(HBL Chq#000000)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</si>
  <si>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O.H.W.T</t>
    </r>
  </si>
  <si>
    <r>
      <t xml:space="preserve">Asif Bhai                      </t>
    </r>
    <r>
      <rPr>
        <sz val="9"/>
        <rFont val="Calibri"/>
        <family val="2"/>
        <scheme val="minor"/>
      </rPr>
      <t>Month June-19 Payment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</si>
  <si>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Chq#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</si>
  <si>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HMB </t>
    </r>
    <r>
      <rPr>
        <sz val="8"/>
        <rFont val="Calibri"/>
        <family val="2"/>
        <scheme val="minor"/>
      </rPr>
      <t>Chq#</t>
    </r>
  </si>
  <si>
    <r>
      <t xml:space="preserve">Haqq Nawaz (Labour)  </t>
    </r>
    <r>
      <rPr>
        <sz val="9"/>
        <rFont val="Calibri"/>
        <family val="2"/>
        <scheme val="minor"/>
      </rPr>
      <t>Month July-19 Payment</t>
    </r>
  </si>
  <si>
    <r>
      <t xml:space="preserve">Muhammad </t>
    </r>
    <r>
      <rPr>
        <sz val="10"/>
        <rFont val="Calibri"/>
        <family val="2"/>
        <scheme val="minor"/>
      </rPr>
      <t>(Masson)</t>
    </r>
  </si>
  <si>
    <r>
      <t xml:space="preserve">Sadiq </t>
    </r>
    <r>
      <rPr>
        <sz val="10"/>
        <rFont val="Calibri"/>
        <family val="2"/>
        <scheme val="minor"/>
      </rPr>
      <t>(Labour)</t>
    </r>
  </si>
  <si>
    <r>
      <t xml:space="preserve">Parvaiz </t>
    </r>
    <r>
      <rPr>
        <sz val="10"/>
        <rFont val="Calibri"/>
        <family val="2"/>
        <scheme val="minor"/>
      </rPr>
      <t>(Masson)</t>
    </r>
  </si>
  <si>
    <r>
      <t xml:space="preserve">Gull Bashir </t>
    </r>
    <r>
      <rPr>
        <sz val="10"/>
        <rFont val="Calibri"/>
        <family val="2"/>
        <scheme val="minor"/>
      </rPr>
      <t>(Masson)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</si>
  <si>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Meezan </t>
    </r>
    <r>
      <rPr>
        <sz val="8"/>
        <rFont val="Calibri"/>
        <family val="2"/>
        <scheme val="minor"/>
      </rPr>
      <t>Chq#</t>
    </r>
  </si>
  <si>
    <r>
      <t xml:space="preserve">Liaqat (Contractor)       </t>
    </r>
    <r>
      <rPr>
        <sz val="9"/>
        <rFont val="Calibri"/>
        <family val="2"/>
        <scheme val="minor"/>
      </rPr>
      <t>(Cash)</t>
    </r>
  </si>
  <si>
    <r>
      <t xml:space="preserve">Asif Bhai                      </t>
    </r>
    <r>
      <rPr>
        <sz val="9"/>
        <rFont val="Calibri"/>
        <family val="2"/>
        <scheme val="minor"/>
      </rPr>
      <t>Month July-19 Payment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</si>
  <si>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Ahmed/Zada) </t>
    </r>
    <r>
      <rPr>
        <sz val="8"/>
        <rFont val="Calibri"/>
        <family val="2"/>
        <scheme val="minor"/>
      </rPr>
      <t>Cash</t>
    </r>
  </si>
  <si>
    <r>
      <t xml:space="preserve">Haqq Nawaz (Labour)  </t>
    </r>
    <r>
      <rPr>
        <sz val="9"/>
        <rFont val="Calibri"/>
        <family val="2"/>
        <scheme val="minor"/>
      </rPr>
      <t>Month Aug-19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</si>
  <si>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Aug-19 Payment</t>
    </r>
  </si>
  <si>
    <r>
      <t xml:space="preserve">Haqq Nawaz (Labour)  </t>
    </r>
    <r>
      <rPr>
        <sz val="9"/>
        <rFont val="Calibri"/>
        <family val="2"/>
        <scheme val="minor"/>
      </rPr>
      <t>Month Sep-19 Payment</t>
    </r>
  </si>
  <si>
    <r>
      <t xml:space="preserve">Liaqat (Contractor)       </t>
    </r>
    <r>
      <rPr>
        <sz val="9"/>
        <rFont val="Calibri"/>
        <family val="2"/>
        <scheme val="minor"/>
      </rPr>
      <t>(HBL 000117)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</si>
  <si>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Transfer</t>
    </r>
  </si>
  <si>
    <r>
      <t xml:space="preserve">Asif Bhai                      </t>
    </r>
    <r>
      <rPr>
        <sz val="9"/>
        <rFont val="Calibri"/>
        <family val="2"/>
        <scheme val="minor"/>
      </rPr>
      <t>Month Sep-19 Payment</t>
    </r>
  </si>
  <si>
    <r>
      <t xml:space="preserve">Rab-Nawaz </t>
    </r>
    <r>
      <rPr>
        <sz val="9"/>
        <rFont val="Calibri"/>
        <family val="2"/>
        <scheme val="minor"/>
      </rPr>
      <t>(Painter)</t>
    </r>
  </si>
  <si>
    <r>
      <t xml:space="preserve">Taagari </t>
    </r>
    <r>
      <rPr>
        <sz val="9"/>
        <rFont val="Calibri"/>
        <family val="2"/>
        <scheme val="minor"/>
      </rPr>
      <t>(For Site)</t>
    </r>
  </si>
  <si>
    <r>
      <t xml:space="preserve">Goola/Kacha Plaster </t>
    </r>
    <r>
      <rPr>
        <sz val="9"/>
        <rFont val="Calibri"/>
        <family val="2"/>
        <scheme val="minor"/>
      </rPr>
      <t>(Akram Messon+Labour)</t>
    </r>
  </si>
  <si>
    <r>
      <t xml:space="preserve">Haqq Nawaz (Labour)  </t>
    </r>
    <r>
      <rPr>
        <sz val="9"/>
        <rFont val="Calibri"/>
        <family val="2"/>
        <scheme val="minor"/>
      </rPr>
      <t>Month Oct-19 Payment</t>
    </r>
  </si>
  <si>
    <r>
      <t xml:space="preserve">Babar (Labour)              </t>
    </r>
    <r>
      <rPr>
        <sz val="9"/>
        <rFont val="Calibri"/>
        <family val="2"/>
        <scheme val="minor"/>
      </rPr>
      <t>Month Oct-19 Payment</t>
    </r>
  </si>
  <si>
    <r>
      <t xml:space="preserve">Massoon+Labour </t>
    </r>
    <r>
      <rPr>
        <sz val="10"/>
        <rFont val="Calibri"/>
        <family val="2"/>
        <scheme val="minor"/>
      </rPr>
      <t>(Mix Work)</t>
    </r>
  </si>
  <si>
    <r>
      <t xml:space="preserve">Asif Bhai                      </t>
    </r>
    <r>
      <rPr>
        <sz val="9"/>
        <rFont val="Calibri"/>
        <family val="2"/>
        <scheme val="minor"/>
      </rPr>
      <t>Month Oct-19 Payment</t>
    </r>
  </si>
  <si>
    <r>
      <t xml:space="preserve">Pakka Kaam </t>
    </r>
    <r>
      <rPr>
        <sz val="9"/>
        <rFont val="Calibri"/>
        <family val="2"/>
        <scheme val="minor"/>
      </rPr>
      <t>(Chemical)</t>
    </r>
  </si>
  <si>
    <r>
      <t xml:space="preserve">Liaqat (Contractor)       </t>
    </r>
    <r>
      <rPr>
        <sz val="9"/>
        <rFont val="Calibri"/>
        <family val="2"/>
        <scheme val="minor"/>
      </rPr>
      <t>(Cash, Arif Sb)</t>
    </r>
  </si>
  <si>
    <r>
      <t xml:space="preserve">Babar (Labour)              </t>
    </r>
    <r>
      <rPr>
        <sz val="9"/>
        <rFont val="Calibri"/>
        <family val="2"/>
        <scheme val="minor"/>
      </rPr>
      <t>Month Nov-19 Payment</t>
    </r>
  </si>
  <si>
    <t>00552969 Kashif</t>
  </si>
  <si>
    <t>Asif Bhai Eid Advance August</t>
  </si>
  <si>
    <t>Kashif Steel</t>
  </si>
  <si>
    <t>9084555 Liaqat A</t>
  </si>
  <si>
    <t>Nawab Zada Chunai Plaster</t>
  </si>
  <si>
    <t>Red Oxide</t>
  </si>
  <si>
    <t>Site Expense</t>
  </si>
  <si>
    <t>Photo Copy</t>
  </si>
  <si>
    <t>Nail</t>
  </si>
  <si>
    <t>Measurment Tape</t>
  </si>
  <si>
    <r>
      <t xml:space="preserve">Nawaz (Labour) </t>
    </r>
    <r>
      <rPr>
        <sz val="9"/>
        <rFont val="Calibri"/>
        <family val="2"/>
        <scheme val="minor"/>
      </rPr>
      <t>Month July</t>
    </r>
  </si>
  <si>
    <t>Masood (Labour) July 18</t>
  </si>
  <si>
    <t>Masood (Labour) Advance</t>
  </si>
  <si>
    <t>Chacha Latif (Labour) July 18</t>
  </si>
  <si>
    <t>Cartage for Pranch from NIP</t>
  </si>
  <si>
    <t>Syed Arif Ali</t>
  </si>
  <si>
    <t>Haq Nawaz Advance</t>
  </si>
  <si>
    <t>Rab-Nawaz (Painter) Jhoolay Kay Lia</t>
  </si>
  <si>
    <t>Rab Nawaz ( Painter)</t>
  </si>
  <si>
    <t xml:space="preserve">Haq Nawaz </t>
  </si>
  <si>
    <t>Nawab ( Chunai Plaster)</t>
  </si>
  <si>
    <t>Electric Pipe Shuttering</t>
  </si>
  <si>
    <t>Liaqat ( Aggregate)</t>
  </si>
  <si>
    <t>Chai</t>
  </si>
  <si>
    <t>Jale Muta Chaan</t>
  </si>
  <si>
    <t>Bashir Electric ( Khalil)</t>
  </si>
  <si>
    <t xml:space="preserve">Received from Ahmed Bhai Ch No  12102057 </t>
  </si>
  <si>
    <t>Nawab Chunai Palster</t>
  </si>
  <si>
    <t>Steel Nails 21/6/19</t>
  </si>
  <si>
    <t>Trolly Tube 27/5/19</t>
  </si>
  <si>
    <t>Shah Dost</t>
  </si>
  <si>
    <t>9 Wages @ 1200 Steel Fixer</t>
  </si>
  <si>
    <t>Haq Nawaz</t>
  </si>
  <si>
    <t>Masood</t>
  </si>
  <si>
    <t>Rahmat</t>
  </si>
  <si>
    <t>Farooq</t>
  </si>
  <si>
    <t>Qari</t>
  </si>
  <si>
    <t>Haji Nazaqaut</t>
  </si>
  <si>
    <t xml:space="preserve">Masood </t>
  </si>
  <si>
    <t>Selected Total</t>
  </si>
  <si>
    <t>Labour and Supervisor Payment</t>
  </si>
  <si>
    <t>Advance + Payment</t>
  </si>
  <si>
    <t xml:space="preserve">Labour Payments </t>
  </si>
  <si>
    <t>00552961 Shuttering</t>
  </si>
  <si>
    <t xml:space="preserve">Faisal bank Ch 00004, </t>
  </si>
  <si>
    <t xml:space="preserve">Ch# 00007, </t>
  </si>
  <si>
    <t>Remaining Adjustment in Contract A/c To SMART</t>
  </si>
  <si>
    <t>TOTAL</t>
  </si>
  <si>
    <t>Balance</t>
  </si>
  <si>
    <t>Arif</t>
  </si>
  <si>
    <t>Paid to Nawab by Zada</t>
  </si>
  <si>
    <t>1142A</t>
  </si>
  <si>
    <t>110A</t>
  </si>
  <si>
    <t>S.no</t>
  </si>
  <si>
    <t>Dr. or (Cr)                Rs.</t>
  </si>
  <si>
    <t>Sum of Dr. or (Cr)                Rs.</t>
  </si>
  <si>
    <t xml:space="preserve">      </t>
  </si>
  <si>
    <t>M.Zada Expense</t>
  </si>
  <si>
    <t xml:space="preserve"> Collection from Smart Arcade</t>
  </si>
  <si>
    <t>Mushtarka</t>
  </si>
  <si>
    <t>M.Zada Collection from Smart Arcade</t>
  </si>
  <si>
    <t>Received from Ahmed Bhai Cash</t>
  </si>
  <si>
    <t>Babar Labour</t>
  </si>
  <si>
    <t>Jali Mota Chaan</t>
  </si>
  <si>
    <r>
      <t xml:space="preserve">Nawaz (Labour) </t>
    </r>
    <r>
      <rPr>
        <sz val="9"/>
        <rFont val="Calibri"/>
        <family val="2"/>
        <scheme val="minor"/>
      </rPr>
      <t>Month Dec-19 Payment</t>
    </r>
  </si>
  <si>
    <r>
      <t xml:space="preserve">Asif Bhai      </t>
    </r>
    <r>
      <rPr>
        <sz val="9"/>
        <rFont val="Calibri"/>
        <family val="2"/>
        <scheme val="minor"/>
      </rPr>
      <t>Month Dec-19 Payment</t>
    </r>
  </si>
  <si>
    <t>4" Disk, 2Nos</t>
  </si>
  <si>
    <r>
      <t xml:space="preserve">Liaqat ( Aggregate) </t>
    </r>
    <r>
      <rPr>
        <sz val="9"/>
        <rFont val="Calibri"/>
        <family val="2"/>
        <scheme val="minor"/>
      </rPr>
      <t>HBL Chq#-0141</t>
    </r>
  </si>
  <si>
    <t>Nawab labour payment</t>
  </si>
  <si>
    <t>Bashir (Electric)</t>
  </si>
  <si>
    <t>Cheni Banwai</t>
  </si>
  <si>
    <r>
      <t xml:space="preserve">Asif Bhai      </t>
    </r>
    <r>
      <rPr>
        <sz val="9"/>
        <rFont val="Calibri"/>
        <family val="2"/>
        <scheme val="minor"/>
      </rPr>
      <t>Month Jan20 Payment</t>
    </r>
  </si>
  <si>
    <r>
      <t xml:space="preserve">Haq Nawaz   </t>
    </r>
    <r>
      <rPr>
        <sz val="9"/>
        <rFont val="Calibri"/>
        <family val="2"/>
        <scheme val="minor"/>
      </rPr>
      <t>Month Jan-20 Payment</t>
    </r>
  </si>
  <si>
    <t>Jalal Labour</t>
  </si>
  <si>
    <t>Sabir (Bathroom Repairing)</t>
  </si>
  <si>
    <r>
      <t xml:space="preserve">Haq Nawaz   </t>
    </r>
    <r>
      <rPr>
        <sz val="9"/>
        <rFont val="Calibri"/>
        <family val="2"/>
        <scheme val="minor"/>
      </rPr>
      <t>Month Feb-20 Payment</t>
    </r>
  </si>
  <si>
    <t>4th floor block shifting</t>
  </si>
  <si>
    <t>Sand shifting on roof top</t>
  </si>
  <si>
    <r>
      <t xml:space="preserve">Haq Nawaz   </t>
    </r>
    <r>
      <rPr>
        <sz val="9"/>
        <rFont val="Calibri"/>
        <family val="2"/>
        <scheme val="minor"/>
      </rPr>
      <t>Month Mar-20 Payment</t>
    </r>
  </si>
  <si>
    <r>
      <t xml:space="preserve">Asif Bhai      </t>
    </r>
    <r>
      <rPr>
        <sz val="9"/>
        <rFont val="Calibri"/>
        <family val="2"/>
        <scheme val="minor"/>
      </rPr>
      <t>Month Mar-20 Payment</t>
    </r>
  </si>
  <si>
    <r>
      <t xml:space="preserve">Asif Bhai      </t>
    </r>
    <r>
      <rPr>
        <sz val="9"/>
        <rFont val="Calibri"/>
        <family val="2"/>
        <scheme val="minor"/>
      </rPr>
      <t>Month Feb-20 Payment</t>
    </r>
  </si>
  <si>
    <t>Waterproofing</t>
  </si>
  <si>
    <r>
      <t xml:space="preserve">Roof Leveling/Thiya </t>
    </r>
    <r>
      <rPr>
        <sz val="9"/>
        <rFont val="Calibri"/>
        <family val="2"/>
        <scheme val="minor"/>
      </rPr>
      <t>(Masson+Labour)</t>
    </r>
  </si>
  <si>
    <t>Slab Cutting Hilti</t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</si>
  <si>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Screeding</t>
    </r>
  </si>
  <si>
    <t>Masson+Labour (Screeding)</t>
  </si>
  <si>
    <t>Gloves 2 Nos.</t>
  </si>
  <si>
    <r>
      <t xml:space="preserve">Haq Nawaz   </t>
    </r>
    <r>
      <rPr>
        <sz val="9"/>
        <rFont val="Calibri"/>
        <family val="2"/>
        <scheme val="minor"/>
      </rPr>
      <t>Month Apr-20 Payment</t>
    </r>
  </si>
  <si>
    <t>Masson+Labour (Shop Repairing)</t>
  </si>
  <si>
    <t>Grinder Disk</t>
  </si>
  <si>
    <r>
      <t xml:space="preserve">Labour Nawab </t>
    </r>
    <r>
      <rPr>
        <sz val="9"/>
        <rFont val="Calibri"/>
        <family val="2"/>
        <scheme val="minor"/>
      </rPr>
      <t>(Ali Shop Tile Work)</t>
    </r>
  </si>
  <si>
    <t>Asif Eidi-2020</t>
  </si>
  <si>
    <r>
      <t xml:space="preserve">Labour Nawab </t>
    </r>
    <r>
      <rPr>
        <sz val="9"/>
        <rFont val="Calibri"/>
        <family val="2"/>
        <scheme val="minor"/>
      </rPr>
      <t>(Ali Shop Bath Work)</t>
    </r>
  </si>
  <si>
    <r>
      <t xml:space="preserve">Haq Nawaz   </t>
    </r>
    <r>
      <rPr>
        <sz val="9"/>
        <rFont val="Calibri"/>
        <family val="2"/>
        <scheme val="minor"/>
      </rPr>
      <t>Month May-20 Payment</t>
    </r>
  </si>
  <si>
    <t xml:space="preserve">Lift Slab Shuttring </t>
  </si>
  <si>
    <t>Lift Back Side Concrete</t>
  </si>
  <si>
    <r>
      <t>Received from Ahmed Bhai</t>
    </r>
    <r>
      <rPr>
        <sz val="8"/>
        <rFont val="Calibri"/>
        <family val="2"/>
        <scheme val="minor"/>
      </rPr>
      <t>Chq#A-2763</t>
    </r>
  </si>
  <si>
    <t>Grinder Disk Steel Cutting</t>
  </si>
  <si>
    <t>Steel Bar Anchoring</t>
  </si>
  <si>
    <r>
      <t xml:space="preserve">Asif Bhai      </t>
    </r>
    <r>
      <rPr>
        <sz val="9"/>
        <rFont val="Calibri"/>
        <family val="2"/>
        <scheme val="minor"/>
      </rPr>
      <t>Month May-20 Payment</t>
    </r>
  </si>
  <si>
    <r>
      <t>Received from Ahmed Bhai</t>
    </r>
    <r>
      <rPr>
        <sz val="8"/>
        <rFont val="Calibri"/>
        <family val="2"/>
        <scheme val="minor"/>
      </rPr>
      <t>Chq#A-0000</t>
    </r>
  </si>
  <si>
    <r>
      <t xml:space="preserve">Liaqat ( Aggregate) </t>
    </r>
    <r>
      <rPr>
        <sz val="9"/>
        <rFont val="Calibri"/>
        <family val="2"/>
        <scheme val="minor"/>
      </rPr>
      <t>Cash</t>
    </r>
  </si>
  <si>
    <t>Sidiq Shuttring</t>
  </si>
  <si>
    <t>Silicone Gun</t>
  </si>
  <si>
    <t>Drill Machine Bit</t>
  </si>
  <si>
    <r>
      <t xml:space="preserve">Haq Nawaz   </t>
    </r>
    <r>
      <rPr>
        <sz val="9"/>
        <rFont val="Calibri"/>
        <family val="2"/>
        <scheme val="minor"/>
      </rPr>
      <t>Month June -20 Payment</t>
    </r>
  </si>
  <si>
    <r>
      <t xml:space="preserve">Received from Ahmed Bhai  </t>
    </r>
    <r>
      <rPr>
        <sz val="8"/>
        <rFont val="Calibri"/>
        <family val="2"/>
        <scheme val="minor"/>
      </rPr>
      <t>Cash</t>
    </r>
  </si>
  <si>
    <r>
      <t xml:space="preserve">Asif Bhai      </t>
    </r>
    <r>
      <rPr>
        <sz val="9"/>
        <rFont val="Calibri"/>
        <family val="2"/>
        <scheme val="minor"/>
      </rPr>
      <t>Month June -20 Payment</t>
    </r>
  </si>
  <si>
    <t>Door Rubber Fixing Labour</t>
  </si>
  <si>
    <r>
      <t xml:space="preserve">Arif </t>
    </r>
    <r>
      <rPr>
        <sz val="10"/>
        <rFont val="Calibri"/>
        <family val="2"/>
        <scheme val="minor"/>
      </rPr>
      <t>(Tile Fixer)</t>
    </r>
  </si>
  <si>
    <t xml:space="preserve">Arif Stairs Marble </t>
  </si>
  <si>
    <r>
      <t xml:space="preserve">Zafar Labour </t>
    </r>
    <r>
      <rPr>
        <sz val="10"/>
        <rFont val="Calibri"/>
        <family val="2"/>
        <scheme val="minor"/>
      </rPr>
      <t>(Parking 1:4:8)</t>
    </r>
  </si>
  <si>
    <t xml:space="preserve">1 Nos Grinder Disk </t>
  </si>
  <si>
    <t>1 Nos Bailcha</t>
  </si>
  <si>
    <t>Phatoon ka Karaya</t>
  </si>
  <si>
    <r>
      <t xml:space="preserve">Zafar Labour </t>
    </r>
    <r>
      <rPr>
        <sz val="10"/>
        <rFont val="Calibri"/>
        <family val="2"/>
        <scheme val="minor"/>
      </rPr>
      <t>(Beam Pouring 1:4:8)</t>
    </r>
  </si>
  <si>
    <r>
      <t xml:space="preserve">Haq Nawaz   </t>
    </r>
    <r>
      <rPr>
        <sz val="9"/>
        <rFont val="Calibri"/>
        <family val="2"/>
        <scheme val="minor"/>
      </rPr>
      <t>Month July -20 Payment</t>
    </r>
  </si>
  <si>
    <t>Zafar (Labour)</t>
  </si>
  <si>
    <t>Bar-Anchoring</t>
  </si>
  <si>
    <r>
      <t xml:space="preserve">Asif Bhai      </t>
    </r>
    <r>
      <rPr>
        <sz val="9"/>
        <rFont val="Calibri"/>
        <family val="2"/>
        <scheme val="minor"/>
      </rPr>
      <t>Month July -20 Payment</t>
    </r>
  </si>
  <si>
    <r>
      <t xml:space="preserve">Haq Nawaz   </t>
    </r>
    <r>
      <rPr>
        <sz val="9"/>
        <rFont val="Calibri"/>
        <family val="2"/>
        <scheme val="minor"/>
      </rPr>
      <t>Month Aug -20 Payment</t>
    </r>
  </si>
  <si>
    <t>Wahab (Labour)</t>
  </si>
  <si>
    <r>
      <t xml:space="preserve">Asif Bhai      </t>
    </r>
    <r>
      <rPr>
        <sz val="9"/>
        <rFont val="Calibri"/>
        <family val="2"/>
        <scheme val="minor"/>
      </rPr>
      <t>Month Aug -20 Payment</t>
    </r>
  </si>
  <si>
    <t>Wooden Lader</t>
  </si>
  <si>
    <r>
      <t>Received from Ahmed Bhai</t>
    </r>
    <r>
      <rPr>
        <sz val="8"/>
        <rFont val="Calibri"/>
        <family val="2"/>
        <scheme val="minor"/>
      </rPr>
      <t>Chq#A-7877</t>
    </r>
  </si>
  <si>
    <t>Paid to Arif Sahab</t>
  </si>
  <si>
    <t>Masson+Labour</t>
  </si>
  <si>
    <r>
      <t xml:space="preserve">Haq Nawaz   </t>
    </r>
    <r>
      <rPr>
        <sz val="9"/>
        <rFont val="Calibri"/>
        <family val="2"/>
        <scheme val="minor"/>
      </rPr>
      <t>Month Sep -20 Payment</t>
    </r>
  </si>
  <si>
    <t>Electric Cable Hole</t>
  </si>
  <si>
    <t>Doori</t>
  </si>
  <si>
    <r>
      <t>Received from Ahmed Bhai</t>
    </r>
    <r>
      <rPr>
        <sz val="8"/>
        <rFont val="Calibri"/>
        <family val="2"/>
        <scheme val="minor"/>
      </rPr>
      <t>Chq#A-5599</t>
    </r>
  </si>
  <si>
    <r>
      <t xml:space="preserve">Asif Bhai      </t>
    </r>
    <r>
      <rPr>
        <sz val="9"/>
        <rFont val="Calibri"/>
        <family val="2"/>
        <scheme val="minor"/>
      </rPr>
      <t>Month Sep -20 Payment</t>
    </r>
  </si>
  <si>
    <t>Trolly Barring</t>
  </si>
  <si>
    <t>Shuttring Cartage</t>
  </si>
  <si>
    <r>
      <t xml:space="preserve">Haq Nawaz   </t>
    </r>
    <r>
      <rPr>
        <sz val="9"/>
        <rFont val="Calibri"/>
        <family val="2"/>
        <scheme val="minor"/>
      </rPr>
      <t>Month Oct-20 Payment</t>
    </r>
  </si>
  <si>
    <t>10-8"x10-8"x5-7"</t>
  </si>
  <si>
    <t>9.4x</t>
  </si>
  <si>
    <t>Geti ka Dasta</t>
  </si>
  <si>
    <r>
      <t xml:space="preserve">Asif Bhai      </t>
    </r>
    <r>
      <rPr>
        <sz val="9"/>
        <rFont val="Calibri"/>
        <family val="2"/>
        <scheme val="minor"/>
      </rPr>
      <t>Month Nov -20 Payment</t>
    </r>
  </si>
  <si>
    <r>
      <t xml:space="preserve">Asif Bhai      </t>
    </r>
    <r>
      <rPr>
        <sz val="9"/>
        <rFont val="Calibri"/>
        <family val="2"/>
        <scheme val="minor"/>
      </rPr>
      <t>Month Oct -20 Payment</t>
    </r>
  </si>
  <si>
    <r>
      <t xml:space="preserve">Haq Nawaz   </t>
    </r>
    <r>
      <rPr>
        <sz val="9"/>
        <rFont val="Calibri"/>
        <family val="2"/>
        <scheme val="minor"/>
      </rPr>
      <t>Month Nov-20 Payment</t>
    </r>
  </si>
  <si>
    <r>
      <t xml:space="preserve">Haq Nawaz   </t>
    </r>
    <r>
      <rPr>
        <sz val="9"/>
        <rFont val="Calibri"/>
        <family val="2"/>
        <scheme val="minor"/>
      </rPr>
      <t>Month Dec-20 Payment</t>
    </r>
  </si>
  <si>
    <r>
      <t xml:space="preserve">Liaqat (Contractor)         </t>
    </r>
    <r>
      <rPr>
        <sz val="8"/>
        <rFont val="Calibri"/>
        <family val="2"/>
        <scheme val="minor"/>
      </rPr>
      <t>Cash</t>
    </r>
  </si>
  <si>
    <t>Total</t>
  </si>
  <si>
    <t>Jan-19, 2021</t>
  </si>
  <si>
    <t>ZADA</t>
  </si>
  <si>
    <t>Count of Dr. or (Cr)                Rs.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</si>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</sst>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2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165" fontId="0" fillId="0" borderId="2" xfId="1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/>
    </xf>
    <xf numFmtId="0" fontId="0" fillId="0" borderId="2" xfId="0" applyFont="1" applyBorder="1"/>
    <xf numFmtId="165" fontId="1" fillId="0" borderId="2" xfId="1" applyNumberFormat="1" applyFont="1" applyBorder="1"/>
    <xf numFmtId="0" fontId="0" fillId="0" borderId="2" xfId="0" applyBorder="1"/>
    <xf numFmtId="165" fontId="0" fillId="0" borderId="2" xfId="1" applyNumberFormat="1" applyFont="1" applyBorder="1"/>
    <xf numFmtId="0" fontId="0" fillId="2" borderId="2" xfId="0" applyFill="1" applyBorder="1"/>
    <xf numFmtId="0" fontId="2" fillId="0" borderId="2" xfId="0" applyFont="1" applyBorder="1"/>
    <xf numFmtId="165" fontId="0" fillId="0" borderId="0" xfId="0" applyNumberFormat="1"/>
    <xf numFmtId="0" fontId="0" fillId="2" borderId="2" xfId="0" applyFont="1" applyFill="1" applyBorder="1"/>
    <xf numFmtId="165" fontId="0" fillId="0" borderId="0" xfId="1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14" fontId="0" fillId="0" borderId="5" xfId="0" applyNumberFormat="1" applyBorder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 vertical="top"/>
    </xf>
    <xf numFmtId="14" fontId="0" fillId="0" borderId="3" xfId="0" applyNumberFormat="1" applyFont="1" applyBorder="1" applyAlignment="1">
      <alignment horizontal="center" vertical="top"/>
    </xf>
    <xf numFmtId="14" fontId="0" fillId="0" borderId="5" xfId="0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43" fontId="0" fillId="0" borderId="2" xfId="1" applyFont="1" applyBorder="1" applyAlignment="1">
      <alignment horizontal="center"/>
    </xf>
    <xf numFmtId="0" fontId="0" fillId="0" borderId="4" xfId="0" applyFont="1" applyBorder="1"/>
    <xf numFmtId="43" fontId="1" fillId="0" borderId="2" xfId="1" applyFont="1" applyBorder="1"/>
    <xf numFmtId="43" fontId="0" fillId="0" borderId="2" xfId="1" applyFont="1" applyBorder="1" applyAlignment="1">
      <alignment horizontal="center" vertical="center" wrapText="1"/>
    </xf>
    <xf numFmtId="0" fontId="0" fillId="3" borderId="2" xfId="0" applyFill="1" applyBorder="1"/>
    <xf numFmtId="0" fontId="10" fillId="2" borderId="2" xfId="0" applyFont="1" applyFill="1" applyBorder="1" applyAlignment="1"/>
    <xf numFmtId="0" fontId="0" fillId="3" borderId="2" xfId="0" applyFont="1" applyFill="1" applyBorder="1"/>
    <xf numFmtId="0" fontId="10" fillId="2" borderId="2" xfId="0" applyFont="1" applyFill="1" applyBorder="1"/>
    <xf numFmtId="14" fontId="0" fillId="0" borderId="4" xfId="0" applyNumberFormat="1" applyFont="1" applyBorder="1" applyAlignment="1">
      <alignment horizontal="center" vertical="top"/>
    </xf>
    <xf numFmtId="14" fontId="0" fillId="3" borderId="2" xfId="0" applyNumberFormat="1" applyFill="1" applyBorder="1" applyAlignment="1">
      <alignment horizontal="center" vertical="top"/>
    </xf>
    <xf numFmtId="0" fontId="0" fillId="0" borderId="4" xfId="0" applyBorder="1"/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left"/>
    </xf>
    <xf numFmtId="0" fontId="0" fillId="0" borderId="3" xfId="0" applyFont="1" applyBorder="1" applyAlignment="1">
      <alignment horizontal="left" vertical="center"/>
    </xf>
    <xf numFmtId="165" fontId="0" fillId="0" borderId="3" xfId="1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top"/>
    </xf>
    <xf numFmtId="0" fontId="0" fillId="0" borderId="0" xfId="0" applyFont="1" applyBorder="1"/>
    <xf numFmtId="43" fontId="0" fillId="0" borderId="0" xfId="1" applyFont="1" applyBorder="1" applyAlignment="1">
      <alignment horizontal="center"/>
    </xf>
    <xf numFmtId="43" fontId="1" fillId="0" borderId="0" xfId="1" applyFont="1" applyBorder="1"/>
    <xf numFmtId="0" fontId="0" fillId="0" borderId="0" xfId="0" applyBorder="1"/>
    <xf numFmtId="43" fontId="0" fillId="0" borderId="0" xfId="1" applyFont="1" applyBorder="1" applyAlignment="1">
      <alignment horizontal="center" vertical="center" wrapText="1"/>
    </xf>
    <xf numFmtId="0" fontId="0" fillId="3" borderId="0" xfId="0" applyFill="1" applyBorder="1"/>
    <xf numFmtId="0" fontId="10" fillId="2" borderId="0" xfId="0" applyFont="1" applyFill="1" applyBorder="1" applyAlignment="1"/>
    <xf numFmtId="0" fontId="0" fillId="3" borderId="0" xfId="0" applyFont="1" applyFill="1" applyBorder="1"/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0" fillId="2" borderId="0" xfId="0" applyFont="1" applyFill="1" applyBorder="1"/>
    <xf numFmtId="0" fontId="10" fillId="2" borderId="0" xfId="0" applyFont="1" applyFill="1" applyBorder="1"/>
    <xf numFmtId="0" fontId="0" fillId="0" borderId="2" xfId="0" applyFont="1" applyFill="1" applyBorder="1" applyAlignment="1">
      <alignment horizontal="left"/>
    </xf>
    <xf numFmtId="0" fontId="0" fillId="0" borderId="2" xfId="0" applyFont="1" applyFill="1" applyBorder="1"/>
    <xf numFmtId="0" fontId="0" fillId="0" borderId="3" xfId="0" applyBorder="1"/>
    <xf numFmtId="165" fontId="0" fillId="0" borderId="3" xfId="1" applyNumberFormat="1" applyFont="1" applyBorder="1"/>
    <xf numFmtId="0" fontId="0" fillId="0" borderId="2" xfId="0" applyFill="1" applyBorder="1"/>
    <xf numFmtId="0" fontId="0" fillId="0" borderId="0" xfId="0" pivotButton="1"/>
    <xf numFmtId="14" fontId="0" fillId="0" borderId="2" xfId="0" applyNumberFormat="1" applyBorder="1" applyAlignment="1">
      <alignment horizontal="left"/>
    </xf>
    <xf numFmtId="166" fontId="0" fillId="0" borderId="2" xfId="0" applyNumberFormat="1" applyBorder="1"/>
    <xf numFmtId="0" fontId="0" fillId="0" borderId="2" xfId="0" applyBorder="1" applyAlignment="1">
      <alignment horizontal="left"/>
    </xf>
    <xf numFmtId="43" fontId="11" fillId="0" borderId="0" xfId="0" applyNumberFormat="1" applyFont="1" applyAlignment="1">
      <alignment horizontal="center" vertical="center"/>
    </xf>
    <xf numFmtId="164" fontId="0" fillId="0" borderId="0" xfId="0" applyNumberFormat="1"/>
    <xf numFmtId="43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0" fillId="0" borderId="0" xfId="0" applyFill="1"/>
    <xf numFmtId="165" fontId="0" fillId="0" borderId="0" xfId="1" applyNumberFormat="1" applyFont="1" applyFill="1"/>
    <xf numFmtId="0" fontId="4" fillId="0" borderId="0" xfId="0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3" fontId="0" fillId="0" borderId="2" xfId="1" applyFont="1" applyFill="1" applyBorder="1" applyAlignment="1">
      <alignment horizontal="center"/>
    </xf>
    <xf numFmtId="43" fontId="11" fillId="0" borderId="2" xfId="0" applyNumberFormat="1" applyFont="1" applyFill="1" applyBorder="1" applyAlignment="1">
      <alignment horizontal="center" vertical="center"/>
    </xf>
    <xf numFmtId="43" fontId="1" fillId="0" borderId="2" xfId="1" applyFont="1" applyFill="1" applyBorder="1"/>
    <xf numFmtId="0" fontId="13" fillId="0" borderId="2" xfId="0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center"/>
    </xf>
    <xf numFmtId="164" fontId="0" fillId="0" borderId="0" xfId="0" applyNumberFormat="1" applyFill="1"/>
    <xf numFmtId="43" fontId="1" fillId="0" borderId="0" xfId="1" applyFont="1" applyFill="1" applyBorder="1"/>
    <xf numFmtId="43" fontId="3" fillId="0" borderId="2" xfId="0" applyNumberFormat="1" applyFont="1" applyFill="1" applyBorder="1" applyAlignment="1">
      <alignment horizontal="center" vertical="center"/>
    </xf>
    <xf numFmtId="43" fontId="12" fillId="0" borderId="2" xfId="1" applyFont="1" applyFill="1" applyBorder="1" applyAlignment="1">
      <alignment horizontal="center" vertical="center" wrapText="1"/>
    </xf>
    <xf numFmtId="43" fontId="12" fillId="0" borderId="2" xfId="1" applyFont="1" applyFill="1" applyBorder="1"/>
    <xf numFmtId="43" fontId="12" fillId="0" borderId="2" xfId="1" applyFont="1" applyFill="1" applyBorder="1" applyAlignment="1">
      <alignment horizontal="center"/>
    </xf>
    <xf numFmtId="166" fontId="0" fillId="0" borderId="0" xfId="1" applyNumberFormat="1" applyFont="1"/>
    <xf numFmtId="0" fontId="11" fillId="0" borderId="2" xfId="0" applyFont="1" applyBorder="1" applyAlignment="1">
      <alignment horizontal="center" vertical="center"/>
    </xf>
    <xf numFmtId="166" fontId="5" fillId="0" borderId="2" xfId="1" applyNumberFormat="1" applyFont="1" applyBorder="1" applyAlignment="1">
      <alignment horizontal="center" vertical="center" wrapText="1"/>
    </xf>
    <xf numFmtId="166" fontId="0" fillId="0" borderId="2" xfId="1" applyNumberFormat="1" applyFont="1" applyBorder="1"/>
    <xf numFmtId="14" fontId="0" fillId="0" borderId="2" xfId="0" applyNumberFormat="1" applyBorder="1" applyAlignment="1">
      <alignment horizontal="center"/>
    </xf>
    <xf numFmtId="0" fontId="0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10" fillId="2" borderId="2" xfId="0" applyFont="1" applyFill="1" applyBorder="1" applyAlignment="1">
      <alignment wrapText="1"/>
    </xf>
    <xf numFmtId="0" fontId="0" fillId="3" borderId="2" xfId="0" applyFont="1" applyFill="1" applyBorder="1" applyAlignment="1">
      <alignment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wrapText="1"/>
    </xf>
    <xf numFmtId="0" fontId="0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Font="1" applyFill="1" applyBorder="1" applyAlignment="1">
      <alignment horizontal="left" wrapText="1"/>
    </xf>
    <xf numFmtId="0" fontId="0" fillId="0" borderId="2" xfId="0" applyFont="1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Alignment="1">
      <alignment horizontal="left"/>
    </xf>
    <xf numFmtId="43" fontId="11" fillId="3" borderId="2" xfId="0" applyNumberFormat="1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left"/>
    </xf>
    <xf numFmtId="166" fontId="0" fillId="0" borderId="0" xfId="1" applyNumberFormat="1" applyFont="1" applyFill="1"/>
    <xf numFmtId="0" fontId="10" fillId="0" borderId="2" xfId="0" applyFont="1" applyFill="1" applyBorder="1" applyAlignment="1"/>
    <xf numFmtId="0" fontId="10" fillId="0" borderId="0" xfId="0" applyFont="1" applyFill="1" applyBorder="1"/>
    <xf numFmtId="0" fontId="10" fillId="0" borderId="0" xfId="0" applyFont="1" applyFill="1"/>
    <xf numFmtId="14" fontId="10" fillId="0" borderId="0" xfId="0" applyNumberFormat="1" applyFont="1" applyFill="1" applyAlignment="1">
      <alignment horizontal="center" vertical="top"/>
    </xf>
    <xf numFmtId="0" fontId="15" fillId="0" borderId="1" xfId="0" applyFont="1" applyFill="1" applyBorder="1" applyAlignment="1"/>
    <xf numFmtId="0" fontId="15" fillId="0" borderId="1" xfId="0" applyFont="1" applyFill="1" applyBorder="1" applyAlignment="1">
      <alignment horizontal="center"/>
    </xf>
    <xf numFmtId="0" fontId="16" fillId="0" borderId="2" xfId="0" applyFont="1" applyFill="1" applyBorder="1" applyAlignment="1">
      <alignment horizontal="center" vertical="center"/>
    </xf>
    <xf numFmtId="14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top"/>
    </xf>
    <xf numFmtId="0" fontId="10" fillId="0" borderId="2" xfId="0" applyFont="1" applyFill="1" applyBorder="1"/>
    <xf numFmtId="0" fontId="10" fillId="0" borderId="2" xfId="0" applyFont="1" applyFill="1" applyBorder="1" applyAlignment="1">
      <alignment horizontal="left" vertical="center"/>
    </xf>
    <xf numFmtId="14" fontId="10" fillId="0" borderId="2" xfId="0" applyNumberFormat="1" applyFont="1" applyFill="1" applyBorder="1" applyAlignment="1">
      <alignment horizontal="center"/>
    </xf>
    <xf numFmtId="0" fontId="10" fillId="0" borderId="2" xfId="0" quotePrefix="1" applyFont="1" applyFill="1" applyBorder="1"/>
    <xf numFmtId="0" fontId="10" fillId="0" borderId="2" xfId="0" applyFont="1" applyFill="1" applyBorder="1" applyAlignment="1">
      <alignment horizontal="left"/>
    </xf>
    <xf numFmtId="14" fontId="10" fillId="0" borderId="0" xfId="0" applyNumberFormat="1" applyFont="1" applyFill="1" applyBorder="1" applyAlignment="1">
      <alignment horizontal="center" vertical="top"/>
    </xf>
    <xf numFmtId="0" fontId="15" fillId="0" borderId="1" xfId="0" applyFont="1" applyFill="1" applyBorder="1" applyAlignment="1">
      <alignment horizontal="left"/>
    </xf>
    <xf numFmtId="0" fontId="10" fillId="0" borderId="0" xfId="0" applyFont="1" applyFill="1" applyAlignment="1">
      <alignment wrapText="1"/>
    </xf>
    <xf numFmtId="166" fontId="10" fillId="0" borderId="0" xfId="1" applyNumberFormat="1" applyFont="1" applyFill="1"/>
    <xf numFmtId="0" fontId="15" fillId="0" borderId="1" xfId="0" applyFont="1" applyFill="1" applyBorder="1" applyAlignment="1">
      <alignment horizontal="center" wrapText="1"/>
    </xf>
    <xf numFmtId="166" fontId="15" fillId="0" borderId="1" xfId="1" applyNumberFormat="1" applyFont="1" applyFill="1" applyBorder="1" applyAlignment="1">
      <alignment horizontal="center"/>
    </xf>
    <xf numFmtId="166" fontId="16" fillId="0" borderId="2" xfId="1" applyNumberFormat="1" applyFont="1" applyFill="1" applyBorder="1" applyAlignment="1">
      <alignment horizontal="center" vertical="center" wrapText="1"/>
    </xf>
    <xf numFmtId="166" fontId="10" fillId="0" borderId="2" xfId="1" applyNumberFormat="1" applyFont="1" applyFill="1" applyBorder="1"/>
    <xf numFmtId="166" fontId="10" fillId="0" borderId="0" xfId="1" applyNumberFormat="1" applyFont="1" applyFill="1" applyBorder="1" applyAlignment="1">
      <alignment horizontal="center"/>
    </xf>
    <xf numFmtId="166" fontId="10" fillId="0" borderId="0" xfId="1" applyNumberFormat="1" applyFont="1" applyFill="1" applyBorder="1"/>
    <xf numFmtId="43" fontId="10" fillId="0" borderId="0" xfId="1" applyFont="1" applyFill="1" applyBorder="1"/>
    <xf numFmtId="0" fontId="16" fillId="0" borderId="0" xfId="0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165" fontId="10" fillId="0" borderId="0" xfId="0" applyNumberFormat="1" applyFont="1" applyFill="1" applyBorder="1"/>
    <xf numFmtId="43" fontId="10" fillId="0" borderId="0" xfId="0" applyNumberFormat="1" applyFont="1" applyFill="1" applyBorder="1"/>
    <xf numFmtId="14" fontId="0" fillId="0" borderId="0" xfId="0" applyNumberFormat="1" applyAlignment="1">
      <alignment horizontal="left"/>
    </xf>
    <xf numFmtId="0" fontId="10" fillId="3" borderId="2" xfId="0" applyFont="1" applyFill="1" applyBorder="1"/>
    <xf numFmtId="0" fontId="10" fillId="3" borderId="2" xfId="0" applyFont="1" applyFill="1" applyBorder="1" applyAlignment="1">
      <alignment horizontal="left" vertical="center"/>
    </xf>
    <xf numFmtId="166" fontId="10" fillId="0" borderId="2" xfId="1" applyNumberFormat="1" applyFont="1" applyFill="1" applyBorder="1" applyAlignment="1">
      <alignment horizontal="center"/>
    </xf>
    <xf numFmtId="0" fontId="15" fillId="0" borderId="0" xfId="0" applyFont="1" applyFill="1" applyBorder="1" applyAlignment="1"/>
    <xf numFmtId="0" fontId="15" fillId="0" borderId="0" xfId="0" applyFont="1" applyFill="1" applyBorder="1" applyAlignment="1">
      <alignment horizontal="center"/>
    </xf>
    <xf numFmtId="166" fontId="15" fillId="0" borderId="0" xfId="1" applyNumberFormat="1" applyFont="1" applyFill="1" applyBorder="1" applyAlignment="1">
      <alignment horizontal="center"/>
    </xf>
    <xf numFmtId="14" fontId="10" fillId="3" borderId="2" xfId="0" applyNumberFormat="1" applyFont="1" applyFill="1" applyBorder="1" applyAlignment="1">
      <alignment horizontal="center" vertical="top"/>
    </xf>
    <xf numFmtId="0" fontId="10" fillId="3" borderId="2" xfId="0" applyFont="1" applyFill="1" applyBorder="1" applyAlignment="1"/>
    <xf numFmtId="14" fontId="10" fillId="4" borderId="2" xfId="0" applyNumberFormat="1" applyFont="1" applyFill="1" applyBorder="1" applyAlignment="1">
      <alignment horizontal="center"/>
    </xf>
    <xf numFmtId="0" fontId="10" fillId="4" borderId="2" xfId="0" applyFont="1" applyFill="1" applyBorder="1"/>
    <xf numFmtId="166" fontId="10" fillId="0" borderId="0" xfId="0" applyNumberFormat="1" applyFont="1" applyFill="1" applyBorder="1"/>
    <xf numFmtId="166" fontId="10" fillId="0" borderId="1" xfId="1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right"/>
    </xf>
    <xf numFmtId="0" fontId="0" fillId="0" borderId="2" xfId="0" pivotButton="1" applyBorder="1"/>
    <xf numFmtId="166" fontId="16" fillId="0" borderId="0" xfId="0" applyNumberFormat="1" applyFont="1" applyFill="1" applyBorder="1" applyAlignment="1">
      <alignment horizontal="center" vertical="center"/>
    </xf>
    <xf numFmtId="43" fontId="0" fillId="0" borderId="0" xfId="1" applyFont="1"/>
    <xf numFmtId="0" fontId="0" fillId="0" borderId="3" xfId="0" pivotButton="1" applyBorder="1"/>
    <xf numFmtId="14" fontId="0" fillId="0" borderId="3" xfId="0" applyNumberFormat="1" applyBorder="1" applyAlignment="1">
      <alignment horizontal="left"/>
    </xf>
    <xf numFmtId="166" fontId="10" fillId="0" borderId="2" xfId="1" applyNumberFormat="1" applyFont="1" applyFill="1" applyBorder="1" applyAlignment="1">
      <alignment horizontal="left"/>
    </xf>
    <xf numFmtId="166" fontId="10" fillId="0" borderId="2" xfId="1" applyNumberFormat="1" applyFont="1" applyFill="1" applyBorder="1" applyAlignment="1">
      <alignment horizontal="left" vertical="center"/>
    </xf>
    <xf numFmtId="166" fontId="10" fillId="4" borderId="2" xfId="1" applyNumberFormat="1" applyFont="1" applyFill="1" applyBorder="1"/>
    <xf numFmtId="166" fontId="10" fillId="0" borderId="2" xfId="1" applyNumberFormat="1" applyFont="1" applyFill="1" applyBorder="1" applyAlignment="1">
      <alignment vertical="center"/>
    </xf>
    <xf numFmtId="166" fontId="10" fillId="3" borderId="2" xfId="1" applyNumberFormat="1" applyFont="1" applyFill="1" applyBorder="1" applyAlignment="1">
      <alignment horizontal="left" vertical="center"/>
    </xf>
    <xf numFmtId="166" fontId="20" fillId="0" borderId="2" xfId="1" applyNumberFormat="1" applyFont="1" applyFill="1" applyBorder="1"/>
    <xf numFmtId="43" fontId="1" fillId="0" borderId="2" xfId="1" applyFont="1" applyFill="1" applyBorder="1" applyAlignment="1"/>
    <xf numFmtId="43" fontId="12" fillId="0" borderId="2" xfId="1" applyFont="1" applyFill="1" applyBorder="1" applyAlignment="1"/>
    <xf numFmtId="166" fontId="12" fillId="0" borderId="2" xfId="1" applyNumberFormat="1" applyFont="1" applyBorder="1"/>
    <xf numFmtId="0" fontId="12" fillId="0" borderId="2" xfId="0" applyFont="1" applyBorder="1"/>
    <xf numFmtId="0" fontId="15" fillId="0" borderId="0" xfId="0" applyFont="1" applyFill="1" applyBorder="1" applyAlignment="1">
      <alignment horizontal="left"/>
    </xf>
    <xf numFmtId="0" fontId="20" fillId="0" borderId="0" xfId="0" applyFont="1" applyFill="1"/>
    <xf numFmtId="0" fontId="20" fillId="0" borderId="0" xfId="0" applyFont="1" applyFill="1" applyAlignment="1">
      <alignment wrapText="1"/>
    </xf>
    <xf numFmtId="166" fontId="20" fillId="0" borderId="0" xfId="1" applyNumberFormat="1" applyFont="1" applyFill="1"/>
    <xf numFmtId="43" fontId="12" fillId="0" borderId="2" xfId="1" applyFont="1" applyBorder="1"/>
    <xf numFmtId="0" fontId="12" fillId="0" borderId="0" xfId="0" applyFont="1"/>
    <xf numFmtId="166" fontId="10" fillId="0" borderId="0" xfId="1" applyNumberFormat="1" applyFont="1" applyFill="1" applyBorder="1" applyAlignment="1">
      <alignment horizontal="center" vertical="center" wrapText="1"/>
    </xf>
    <xf numFmtId="0" fontId="20" fillId="0" borderId="0" xfId="0" applyFont="1" applyFill="1" applyBorder="1"/>
    <xf numFmtId="0" fontId="0" fillId="0" borderId="0" xfId="0" applyFill="1" applyBorder="1"/>
    <xf numFmtId="166" fontId="10" fillId="0" borderId="0" xfId="1" applyNumberFormat="1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pivotButton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20" fillId="0" borderId="2" xfId="1" applyNumberFormat="1" applyFont="1" applyFill="1" applyBorder="1" applyAlignment="1">
      <alignment horizontal="center"/>
    </xf>
    <xf numFmtId="166" fontId="10" fillId="3" borderId="2" xfId="1" applyNumberFormat="1" applyFont="1" applyFill="1" applyBorder="1" applyAlignment="1">
      <alignment horizontal="center"/>
    </xf>
    <xf numFmtId="166" fontId="20" fillId="0" borderId="2" xfId="1" applyNumberFormat="1" applyFont="1" applyFill="1" applyBorder="1" applyAlignment="1">
      <alignment horizontal="center" vertical="center" wrapText="1"/>
    </xf>
    <xf numFmtId="166" fontId="10" fillId="0" borderId="2" xfId="1" applyNumberFormat="1" applyFont="1" applyFill="1" applyBorder="1" applyAlignment="1">
      <alignment horizontal="center" vertical="center" wrapText="1"/>
    </xf>
    <xf numFmtId="166" fontId="21" fillId="0" borderId="2" xfId="1" applyNumberFormat="1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14" fontId="21" fillId="0" borderId="2" xfId="0" applyNumberFormat="1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166" fontId="10" fillId="0" borderId="11" xfId="1" applyNumberFormat="1" applyFont="1" applyFill="1" applyBorder="1"/>
    <xf numFmtId="166" fontId="10" fillId="0" borderId="11" xfId="1" applyNumberFormat="1" applyFont="1" applyFill="1" applyBorder="1" applyAlignment="1">
      <alignment horizontal="center"/>
    </xf>
    <xf numFmtId="166" fontId="10" fillId="3" borderId="2" xfId="1" applyNumberFormat="1" applyFont="1" applyFill="1" applyBorder="1" applyAlignment="1">
      <alignment horizontal="center" vertical="center" wrapText="1"/>
    </xf>
    <xf numFmtId="0" fontId="18" fillId="0" borderId="2" xfId="0" applyFont="1" applyFill="1" applyBorder="1"/>
    <xf numFmtId="0" fontId="10" fillId="5" borderId="2" xfId="0" applyFont="1" applyFill="1" applyBorder="1" applyAlignment="1">
      <alignment horizontal="center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0" fillId="6" borderId="2" xfId="0" quotePrefix="1" applyFont="1" applyFill="1" applyBorder="1"/>
    <xf numFmtId="0" fontId="10" fillId="6" borderId="2" xfId="0" applyFont="1" applyFill="1" applyBorder="1" applyAlignment="1">
      <alignment horizontal="center"/>
    </xf>
    <xf numFmtId="0" fontId="10" fillId="6" borderId="2" xfId="0" applyFont="1" applyFill="1" applyBorder="1"/>
    <xf numFmtId="0" fontId="10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/>
    </xf>
    <xf numFmtId="0" fontId="10" fillId="6" borderId="2" xfId="0" applyFont="1" applyFill="1" applyBorder="1" applyAlignment="1"/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left"/>
    </xf>
    <xf numFmtId="0" fontId="10" fillId="7" borderId="2" xfId="0" applyFont="1" applyFill="1" applyBorder="1"/>
    <xf numFmtId="0" fontId="0" fillId="0" borderId="2" xfId="0" applyNumberFormat="1" applyBorder="1"/>
    <xf numFmtId="0" fontId="2" fillId="0" borderId="2" xfId="0" applyNumberFormat="1" applyFont="1" applyBorder="1"/>
    <xf numFmtId="166" fontId="2" fillId="0" borderId="2" xfId="0" applyNumberFormat="1" applyFont="1" applyBorder="1"/>
    <xf numFmtId="14" fontId="10" fillId="6" borderId="2" xfId="0" applyNumberFormat="1" applyFont="1" applyFill="1" applyBorder="1" applyAlignment="1">
      <alignment horizontal="center" vertical="top"/>
    </xf>
    <xf numFmtId="166" fontId="20" fillId="6" borderId="2" xfId="1" applyNumberFormat="1" applyFont="1" applyFill="1" applyBorder="1" applyAlignment="1">
      <alignment horizontal="center"/>
    </xf>
    <xf numFmtId="14" fontId="10" fillId="6" borderId="2" xfId="0" applyNumberFormat="1" applyFont="1" applyFill="1" applyBorder="1" applyAlignment="1">
      <alignment horizontal="center"/>
    </xf>
    <xf numFmtId="166" fontId="20" fillId="6" borderId="2" xfId="1" applyNumberFormat="1" applyFont="1" applyFill="1" applyBorder="1"/>
    <xf numFmtId="166" fontId="10" fillId="6" borderId="2" xfId="1" applyNumberFormat="1" applyFont="1" applyFill="1" applyBorder="1" applyAlignment="1">
      <alignment horizontal="center"/>
    </xf>
    <xf numFmtId="14" fontId="10" fillId="7" borderId="2" xfId="0" applyNumberFormat="1" applyFont="1" applyFill="1" applyBorder="1" applyAlignment="1">
      <alignment horizontal="center" vertical="top"/>
    </xf>
    <xf numFmtId="166" fontId="10" fillId="7" borderId="2" xfId="1" applyNumberFormat="1" applyFont="1" applyFill="1" applyBorder="1" applyAlignment="1">
      <alignment horizontal="center"/>
    </xf>
    <xf numFmtId="14" fontId="10" fillId="7" borderId="2" xfId="0" applyNumberFormat="1" applyFont="1" applyFill="1" applyBorder="1" applyAlignment="1">
      <alignment horizontal="center"/>
    </xf>
    <xf numFmtId="166" fontId="10" fillId="7" borderId="2" xfId="1" applyNumberFormat="1" applyFont="1" applyFill="1" applyBorder="1"/>
    <xf numFmtId="0" fontId="10" fillId="9" borderId="2" xfId="0" applyFont="1" applyFill="1" applyBorder="1"/>
    <xf numFmtId="0" fontId="10" fillId="9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left"/>
    </xf>
    <xf numFmtId="0" fontId="10" fillId="9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165" fontId="22" fillId="0" borderId="0" xfId="1" applyNumberFormat="1" applyFont="1"/>
    <xf numFmtId="165" fontId="12" fillId="0" borderId="2" xfId="1" applyNumberFormat="1" applyFont="1" applyBorder="1"/>
    <xf numFmtId="0" fontId="0" fillId="10" borderId="2" xfId="0" applyFill="1" applyBorder="1"/>
    <xf numFmtId="166" fontId="0" fillId="10" borderId="2" xfId="1" applyNumberFormat="1" applyFont="1" applyFill="1" applyBorder="1"/>
    <xf numFmtId="165" fontId="0" fillId="10" borderId="2" xfId="1" applyNumberFormat="1" applyFont="1" applyFill="1" applyBorder="1"/>
    <xf numFmtId="43" fontId="1" fillId="10" borderId="2" xfId="1" applyFont="1" applyFill="1" applyBorder="1" applyAlignment="1"/>
    <xf numFmtId="0" fontId="0" fillId="11" borderId="2" xfId="0" applyFont="1" applyFill="1" applyBorder="1" applyAlignment="1">
      <alignment wrapText="1"/>
    </xf>
    <xf numFmtId="166" fontId="0" fillId="0" borderId="2" xfId="1" applyNumberFormat="1" applyFont="1" applyFill="1" applyBorder="1"/>
    <xf numFmtId="165" fontId="16" fillId="0" borderId="2" xfId="1" applyNumberFormat="1" applyFont="1" applyFill="1" applyBorder="1" applyAlignment="1">
      <alignment horizontal="center" vertical="center" wrapText="1"/>
    </xf>
    <xf numFmtId="165" fontId="10" fillId="0" borderId="2" xfId="1" applyNumberFormat="1" applyFont="1" applyFill="1" applyBorder="1" applyAlignment="1">
      <alignment horizontal="left" vertical="center"/>
    </xf>
    <xf numFmtId="165" fontId="10" fillId="0" borderId="2" xfId="1" applyNumberFormat="1" applyFont="1" applyFill="1" applyBorder="1"/>
    <xf numFmtId="0" fontId="10" fillId="0" borderId="6" xfId="0" applyFont="1" applyFill="1" applyBorder="1"/>
    <xf numFmtId="0" fontId="10" fillId="0" borderId="6" xfId="0" applyFont="1" applyFill="1" applyBorder="1" applyAlignment="1">
      <alignment horizontal="left" vertical="center"/>
    </xf>
    <xf numFmtId="165" fontId="0" fillId="0" borderId="2" xfId="1" applyNumberFormat="1" applyFont="1" applyFill="1" applyBorder="1"/>
    <xf numFmtId="166" fontId="12" fillId="0" borderId="0" xfId="1" applyNumberFormat="1" applyFont="1" applyFill="1"/>
    <xf numFmtId="0" fontId="18" fillId="0" borderId="2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14" fontId="10" fillId="9" borderId="2" xfId="0" applyNumberFormat="1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14" fontId="10" fillId="7" borderId="2" xfId="0" applyNumberFormat="1" applyFont="1" applyFill="1" applyBorder="1" applyAlignment="1">
      <alignment horizontal="center" vertical="top"/>
    </xf>
    <xf numFmtId="14" fontId="10" fillId="6" borderId="2" xfId="0" applyNumberFormat="1" applyFont="1" applyFill="1" applyBorder="1" applyAlignment="1">
      <alignment horizontal="center" vertical="top"/>
    </xf>
    <xf numFmtId="0" fontId="10" fillId="5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481"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99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BTI" refreshedDate="44249.410098263892" createdVersion="5" refreshedVersion="6" minRefreshableVersion="3" recordCount="1631">
  <cacheSource type="worksheet">
    <worksheetSource ref="A3:G1048576" sheet="Basic Data"/>
  </cacheSource>
  <cacheFields count="7">
    <cacheField name="S.no" numFmtId="0">
      <sharedItems containsBlank="1" containsMixedTypes="1" containsNumber="1" containsInteger="1" minValue="1" maxValue="1576" count="157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s v="110A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s v="1142A"/>
        <n v="1143"/>
        <n v="1144"/>
        <n v="1145"/>
        <n v="1146"/>
        <n v="1147"/>
        <n v="1148"/>
        <n v="1149"/>
        <n v="1150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8"/>
        <m/>
        <n v="1189"/>
        <n v="1185"/>
        <n v="1186"/>
        <n v="1187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8"/>
        <n v="1459"/>
        <n v="1460"/>
        <n v="1461"/>
        <n v="1462"/>
        <n v="1463"/>
        <n v="1464"/>
        <n v="1465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</sharedItems>
    </cacheField>
    <cacheField name="Date" numFmtId="14">
      <sharedItems containsNonDate="0" containsDate="1" containsString="0" containsBlank="1" minDate="2018-03-01T00:00:00" maxDate="2021-01-27T00:00:00" count="532">
        <d v="2018-03-01T00:00:00"/>
        <d v="2018-03-21T00:00:00"/>
        <d v="2018-03-30T00:00:00"/>
        <d v="2018-04-01T00:00:00"/>
        <d v="2018-04-06T00:00:00"/>
        <d v="2018-04-11T00:00:00"/>
        <d v="2018-04-14T00:00:00"/>
        <d v="2018-04-16T00:00:00"/>
        <d v="2018-04-18T00:00:00"/>
        <d v="2018-04-19T00:00:00"/>
        <d v="2018-04-20T00:00:00"/>
        <d v="2018-04-23T00:00:00"/>
        <d v="2018-04-26T00:00:00"/>
        <d v="2018-04-29T00:00:00"/>
        <d v="2018-04-30T00:00:00"/>
        <d v="2018-05-01T00:00:00"/>
        <d v="2018-05-04T00:00:00"/>
        <d v="2018-05-07T00:00:00"/>
        <d v="2018-05-09T00:00:00"/>
        <d v="2018-05-10T00:00:00"/>
        <d v="2018-05-11T00:00:00"/>
        <d v="2018-05-15T00:00:00"/>
        <d v="2018-05-16T00:00:00"/>
        <d v="2018-05-21T00:00:00"/>
        <d v="2018-05-29T00:00:00"/>
        <d v="2018-05-30T00:00:00"/>
        <d v="2018-06-01T00:00:00"/>
        <d v="2018-06-05T00:00:00"/>
        <d v="2018-06-07T00:00:00"/>
        <d v="2018-06-08T00:00:00"/>
        <d v="2018-06-09T00:00:00"/>
        <d v="2018-06-11T00:00:00"/>
        <d v="2018-06-13T00:00:00"/>
        <d v="2018-06-14T00:00:00"/>
        <d v="2018-06-27T00:00:00"/>
        <d v="2018-06-29T00:00:00"/>
        <d v="2018-07-01T00:00:00"/>
        <d v="2018-07-06T00:00:00"/>
        <d v="2018-07-08T00:00:00"/>
        <d v="2018-07-17T00:00:00"/>
        <d v="2018-07-18T00:00:00"/>
        <d v="2018-07-19T00:00:00"/>
        <d v="2018-07-21T00:00:00"/>
        <d v="2018-07-24T00:00:00"/>
        <d v="2018-07-31T00:00:00"/>
        <d v="2018-08-01T00:00:00"/>
        <d v="2018-08-06T00:00:00"/>
        <d v="2018-08-08T00:00:00"/>
        <d v="2018-08-11T00:00:00"/>
        <d v="2018-08-13T00:00:00"/>
        <d v="2018-08-15T00:00:00"/>
        <d v="2018-08-16T00:00:00"/>
        <d v="2018-08-17T00:00:00"/>
        <d v="2018-08-19T00:00:00"/>
        <d v="2018-08-20T00:00:00"/>
        <d v="2018-08-21T00:00:00"/>
        <d v="2018-08-22T00:00:00"/>
        <d v="2018-08-23T00:00:00"/>
        <d v="2018-08-24T00:00:00"/>
        <d v="2018-08-26T00:00:00"/>
        <d v="2018-08-28T00:00:00"/>
        <d v="2018-08-30T00:00:00"/>
        <d v="2018-08-31T00:00:00"/>
        <d v="2018-09-01T00:00:00"/>
        <d v="2018-09-03T00:00:00"/>
        <d v="2018-09-05T00:00:00"/>
        <d v="2018-09-06T00:00:00"/>
        <d v="2018-09-07T00:00:00"/>
        <d v="2018-09-10T00:00:00"/>
        <d v="2018-09-11T00:00:00"/>
        <d v="2018-09-15T00:00:00"/>
        <d v="2018-09-17T00:00:00"/>
        <d v="2018-09-23T00:00:00"/>
        <d v="2018-09-24T00:00:00"/>
        <d v="2018-09-25T00:00:00"/>
        <d v="2018-09-27T00:00:00"/>
        <d v="2018-09-29T00:00:00"/>
        <d v="2018-10-03T00:00:00"/>
        <d v="2018-10-04T00:00:00"/>
        <d v="2018-10-05T00:00:00"/>
        <d v="2018-10-07T00:00:00"/>
        <d v="2018-10-08T00:00:00"/>
        <d v="2018-10-09T00:00:00"/>
        <d v="2018-10-13T00:00:00"/>
        <d v="2018-10-15T00:00:00"/>
        <d v="2018-10-16T00:00:00"/>
        <d v="2018-10-19T00:00:00"/>
        <d v="2018-10-20T00:00:00"/>
        <d v="2018-10-22T00:00:00"/>
        <d v="2018-10-23T00:00:00"/>
        <d v="2018-10-24T00:00:00"/>
        <d v="2018-10-25T00:00:00"/>
        <d v="2018-10-27T00:00:00"/>
        <d v="2018-10-29T00:00:00"/>
        <d v="2018-10-30T00:00:00"/>
        <d v="2018-10-31T00:00:00"/>
        <d v="2018-11-01T00:00:00"/>
        <d v="2018-11-03T00:00:00"/>
        <d v="2018-11-05T00:00:00"/>
        <d v="2018-11-06T00:00:00"/>
        <d v="2018-11-07T00:00:00"/>
        <d v="2018-11-10T00:00:00"/>
        <d v="2018-11-11T00:00:00"/>
        <d v="2018-11-12T00:00:00"/>
        <d v="2018-11-14T00:00:00"/>
        <d v="2018-11-16T00:00:00"/>
        <d v="2018-11-17T00:00:00"/>
        <d v="2018-11-18T00:00:00"/>
        <d v="2018-11-20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4T00:00:00"/>
        <d v="2018-12-05T00:00:00"/>
        <d v="2018-12-06T00:00:00"/>
        <d v="2018-12-07T00:00:00"/>
        <d v="2018-12-09T00:00:00"/>
        <d v="2018-12-10T00:00:00"/>
        <d v="2018-12-11T00:00:00"/>
        <d v="2018-12-12T00:00:00"/>
        <d v="2018-12-13T00:00:00"/>
        <d v="2018-12-14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5T00:00:00"/>
        <d v="2018-12-26T00:00:00"/>
        <d v="2018-12-27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2T00:00:00"/>
        <d v="2019-01-14T00:00:00"/>
        <d v="2019-01-15T00:00:00"/>
        <d v="2019-01-16T00:00:00"/>
        <d v="2019-01-18T00:00:00"/>
        <d v="2019-01-19T00:00:00"/>
        <d v="2019-01-20T00:00:00"/>
        <d v="2019-01-22T00:00:00"/>
        <d v="2019-01-23T00:00:00"/>
        <d v="2019-01-24T00:00:00"/>
        <d v="2019-01-26T00:00:00"/>
        <d v="2019-01-27T00:00:00"/>
        <d v="2019-01-28T00:00:00"/>
        <d v="2019-01-29T00:00:00"/>
        <d v="2019-01-31T00:00:00"/>
        <d v="2019-02-02T00:00:00"/>
        <d v="2019-02-03T00:00:00"/>
        <d v="2019-02-05T00:00:00"/>
        <d v="2019-02-06T00:00:00"/>
        <d v="2019-02-07T00:00:00"/>
        <d v="2019-02-08T00:00:00"/>
        <d v="2019-02-10T00:00:00"/>
        <d v="2019-02-12T00:00:00"/>
        <d v="2019-02-14T00:00:00"/>
        <d v="2019-02-15T00:00:00"/>
        <d v="2019-02-16T00:00:00"/>
        <d v="2019-02-18T00:00:00"/>
        <d v="2019-02-19T00:00:00"/>
        <d v="2019-02-20T00:00:00"/>
        <d v="2019-02-21T00:00:00"/>
        <d v="2019-02-23T00:00:00"/>
        <d v="2019-02-25T00:00:00"/>
        <d v="2019-02-26T00:00:00"/>
        <d v="2019-02-27T00:00:00"/>
        <d v="2019-03-04T00:00:00"/>
        <d v="2019-03-05T00:00:00"/>
        <d v="2019-03-06T00:00:00"/>
        <d v="2019-03-07T00:00:00"/>
        <d v="2019-03-09T00:00:00"/>
        <d v="2019-03-12T00:00:00"/>
        <d v="2019-03-14T00:00:00"/>
        <d v="2019-03-15T00:00:00"/>
        <d v="2019-03-16T00:00:00"/>
        <d v="2019-03-19T00:00:00"/>
        <d v="2019-03-21T00:00:00"/>
        <d v="2019-03-22T00:00:00"/>
        <d v="2019-03-23T00:00:00"/>
        <d v="2019-03-24T00:00:00"/>
        <d v="2019-03-26T00:00:00"/>
        <d v="2019-03-28T00:00:00"/>
        <d v="2019-03-30T00:00:00"/>
        <d v="2019-03-31T00:00:00"/>
        <d v="2019-04-02T00:00:00"/>
        <d v="2019-04-03T00:00:00"/>
        <d v="2019-04-04T00:00:00"/>
        <d v="2019-04-05T00:00:00"/>
        <d v="2019-04-06T00:00:00"/>
        <d v="2019-04-07T00:00:00"/>
        <d v="2019-05-12T00:00:00"/>
        <d v="2019-04-16T00:00:00"/>
        <d v="2019-04-17T00:00:00"/>
        <d v="2019-04-19T00:00:00"/>
        <d v="2019-04-22T00:00:00"/>
        <d v="2019-04-23T00:00:00"/>
        <d v="2019-04-24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6T00:00:00"/>
        <d v="2019-05-08T00:00:00"/>
        <d v="2019-05-09T00:00:00"/>
        <d v="2019-05-11T00:00:00"/>
        <d v="2019-05-13T00:00:00"/>
        <d v="2019-05-14T00:00:00"/>
        <d v="2019-05-15T00:00:00"/>
        <d v="2019-05-16T00:00:00"/>
        <d v="2019-05-19T00:00:00"/>
        <d v="2019-05-20T00:00:00"/>
        <d v="2019-05-21T00:00:00"/>
        <d v="2019-05-23T00:00:00"/>
        <d v="2019-05-24T00:00:00"/>
        <d v="2019-05-25T00:00:00"/>
        <d v="2019-05-28T00:00:00"/>
        <d v="2019-06-01T00:00:00"/>
        <d v="2019-06-04T00:00:00"/>
        <d v="2019-06-10T00:00:00"/>
        <d v="2019-06-11T00:00:00"/>
        <d v="2019-06-13T00:00:00"/>
        <d v="2019-06-16T00:00:00"/>
        <d v="2019-06-17T00:00:00"/>
        <d v="2019-06-18T00:00:00"/>
        <d v="2019-06-20T00:00:00"/>
        <d v="2019-06-21T00:00:00"/>
        <d v="2019-06-22T00:00:00"/>
        <d v="2019-06-23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6T00:00:00"/>
        <d v="2019-07-07T00:00:00"/>
        <d v="2019-07-08T00:00:00"/>
        <d v="2019-07-09T00:00:00"/>
        <d v="2019-07-11T00:00:00"/>
        <d v="2019-07-12T00:00:00"/>
        <d v="2019-07-13T00:00:00"/>
        <d v="2019-07-14T00:00:00"/>
        <d v="2019-07-16T00:00:00"/>
        <d v="2019-07-17T00:00:00"/>
        <d v="2019-07-18T00:00:00"/>
        <d v="2019-07-19T00:00:00"/>
        <d v="2019-07-22T00:00:00"/>
        <d v="2019-07-25T00:00:00"/>
        <d v="2019-07-28T00:00:00"/>
        <d v="2019-07-30T00:00:00"/>
        <d v="2019-08-01T00:00:00"/>
        <d v="2019-08-02T00:00:00"/>
        <d v="2019-08-05T00:00:00"/>
        <d v="2019-08-07T00:00:00"/>
        <d v="2019-08-08T00:00:00"/>
        <d v="2019-08-10T00:00:00"/>
        <d v="2019-08-16T00:00:00"/>
        <d v="2019-08-17T00:00:00"/>
        <d v="2019-08-21T00:00:00"/>
        <d v="2019-08-25T00:00:00"/>
        <d v="2019-08-27T00:00:00"/>
        <d v="2019-08-31T00:00:00"/>
        <d v="2019-09-02T00:00:00"/>
        <d v="2019-09-03T00:00:00"/>
        <d v="2019-09-07T00:00:00"/>
        <d v="2019-09-12T00:00:00"/>
        <d v="2019-09-14T00:00:00"/>
        <d v="2019-09-17T00:00:00"/>
        <d v="2019-09-18T00:00:00"/>
        <d v="2019-09-20T00:00:00"/>
        <d v="2019-09-21T00:00:00"/>
        <d v="2019-09-23T00:00:00"/>
        <d v="2019-09-25T00:00:00"/>
        <d v="2019-09-26T00:00:00"/>
        <d v="2019-09-28T00:00:00"/>
        <d v="2019-10-01T00:00:00"/>
        <d v="2019-10-02T00:00:00"/>
        <d v="2019-10-07T00:00:00"/>
        <d v="2019-10-08T00:00:00"/>
        <d v="2019-10-11T00:00:00"/>
        <d v="2019-10-13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4T00:00:00"/>
        <d v="2019-10-25T00:00:00"/>
        <d v="2019-10-27T00:00:00"/>
        <d v="2019-10-28T00:00:00"/>
        <d v="2019-10-30T00:00:00"/>
        <d v="2019-10-31T00:00:00"/>
        <d v="2019-11-02T00:00:00"/>
        <d v="2019-11-04T00:00:00"/>
        <d v="2019-11-05T00:00:00"/>
        <d v="2019-11-07T00:00:00"/>
        <d v="2019-11-09T00:00:00"/>
        <d v="2019-11-11T00:00:00"/>
        <d v="2019-11-12T00:00:00"/>
        <d v="2019-11-13T00:00:00"/>
        <d v="2019-11-14T00:00:00"/>
        <d v="2019-11-16T00:00:00"/>
        <d v="2019-11-17T00:00:00"/>
        <d v="2019-11-18T00:00:00"/>
        <d v="2019-11-19T00:00:00"/>
        <d v="2019-11-20T00:00:00"/>
        <d v="2019-11-21T00:00:00"/>
        <d v="2019-11-24T00:00:00"/>
        <d v="2019-11-25T00:00:00"/>
        <d v="2019-11-28T00:00:00"/>
        <d v="2019-11-30T00:00:00"/>
        <d v="2019-12-02T00:00:00"/>
        <d v="2019-12-04T00:00:00"/>
        <d v="2019-12-05T00:00:00"/>
        <d v="2019-12-06T00:00:00"/>
        <d v="2019-12-07T00:00:00"/>
        <d v="2019-12-11T00:00:00"/>
        <d v="2019-12-14T00:00:00"/>
        <d v="2019-12-16T00:00:00"/>
        <d v="2019-12-17T00:00:00"/>
        <d v="2019-12-19T00:00:00"/>
        <d v="2019-12-21T00:00:00"/>
        <d v="2019-12-23T00:00:00"/>
        <d v="2019-12-24T00:00:00"/>
        <d v="2019-12-26T00:00:00"/>
        <d v="2019-12-27T00:00:00"/>
        <d v="2019-12-31T00:00:00"/>
        <m/>
        <d v="2020-01-02T00:00:00"/>
        <d v="2020-01-04T00:00:00"/>
        <d v="2020-01-06T00:00:00"/>
        <d v="2020-01-07T00:00:00"/>
        <d v="2020-01-14T00:00:00"/>
        <d v="2020-01-15T00:00:00"/>
        <d v="2020-01-18T00:00:00"/>
        <d v="2020-01-20T00:00:00"/>
        <d v="2020-01-21T00:00:00"/>
        <d v="2020-01-25T00:00:00"/>
        <d v="2020-01-26T00:00:00"/>
        <d v="2020-01-29T00:00:00"/>
        <d v="2020-01-31T00:00:00"/>
        <d v="2020-02-02T00:00:00"/>
        <d v="2020-02-03T00:00:00"/>
        <d v="2020-02-04T00:00:00"/>
        <d v="2020-02-09T00:00:00"/>
        <d v="2020-02-01T00:00:00"/>
        <d v="2020-02-08T00:00:00"/>
        <d v="2020-02-11T00:00:00"/>
        <d v="2020-02-12T00:00:00"/>
        <d v="2020-02-13T00:00:00"/>
        <d v="2020-02-16T00:00:00"/>
        <d v="2020-02-18T00:00:00"/>
        <d v="2020-02-19T00:00:00"/>
        <d v="2020-02-20T00:00:00"/>
        <d v="2020-02-22T00:00:00"/>
        <d v="2020-02-25T00:00:00"/>
        <d v="2020-02-28T00:00:00"/>
        <d v="2020-03-02T00:00:00"/>
        <d v="2020-03-04T00:00:00"/>
        <d v="2020-03-10T00:00:00"/>
        <d v="2020-03-11T00:00:00"/>
        <d v="2020-03-12T00:00:00"/>
        <d v="2020-03-15T00:00:00"/>
        <d v="2020-03-18T00:00:00"/>
        <d v="2020-03-29T00:00:00"/>
        <d v="2020-04-02T00:00:00"/>
        <d v="2020-04-07T00:00:00"/>
        <d v="2020-04-18T00:00:00"/>
        <d v="2020-04-27T00:00:00"/>
        <d v="2020-04-29T00:00:00"/>
        <d v="2020-05-01T00:00:00"/>
        <d v="2020-05-02T00:00:00"/>
        <d v="2020-05-03T00:00:00"/>
        <d v="2020-05-04T00:00:00"/>
        <d v="2020-05-13T00:00:00"/>
        <d v="2020-05-14T00:00:00"/>
        <d v="2020-05-16T00:00:00"/>
        <d v="2020-05-17T00:00:00"/>
        <d v="2020-05-18T00:00:00"/>
        <d v="2020-05-19T00:00:00"/>
        <d v="2020-05-20T00:00:00"/>
        <d v="2020-06-02T00:00:00"/>
        <d v="2020-06-04T00:00:00"/>
        <d v="2020-06-07T00:00:00"/>
        <d v="2020-06-08T00:00:00"/>
        <d v="2020-06-15T00:00:00"/>
        <d v="2020-06-21T00:00:00"/>
        <d v="2020-06-22T00:00:00"/>
        <d v="2020-06-23T00:00:00"/>
        <d v="2020-07-01T00:00:00"/>
        <d v="2020-07-03T00:00:00"/>
        <d v="2020-07-07T00:00:00"/>
        <d v="2020-07-09T00:00:00"/>
        <d v="2020-07-11T00:00:00"/>
        <d v="2020-07-14T00:00:00"/>
        <d v="2020-07-19T00:00:00"/>
        <d v="2020-07-17T00:00:00"/>
        <d v="2020-07-21T00:00:00"/>
        <d v="2020-07-22T00:00:00"/>
        <d v="2020-07-25T00:00:00"/>
        <d v="2020-07-28T00:00:00"/>
        <d v="2020-07-29T00:00:00"/>
        <d v="2020-07-31T00:00:00"/>
        <d v="2020-08-10T00:00:00"/>
        <d v="2020-08-11T00:00:00"/>
        <d v="2020-08-13T00:00:00"/>
        <d v="2020-08-15T00:00:00"/>
        <d v="2020-08-16T00:00:00"/>
        <d v="2020-08-17T00:00:00"/>
        <d v="2020-08-19T00:00:00"/>
        <d v="2020-08-21T00:00:00"/>
        <d v="2020-08-22T00:00:00"/>
        <d v="2020-08-23T00:00:00"/>
        <d v="2020-08-24T00:00:00"/>
        <d v="2020-08-25T00:00:00"/>
        <d v="2020-08-26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9T00:00:00"/>
        <d v="2020-09-12T00:00:00"/>
        <d v="2020-09-14T00:00:00"/>
        <d v="2020-09-15T00:00:00"/>
        <d v="2020-09-16T00:00:00"/>
        <d v="2020-09-19T00:00:00"/>
        <d v="2020-09-21T00:00:00"/>
        <d v="2020-09-23T00:00:00"/>
        <d v="2020-09-24T00:00:00"/>
        <d v="2020-09-25T00:00:00"/>
        <d v="2020-09-26T00:00:00"/>
        <d v="2020-09-27T00:00:00"/>
        <d v="2020-09-29T00:00:00"/>
        <d v="2020-09-30T00:00:00"/>
        <d v="2020-10-01T00:00:00"/>
        <d v="2020-10-02T00:00:00"/>
        <d v="2020-10-05T00:00:00"/>
        <d v="2020-10-07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7T00:00:00"/>
        <d v="2020-10-19T00:00:00"/>
        <d v="2020-10-21T00:00:00"/>
        <d v="2020-10-22T00:00:00"/>
        <d v="2020-10-23T00:00:00"/>
        <d v="2020-10-25T00:00:00"/>
        <d v="2020-10-26T00:00:00"/>
        <d v="2020-10-27T00:00:00"/>
        <d v="2020-10-28T00:00:00"/>
        <d v="2020-10-29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11T00:00:00"/>
        <d v="2020-11-12T00:00:00"/>
        <d v="2020-11-14T00:00:00"/>
        <d v="2020-11-17T00:00:00"/>
        <d v="2020-11-19T00:00:00"/>
        <d v="2020-11-21T00:00:00"/>
        <d v="2020-11-23T00:00:00"/>
        <d v="2020-11-24T00:00:00"/>
        <d v="2020-11-25T00:00:00"/>
        <d v="2020-11-26T00:00:00"/>
        <d v="2020-11-28T00:00:00"/>
        <d v="2020-11-29T00:00:00"/>
        <d v="2020-11-30T00:00:00"/>
        <d v="2020-12-01T00:00:00"/>
        <d v="2020-12-03T00:00:00"/>
        <d v="2020-12-06T00:00:00"/>
        <d v="2020-12-09T00:00:00"/>
        <d v="2020-12-13T00:00:00"/>
        <d v="2020-12-16T00:00:00"/>
        <d v="2020-12-18T00:00:00"/>
        <d v="2020-12-20T00:00:00"/>
        <d v="2020-12-21T00:00:00"/>
        <d v="2020-12-22T00:00:00"/>
        <d v="2020-12-27T00:00:00"/>
        <d v="2020-12-30T00:00:00"/>
        <d v="2020-12-31T00:00:00"/>
        <d v="2021-01-02T00:00:00"/>
        <d v="2021-01-03T00:00:00"/>
        <d v="2021-01-07T00:00:00"/>
        <d v="2021-01-26T00:00:00"/>
        <d v="2019-04-12T00:00:00" u="1"/>
        <d v="2018-09-12T00:00:00" u="1"/>
        <d v="2019-12-09T00:00:00" u="1"/>
      </sharedItems>
    </cacheField>
    <cacheField name="Description" numFmtId="0">
      <sharedItems containsBlank="1" count="507">
        <s v="Billal (Masson)"/>
        <s v="Samandar (Masson)"/>
        <s v="Rehmat (Labour)"/>
        <s v="Farooq (Supervisor)"/>
        <s v="Labour and Supervisor Payment"/>
        <s v="Meethai (Sweets)"/>
        <s v="Excavated Earth Sellout"/>
        <s v="00552961 Shuttering"/>
        <s v="Excavator (Nawaz)         50x2000"/>
        <s v="Laatri Walay Ko"/>
        <s v="Excavator Bhaata"/>
        <s v="Dumper 2 Wages"/>
        <s v="Compactor Rent"/>
        <s v="Petrol"/>
        <s v="Trolly"/>
        <s v="Rang+Doori+Keel"/>
        <s v="Juice+Chaai"/>
        <s v="Drum+Balcha+Geeti"/>
        <s v="Phatay Karaya"/>
        <s v="Rawksha Karaya+Labour Mistiri Paisay"/>
        <s v="Long Boot+Dastanay"/>
        <s v="Pipe Level"/>
        <s v="Inch Tape"/>
        <s v="Solution Tape"/>
        <s v="Petrol Gallon Rent"/>
        <s v="Petrol for Vibrator"/>
        <s v="Reeti Chaan"/>
        <s v="Hand Level"/>
        <s v="Redoxide"/>
        <s v="Drawing Photocopy+Coating"/>
        <s v="Haatora 2Nos."/>
        <s v="Cheni 2Nos."/>
        <s v="Shah Dost"/>
        <s v="Nawaz"/>
        <s v="Masood (Labour)"/>
        <s v="Qaari (Masson)"/>
        <s v="Kashif Kay Aadmi"/>
        <s v="Bharai Walay Kay Aadmi"/>
        <s v="Farooq (Labour)"/>
        <s v="Ramzaan (Labour)"/>
        <s v="Nawaz (Labour)"/>
        <s v="PCC 1:4:8 - Poaring"/>
        <s v="00552968 - Asif Pasta"/>
        <s v="00552969 Kashif"/>
        <s v="Amount Received"/>
        <s v="ARIF CONTRACTOR (at state agency Ali Raza)"/>
        <s v="ARIF CONTRACTOR (Raft Pouring)"/>
        <s v="Vibrator+Petrol"/>
        <s v="00552987"/>
        <s v="Cash Badast Arif"/>
        <s v="Raft Poaring Gul Nawaz"/>
        <s v="Askari Cheque"/>
        <s v="Paid to Arif Contractor for (Rafting)"/>
        <s v="00552990"/>
        <s v="00552999 Asif Pasta"/>
        <s v="Cash - Badast Farooq"/>
        <s v="Arif Contractor Cash by Ali's Hand Received by Mohammad Zada"/>
        <s v="2989"/>
        <s v="Cheque"/>
        <s v="Ali) Arif Contractor"/>
        <s v="2992"/>
        <s v="Mushtaq Purdy + Column- Poaring"/>
        <s v="00553001"/>
        <s v="Asif Pasta"/>
        <s v="For Rafting"/>
        <s v="00553006"/>
        <s v="00553007"/>
        <s v="Phatay"/>
        <s v="Ghoori Banwai"/>
        <s v="Labour"/>
        <s v="Channa Moota Karaya"/>
        <s v="Eidi Chokidaar+Labour"/>
        <s v="Pranch Phattay Karaya"/>
        <s v="Hillti Karaya"/>
        <s v="Chani+Haatora"/>
        <s v="Chacha Latif (Labour)"/>
        <s v="Ammanullah (Labour)"/>
        <s v="Advance + Payment"/>
        <s v="Chaai Baraf"/>
        <s v="Chaai"/>
        <s v="019"/>
        <s v="021"/>
        <s v="Amman-Ullah (Labour)"/>
        <s v="Gull Nawaz (Pouring)             Basement Slab"/>
        <s v="Refreshment"/>
        <s v="Measurment Tape"/>
        <s v="Basement Slab"/>
        <s v="00553022"/>
        <s v="00553023"/>
        <s v="00553028"/>
        <s v="Loader"/>
        <s v="Loader "/>
        <s v="Haatim Khan"/>
        <s v="Nawaz ki Labour"/>
        <s v="Tahir (Labour)"/>
        <s v="Masood Kay Banday"/>
        <s v="Abdull Samad (Baloch Labour)"/>
        <s v="9 Wages @ 1200 Steel Fixer"/>
        <s v="Column Poaring Gul Nawaz"/>
        <s v="Red Oxide"/>
        <s v="Cash-Mushtaq"/>
        <s v="00553040"/>
        <s v="Arif Contractor (27 Columns)"/>
        <s v="Cash- Ibrahim"/>
        <s v="Cash Badast Habib Electrician"/>
        <s v="Site Expense"/>
        <s v="Haq Nawaz"/>
        <s v="Masood"/>
        <s v="Rahmat"/>
        <s v="Chacha Latif"/>
        <s v="Farooq"/>
        <s v="Namoos (Masson)"/>
        <m/>
        <s v="Rehmat (Labour)        Kharcha"/>
        <s v="Cash -Ibrahim"/>
        <s v="Asif Bhai                          Month July-18 Payment"/>
        <s v="Liaqat (Contractor)"/>
        <s v="Papu (Pouring)                              1st.F.Column"/>
        <s v="Ibraheem (Shuttring)                       CASH"/>
        <s v="Photo Copy"/>
        <s v="Papu (Pouring)                               Short Coll."/>
        <s v="Mushtaaq (Shuttring)                       CASH"/>
        <s v="Hilti Repairing"/>
        <s v="Tea for Labour"/>
        <s v="Grander"/>
        <s v="Repairing"/>
        <s v="Cylinder Test"/>
        <s v="Curing (Hashim &amp; Majid)"/>
        <s v=" Kashif Steel"/>
        <s v="Masood "/>
        <s v="Qari"/>
        <s v="Haji Nazaqaut"/>
        <s v="Redoxide (for layout)"/>
        <s v="Ibraheem (Shuttring)         HBL Chq.00000036"/>
        <s v="Nawaz (Labour) Month July"/>
        <s v="Masood (Labour) July 18"/>
        <s v="Masood (Labour) Advance"/>
        <s v="Kashif (Steel)"/>
        <s v="Ibraheem (Shuttring)    HBL Chq. Agnst Matrl"/>
        <s v="Chacha Latif (Labour) July 18"/>
        <s v="Grander Disk"/>
        <s v="Paid for Shop Roof"/>
        <s v="39794567"/>
        <s v="Cash- Ibrahim Mushtaq"/>
        <s v="Cash - Mushtaq"/>
        <s v="Long Shoes"/>
        <s v="Qaari Messon"/>
        <s v="Haji Nazaqat (Labour)"/>
        <s v="Asif Bhai Eid Advance August"/>
        <s v="First Flour Slab- Poaring"/>
        <s v="39794565 _ Sher Zada"/>
        <s v="39794566 _ Sher Zada"/>
        <s v="Haqq Nawaz (Labour)"/>
        <s v="Layout Material"/>
        <s v="Aaari Blade"/>
        <s v="Jhaaro and Brush"/>
        <s v="Muhammad Zada Electrician"/>
        <s v="Raasi"/>
        <s v="Cash Badast Yaser Chuta- Khalil Electrician"/>
        <s v="Badast Kashif"/>
        <s v="Vibratour Service"/>
        <s v="Drawing photocopy and coating"/>
        <s v="Cash - Ibrahim"/>
        <s v="Safdar (Labour)"/>
        <s v="Nawab Zada (Chunai Plaster)"/>
        <s v="Ibraheem (Shuttring)"/>
        <s v="Asif Bhai                    Payment Month Aug-18"/>
        <s v="1st Floor Column Filling (Arif Contractor)"/>
        <s v="Labour Payments "/>
        <s v="First Flour Column- Poaring"/>
        <s v="Shawaiz Wages"/>
        <s v="Dasti to Khan Zada on dated 20/08/2018 Adjustment Entry"/>
        <s v="Trolly Tyre Puncture"/>
        <s v="Amount Received (Asif received from Ahmed)"/>
        <s v="Shah Waris Khan (Shuttring)"/>
        <s v="Gullzar (Cutting Labour)"/>
        <s v="Amount Received (Asif c/o Arif Sb from Ahmed)"/>
        <s v="Liaqat (Contractor)         HBL Chq: 00000046"/>
        <s v="Cartage for Pranch from NIP"/>
        <s v="Asif Bhai      HBL Chq:0048,Month Sep-18 Payment"/>
        <s v="Masood (Labour)         Month Aug-Sep-18 Pymt"/>
        <s v="Balchaa (For Site)"/>
        <s v="Taagari (For Site)"/>
        <s v="Trolly Tools"/>
        <s v="Nawaz (Labour)           Month Sep-18 Payment"/>
        <s v="Trolly Tube"/>
        <s v="Waterproofing Chemical"/>
        <s v="Nawab Zada (Chunai Plaster) HMP 81431080"/>
        <s v="Ismail (Labour)"/>
        <s v="Amount Received (Arif received from Ahmed, Chq# MET-1080 )"/>
        <s v="Amount Received (Arif received from Ahmed Cash)"/>
        <s v="Haji Aziz (Shuttring)"/>
        <s v="Starter Frame Repair"/>
        <s v="Vibrator Repair"/>
        <s v="Papu (Pouring)                        2nd Floor Slab"/>
        <s v="Stop (Adda Labour)"/>
        <s v="Water Bottols"/>
        <s v="Masood (Labour)              Month Oct-18 Pymt"/>
        <s v="Mohammad Hashir (Labour)"/>
        <s v="Baalti for site"/>
        <s v="Payment Received M.Habib Chq#31085"/>
        <s v="Adday ki Labour"/>
        <s v="Material for Layout"/>
        <s v="Bashir Electric"/>
        <s v="Shabbir Electrician (Electrician)"/>
        <s v="Asif Bhai                         Month Oct-18 Payment"/>
        <s v="Nawaz (Labour)             Month Oct-18 Payment"/>
        <s v="Masood (Labour)  Month remaining Oct-18 Pymt"/>
        <s v="Massoon+Labour (Nawab)"/>
        <s v="Liaqat (Contractor)         HBL Chq: 00000058"/>
        <s v="Liaqat (Contractor)         HBL Chq: 00000057"/>
        <s v="Gull Nawaz (Pouring)             3rd Floor Column"/>
        <s v="Masood (Labour) "/>
        <s v="Core Cutting     (7 Nos)"/>
        <s v="Painter  (Babar and Farhan)"/>
        <s v="Painter  (Farhan)"/>
        <s v="Rigester+Nails"/>
        <s v="Amount Received(Arif received from Ahmed,Chq# MET-81431090 )"/>
        <s v="Khalil (Plumber)"/>
        <s v="Painter  (Rab-Nawaz)"/>
        <s v="Nawaz Paymen Haydri MZ"/>
        <s v="Site Material (Balchaa 2 Nos)"/>
        <s v="Chaani Banwai"/>
        <s v="Amount Received (Asif received from Ahmed)    Cash"/>
        <s v="Nails+Patti (Haji Aziz)"/>
        <s v="Labour Payment (Nawab Masson, Manhole)"/>
        <s v="Nawaz (Labour)             Month Nov-18 Payment"/>
        <s v="Kashif Steel"/>
        <s v="Site Material"/>
        <s v="Masood (Labour)            Month Nov-18 Pymt"/>
        <s v="Emaan (Labour)"/>
        <s v="Ashiq (Labour)"/>
        <s v="Masood (Labour)          "/>
        <s v="Balchaa Dasta+Fixing (For Site)"/>
        <s v="Tralley Tyube"/>
        <s v="Muzamil (Labour)"/>
        <s v="Tralley Puncture"/>
        <s v="Amount Received (S.Ibtehaj received from Ahmed)    Cash"/>
        <s v="Amir (Labour)"/>
        <s v="Gull Nawaz (Pouring)             3rd Floor Slab"/>
        <s v="Asif Bhai                      Month Nov-18 Payment"/>
        <s v="Trolley Puncture"/>
        <s v="Grinder Disc"/>
        <s v="Voucher Book"/>
        <s v="Gull Nawaz (Pouring)             4thFloor Column"/>
        <s v="Vibrator Rent"/>
        <s v="Nawaz (Labour)             Month Dec-18 Payment"/>
        <s v="Nawab Zada (Masson+Labour Dec-18 Pymt)"/>
        <s v="Masood (Labour)            Month Dec-18 Pymt"/>
        <s v="Asif Bhai                      Month Dec-18 Payment"/>
        <s v="Amman-Ullah (Labour)      Month Dec-18 Pymt"/>
        <s v="Amir (Labour)                    Month Dec-18 Pymt"/>
        <s v="Muzamil (Labour)              Month Dec-18 Pymt"/>
        <s v="Trolley Puncture/Tyre"/>
        <s v="Jaali"/>
        <s v="Suzuki Rent       (Material Shift KIA to /Maymar)"/>
        <s v="Jhaaro"/>
        <s v="Block Trolley Puncture/Tyre"/>
        <s v="Amount Received(S.Ibtehaj received from Ahmed,Chq# Mezan-... )"/>
        <s v="6 Nos. Steel leader for plaster"/>
        <s v="Gull Nawaz (Pouring)             4thFloor Slab"/>
        <s v="Masood (Labour)            Month Jan-19 Pymt"/>
        <s v="Amount Received (Asif received from Ahmed) Chq#CA-43876"/>
        <s v="Amount Received (Arif Sb received from Ahmed) Cash"/>
        <s v="Gull Nawaz (Pouring)             5thFloor col"/>
        <s v="Amount Received (Asif received from Ahmed) Cash"/>
        <s v="Rehmat (Labour)     "/>
        <s v="Amman-Ullah (Labour)     "/>
        <s v="Muzamil (Labour)              "/>
        <s v="Jawaid (Labour)"/>
        <s v="Nawab Labour"/>
        <s v="Gull Nawaz labour"/>
        <s v="9084555 Liaqat A"/>
        <s v="Amount Received(S.Ibtehaj received from Ahmed,Chq# HMP51)"/>
        <s v="Amount Received(S.Ibtehaj received from Ahmed,Chq# HMP52)"/>
        <s v="Nawaz (Labour)             Month Jan-19 Payment"/>
        <s v="Asif Bhai                      Month Jan-19 Payment"/>
        <s v="Nawaz (Labour)   "/>
        <s v="Haqq Nawaz (Labour)   "/>
        <s v="Amount Received (Arif Sb received from Ahmed Bhai) Cash"/>
        <s v="Amount Received (Ibtehaj received from Ahmed) Chq#33481284"/>
        <s v="Amount Received (Ibtehaj received from Ahmed) Chq#33481286"/>
        <s v="Liaqat (Contractor)         (Al-Baraka Chq#4839)"/>
        <s v="Haqq Nawaz (Labour)    Month Feb-19 Payment"/>
        <s v="Gull-Roz (Labour)         Month Feb-19 Payment"/>
        <s v="Asif Bhai                      Month Feb-19 Payment"/>
        <s v="Rakshaw Karaya, Chemical"/>
        <s v="Paid against M.Habib (Flat No.201) c/o M.Zada"/>
        <s v="Amount Received (Ibtehaj received from Ahmed) Cash"/>
        <s v="Gull Nawaz (Pouring)             5thFloor slab"/>
        <s v="Liaqat (Contractor)         (cash)"/>
        <s v="Baber (Labour)"/>
        <s v="Kashif (Steel)         (Al-Baraka Chq#4844)"/>
        <s v="Liaqat (Contractor)       (Al-Baraka Chq#4845)"/>
        <s v="Liaqat (Contractor)       (HBL Chq#00067)"/>
        <s v="Nawab Zada (Chunai Plaster) (Al-Barka Chq#4846)"/>
        <s v="Site Material (Register)"/>
        <s v="Haqq Nawaz (Labour)   Adv"/>
        <s v="Haqq Nawaz (Labour)   Adv     (Arif Sb)"/>
        <s v="Babar (Labour)    Month Mar-19 Payment"/>
        <s v="Haqq Nawaz (Labour)  Month Mar-19 Payment"/>
        <s v="Abdul Razaq (Labour)  Month Mar-19 Payment"/>
        <s v="Nawab's Labour)  Month Mar-19 Payment"/>
        <s v="Asif Bhai                      Month Mar-19 Payment"/>
        <s v="Brush for Waterprofing Chemical"/>
        <s v="Haqq Nawaz (Labour) "/>
        <s v="Abdul Razaq (Labour)  "/>
        <s v="Amount Received (Asif received from Ahmed) Cash+Chq 200+20"/>
        <s v="Nawab Zada (Chunai Plaster)  75+50+25   (Cash)"/>
        <s v="Abdul Razaq (Labour)  Month Apr-19 Payment"/>
        <s v="Tea for labour  5/4/19  to 19/4/19"/>
        <s v="Haji aziz (Shuttring)   (Nails)"/>
        <s v="M.Zada (Trolley Repair) Gullshan Site"/>
        <s v="Riyaz (Labour)"/>
        <s v="Nawab Zada (Chunai Plaster)  30+25   (Cash)"/>
        <s v="Amount Received (Ibtehaj received from Hamza) Cash"/>
        <s v="Nawab Payment Haydri MZ"/>
        <s v="Nawab Zada (Chunai Plaster)    HYD M.Zada Site"/>
        <s v="Chacha Latif kay ghar Paisay diye"/>
        <s v="Haji aziz (Shuttring) "/>
        <s v="Gaiti ka Dasta"/>
        <s v="Raziq (Labour) "/>
        <s v="Gull Nawaz (Pouring)    Design+Machine Room Col"/>
        <s v="Raziq (Labour)  Month Apr-19 Payment"/>
        <s v="Haqq Nawaz (Labour)  Month Apr-19 Payment"/>
        <s v="Asif Bhai                      Month Apr-19 Payment"/>
        <s v="Raziq (Labour)  Month May-19 Payment"/>
        <s v="Baans (Bamboo)                  70 Nos. 30 ft."/>
        <s v="Rent"/>
        <s v="Raasi                            19.200 Kg"/>
        <s v="Liaqat (Contractor)       (HBL Chq#21434854)"/>
        <s v="Raasi                            23 Kg, Rs.210/-"/>
        <s v="Gull Nawaz (Pouring) Machine Room Bott Slab+Design"/>
        <s v="Haqq Nawaz (Labour)  "/>
        <s v="Adjustment Flate # 201 Muhammad Habib"/>
        <s v="Baans (Bamboo)                  40 Nos. 12 Phatay"/>
        <s v="Keel Paati (Phaton Kliye)"/>
        <s v="Raasi                            10.5 Kg, Rs.210/-"/>
        <s v="Sawan (Labour)  "/>
        <s v="Imran (Labour)  "/>
        <s v="Liaqat (Contractor)       (CASH)"/>
        <s v="Asif Bhai                      Month May-19 Payment"/>
        <s v="Asif Bhai                             EIDI"/>
        <s v="Haqq Nawaz (Labour)  Month May-19 Payment"/>
        <s v="Haqq Nawaz (Labour)       EIDI"/>
        <s v="Sawan (Labour)         Month May-19 Payment"/>
        <s v="Core Cutting"/>
        <s v="Nails  (3&quot;)"/>
        <s v="Mix Material (Cooler Null, Nails etc)"/>
        <s v="Chaini Banwai"/>
        <s v="Nail"/>
        <s v="Riksha Fare"/>
        <s v="Haqq Nawaz (Labour)  Month June-19 Payment"/>
        <s v="Kacha Plaster (Messon+Labour)"/>
        <s v="Site Material (Taagari)"/>
        <s v="Goola/Kacha Plaster (Akram Messon+Labour)"/>
        <s v="10' Wooden Piece 2 Nos"/>
        <s v="Nawab Zada Chunai Plaster"/>
        <s v="Liaqat (Contractor)       (HBL Chq#000000)"/>
        <s v="Gull Nawaz (Pouring) O.H.W.T"/>
        <s v="Asif Bhai                      Month June-19 Payment"/>
        <s v="Amount Received (Asif received from Ahmed) Chq#"/>
        <s v="Amount Received (Asif received from Ahmed) HMB Chq#"/>
        <s v="Haqq Nawaz (Labour)  Month July-19 Payment"/>
        <s v="Muhammad (Masson)"/>
        <s v="Sadiq (Labour)"/>
        <s v="Parvaiz (Masson)"/>
        <s v="Gull Bashir (Masson)"/>
        <s v="Sabir"/>
        <s v="Amount Received (Asif received from Ahmed) Meezan Chq#"/>
        <s v="Reti Chaan + Bailcha"/>
        <s v="Asif Bhai                      Month July-19 Payment"/>
        <s v="Cash Received Farooq Supervisor C/O M Zada"/>
        <s v="Amount Received (Asif received from Ahmed/Zada) Cash"/>
        <s v="Kamraa Turrai Adda Labour"/>
        <s v="Pranch Plumber kliye"/>
        <s v="Haqq Nawaz (Labour)  Month Aug-19 Payment"/>
        <s v="Labour Mix Payment"/>
        <s v="Asif Bhai                      Month Aug-19 Payment"/>
        <s v="Shuttring Labour (Baba)"/>
        <s v="Haqq Nawaz (Labour)  Month Sep-19 Payment"/>
        <s v="Bailcha"/>
        <s v="Rope"/>
        <s v="Liaqat (Contractor)       (HBL 000117)"/>
        <s v="Amount Received (Asif received from Ahmed) Transfer"/>
        <s v="Asif Bhai                      Month Sep-19 Payment"/>
        <s v="Babar (Labour)"/>
        <s v="Reti Chaan + Robe"/>
        <s v="Rab-Nawaz (Painter)"/>
        <s v="Wooden Piece (Golla)"/>
        <s v="Remaining Adjustment in Contract A/c To SMART"/>
        <s v="Haqq Nawaz (Labour)  Month Oct-19 Payment"/>
        <s v="Babar (Labour)              Month Oct-19 Payment"/>
        <s v="Massoon+Labour (Mix Work)"/>
        <s v="Asif Bhai                      Month Oct-19 Payment"/>
        <s v="Pakka Kaam (Chemical)"/>
        <s v="Mujahid (Masson)"/>
        <s v="Ajjab Khan (Masson)"/>
        <s v="Aazam (Labour)"/>
        <s v="Liaqat (Contractor)       (Cash, Arif Sb)"/>
        <s v="Babar (Labour)              Month Nov-19 Payment"/>
        <s v="Haq Nawaz Labour"/>
        <s v="Received from Ahmed Bhai"/>
        <s v="Nawab Chunai Plaster (Rd 5000 from Habib)"/>
        <s v="Paid to Nawab by Zada"/>
        <s v="Haq Nawaz Labour November Payment"/>
        <s v="Ajab Khan - Meson + Labour"/>
        <s v="Nawab - Chunai Plaster"/>
        <s v="Trolly Bearing Repair"/>
        <s v="Asif November Payment"/>
        <s v="Liaqat Raity Crush"/>
        <s v="Haq Nawaz Advance"/>
        <s v="Faisal bank Ch 00004, "/>
        <s v="Rab-Nawaz (Painter) Jhoolay Kay Lia"/>
        <s v="Ch# 00007, "/>
        <s v="Nawab ( Chunai Plaster)"/>
        <s v="Rab Nawaz ( Painter)"/>
        <s v="Haq Nawaz "/>
        <s v="Electric Pipe Shuttering"/>
        <s v="Jale Muta Chaan"/>
        <s v="Liaqat ( Aggregate)"/>
        <s v="Chai"/>
        <s v="Bashir Electric ( Khalil)"/>
        <s v="Received from Ahmed Bhai Ch No  12102057 "/>
        <s v="Nawab Chunai Palster"/>
        <s v="Trolly Tube 27/5/19"/>
        <s v="Steel Nails 21/6/19"/>
        <s v="Received from Ahmed Bhai Cash"/>
        <s v="Babar Labour"/>
        <s v="Nawaz (Labour) Month Dec-19 Payment"/>
        <s v="Asif Bhai      Month Dec-19 Payment"/>
        <s v="4&quot; Disk, 2Nos"/>
        <s v="Liaqat ( Aggregate) HBL Chq#-0141"/>
        <s v="Nawab labour payment"/>
        <s v="Bashir (Electric)"/>
        <s v="Cheni Banwai"/>
        <s v="Haq Nawaz   Month Jan-20 Payment"/>
        <s v="Asif Bhai      Month Jan20 Payment"/>
        <s v="Jalal Labour"/>
        <s v="Sabir (Bathroom Repairing)"/>
        <s v="Haq Nawaz   Month Feb-20 Payment"/>
        <s v="Asif Bhai      Month Feb-20 Payment"/>
        <s v="4th floor block shifting"/>
        <s v="Sand shifting on roof top"/>
        <s v="Haq Nawaz   Month Mar-20 Payment"/>
        <s v="Asif Bhai      Month Mar-20 Payment"/>
        <s v="Roof Leveling/Thiya (Masson+Labour)"/>
        <s v="Slab Cutting Hilti"/>
        <s v="Gull Nawaz (Pouring) Screeding"/>
        <s v="Masson+Labour (Screeding)"/>
        <s v="Gloves 2 Nos."/>
        <s v="Haq Nawaz   Month Apr-20 Payment"/>
        <s v="Masson+Labour (Shop Repairing)"/>
        <s v="Grinder Disk"/>
        <s v="Labour Nawab (Ali Shop Tile Work)"/>
        <s v="Asif Eidi-2020"/>
        <s v="Labour Nawab (Ali Shop Bath Work)"/>
        <s v="Haq Nawaz   Month May-20 Payment"/>
        <s v="Lift Slab Shuttring "/>
        <s v="Received from Ahmed BhaiChq#A-2763"/>
        <s v="Lift Back Side Concrete"/>
        <s v="Grinder Disk Steel Cutting"/>
        <s v="Steel Bar Anchoring"/>
        <s v="Asif Bhai      Month May-20 Payment"/>
        <s v="Received from Ahmed BhaiChq#A-0000"/>
        <s v="Liaqat ( Aggregate) Cash"/>
        <s v="Sidiq Shuttring"/>
        <s v="Silicone Gun"/>
        <s v="Drill Machine Bit"/>
        <s v="Haq Nawaz   Month June -20 Payment"/>
        <s v="Received from Ahmed Bhai  Cash"/>
        <s v="Asif Bhai      Month June -20 Payment"/>
        <s v="Door Rubber Fixing Labour"/>
        <s v="Arif (Tile Fixer)"/>
        <s v="Zafar Labour (Parking 1:4:8)"/>
        <s v="1 Nos Bailcha"/>
        <s v="1 Nos Grinder Disk "/>
        <s v="Phatoon ka Karaya"/>
        <s v="Zafar Labour (Beam Pouring 1:4:8)"/>
        <s v="Haq Nawaz   Month July -20 Payment"/>
        <s v="Zafar (Labour)"/>
        <s v="Asif Bhai      Month July -20 Payment"/>
        <s v="Bar-Anchoring"/>
        <s v="Haq Nawaz   Month Aug -20 Payment"/>
        <s v="Wahab (Labour)"/>
        <s v="Asif Bhai      Month Aug -20 Payment"/>
        <s v="Haq Nawaz   Month Sep -20 Payment"/>
        <s v="Wooden Lader"/>
        <s v="Received from Ahmed BhaiChq#A-7877"/>
        <s v="Paid to Arif Sahab"/>
        <s v="Masson+Labour"/>
        <s v="Doori"/>
        <s v="Electric Cable Hole"/>
        <s v="Received from Ahmed BhaiChq#A-5599"/>
        <s v="Asif Bhai      Month Sep -20 Payment"/>
        <s v="Trolly Barring"/>
        <s v="Shuttring Cartage"/>
        <s v="Haq Nawaz   Month Oct-20 Payment"/>
        <s v="Geti ka Dasta"/>
        <s v="Asif Bhai      Month Oct -20 Payment"/>
        <s v="Haq Nawaz   Month Nov-20 Payment"/>
        <s v="Asif Bhai      Month Nov -20 Payment"/>
        <s v="Liaqat (Contractor)         Cash"/>
        <s v="Haq Nawaz   Month Dec-20 Payment"/>
        <s v="Mushtarka"/>
        <s v="M.Zada Expense"/>
        <s v="M.Zada Collection from Smart Arcade"/>
      </sharedItems>
    </cacheField>
    <cacheField name="Head of Account" numFmtId="0">
      <sharedItems containsBlank="1" count="17">
        <s v="Wages"/>
        <s v="Salary"/>
        <s v="Expense Site"/>
        <s v="Other Receipt"/>
        <s v="Shuttering"/>
        <s v="Khudai Exp"/>
        <s v="Pouring"/>
        <s v="Steel Fixing"/>
        <s v="Collection"/>
        <s v="Aggregate Supply"/>
        <s v="Electric Expenses"/>
        <m/>
        <s v="Chunai Plaster"/>
        <s v=" Waterproofing"/>
        <s v="Paint Expenses"/>
        <s v="Plumbing Exp"/>
        <s v="Arif Stairs Marble "/>
      </sharedItems>
    </cacheField>
    <cacheField name="Name Arif / Zada" numFmtId="0">
      <sharedItems containsBlank="1" count="4">
        <s v="Zada"/>
        <s v="ARIF"/>
        <m/>
        <s v="      "/>
      </sharedItems>
    </cacheField>
    <cacheField name="Receipt-payment" numFmtId="0">
      <sharedItems containsBlank="1" containsMixedTypes="1" containsNumber="1" containsInteger="1" minValue="0" maxValue="0" count="6">
        <s v="Payment"/>
        <s v="Other Receipt"/>
        <s v="Receipt"/>
        <m/>
        <s v=" Collection from Smart Arcade"/>
        <n v="0" u="1"/>
      </sharedItems>
    </cacheField>
    <cacheField name="Dr. or (Cr)                Rs." numFmtId="0">
      <sharedItems containsString="0" containsBlank="1" containsNumber="1" containsInteger="1" minValue="-400000" maxValue="500000" count="255">
        <n v="0"/>
        <n v="-43050"/>
        <n v="-2000"/>
        <n v="134700"/>
        <n v="-200000"/>
        <n v="-100000"/>
        <n v="-54800"/>
        <n v="-8000"/>
        <n v="-1500"/>
        <n v="-2500"/>
        <n v="-22000"/>
        <n v="-200"/>
        <n v="-4500"/>
        <n v="-500"/>
        <n v="-3380"/>
        <n v="-2200"/>
        <n v="-300"/>
        <n v="-1210"/>
        <n v="-85"/>
        <n v="-30"/>
        <n v="-450"/>
        <n v="-600"/>
        <n v="-340"/>
        <n v="-60"/>
        <n v="-510"/>
        <n v="-330"/>
        <n v="-135649"/>
        <n v="-400000"/>
        <n v="500000"/>
        <n v="250000"/>
        <n v="-150000"/>
        <n v="-23000"/>
        <n v="-120000"/>
        <n v="400000"/>
        <n v="-50000"/>
        <n v="-300000"/>
        <n v="300000"/>
        <n v="-35000"/>
        <n v="-5500"/>
        <n v="-1000"/>
        <n v="-100"/>
        <n v="-5000"/>
        <n v="-9000"/>
        <m/>
        <n v="-68600"/>
        <n v="-15000"/>
        <n v="-150"/>
        <n v="-50"/>
        <n v="-48000"/>
        <n v="-627"/>
        <n v="-650"/>
        <n v="-25000"/>
        <n v="-30000"/>
        <n v="-51350"/>
        <n v="-10800"/>
        <n v="-26000"/>
        <n v="-120"/>
        <n v="-10000"/>
        <n v="-240"/>
        <n v="-31262"/>
        <n v="-13800"/>
        <n v="-38000"/>
        <n v="-490"/>
        <n v="-21000"/>
        <n v="-3200"/>
        <n v="-20000"/>
        <n v="-42750"/>
        <n v="-83700"/>
        <n v="-118000"/>
        <n v="-40000"/>
        <n v="-550"/>
        <n v="-270"/>
        <n v="-170"/>
        <n v="-468"/>
        <n v="-350"/>
        <n v="-800"/>
        <n v="100000"/>
        <n v="-4400"/>
        <n v="150000"/>
        <n v="-7000"/>
        <n v="-540"/>
        <n v="50000"/>
        <n v="-4000"/>
        <n v="-60000"/>
        <n v="-4900"/>
        <n v="-520"/>
        <n v="-20"/>
        <n v="-220"/>
        <n v="-9850"/>
        <n v="-3000"/>
        <n v="-2960"/>
        <n v="60000"/>
        <n v="-87000"/>
        <n v="-110"/>
        <n v="-1100"/>
        <n v="200000"/>
        <n v="-68000"/>
        <n v="-850"/>
        <n v="-1150"/>
        <n v="-1850"/>
        <n v="-320"/>
        <n v="-50115"/>
        <n v="-7450"/>
        <n v="-12600"/>
        <n v="-12800"/>
        <n v="35000"/>
        <n v="65000"/>
        <n v="-9100"/>
        <n v="-95"/>
        <n v="9000"/>
        <n v="-700"/>
        <n v="-15560"/>
        <n v="75000"/>
        <n v="-13300"/>
        <n v="-16100"/>
        <n v="-5050"/>
        <n v="-5650"/>
        <n v="20000"/>
        <n v="-6000"/>
        <n v="-260"/>
        <n v="30000"/>
        <n v="-12000"/>
        <n v="-66000"/>
        <n v="-3750"/>
        <n v="-70"/>
        <n v="-75"/>
        <n v="49000"/>
        <n v="-40"/>
        <n v="-13000"/>
        <n v="-560"/>
        <n v="-15800"/>
        <n v="-22650"/>
        <n v="-9600"/>
        <n v="-6615"/>
        <n v="-400"/>
        <n v="130000"/>
        <n v="70000"/>
        <n v="-1600"/>
        <n v="-2950"/>
        <n v="-1250"/>
        <n v="-3150"/>
        <n v="-580"/>
        <n v="-6540"/>
        <n v="-2600"/>
        <n v="80000"/>
        <n v="-525"/>
        <n v="-75000"/>
        <n v="-9500"/>
        <n v="-2530"/>
        <n v="-1050"/>
        <n v="-28000"/>
        <n v="-4600"/>
        <n v="-250"/>
        <n v="-13350"/>
        <n v="-2750"/>
        <n v="-3300"/>
        <n v="-425"/>
        <n v="-3520"/>
        <n v="-33000"/>
        <n v="-8400"/>
        <n v="-2700"/>
        <n v="-73000"/>
        <n v="-65000"/>
        <n v="-85940"/>
        <n v="95000"/>
        <n v="-90"/>
        <n v="-4800"/>
        <n v="-15200"/>
        <n v="-1700"/>
        <n v="-5600"/>
        <n v="220000"/>
        <n v="-31000"/>
        <n v="-10450"/>
        <n v="3600"/>
        <n v="-55000"/>
        <n v="-6300"/>
        <n v="-125"/>
        <n v="-1240"/>
        <n v="-2550"/>
        <n v="-13500"/>
        <n v="160000"/>
        <n v="-2400"/>
        <n v="-52000"/>
        <n v="-34200"/>
        <n v="-1800"/>
        <n v="-4044"/>
        <n v="-4830"/>
        <n v="-27000"/>
        <n v="-33700"/>
        <n v="-437"/>
        <n v="-2230"/>
        <n v="-900"/>
        <n v="180000"/>
        <n v="-16500"/>
        <n v="-3250"/>
        <n v="-45000"/>
        <n v="-25"/>
        <n v="-2060"/>
        <n v="-25200"/>
        <n v="-12400"/>
        <n v="-16850"/>
        <n v="-11000"/>
        <n v="-14000"/>
        <n v="-15500"/>
        <n v="-1350"/>
        <n v="-5400"/>
        <n v="-80000"/>
        <n v="-70000"/>
        <n v="-1660"/>
        <n v="-17000"/>
        <n v="-9650"/>
        <n v="120000"/>
        <n v="-14100"/>
        <n v="-18150"/>
        <n v="-750"/>
        <n v="-2300"/>
        <n v="175000"/>
        <n v="25000"/>
        <n v="-45100"/>
        <n v="-10200"/>
        <n v="-2442"/>
        <n v="-80"/>
        <n v="360000"/>
        <n v="-17450"/>
        <n v="-3500"/>
        <n v="-15050"/>
        <n v="-130000"/>
        <n v="-3420"/>
        <n v="-5700"/>
        <n v="-17500"/>
        <n v="-160000"/>
        <n v="-51000"/>
        <n v="-760"/>
        <n v="-435"/>
        <n v="-18000"/>
        <n v="-13650"/>
        <n v="-14400"/>
        <n v="-90000"/>
        <n v="125000"/>
        <n v="-6650"/>
        <n v="-6500"/>
        <n v="-26500"/>
        <n v="-410"/>
        <n v="90000"/>
        <n v="-12300"/>
        <n v="-7950"/>
        <n v="140000"/>
        <n v="-1200"/>
        <n v="-3600"/>
        <n v="-8050"/>
        <n v="16000"/>
        <n v="-34500"/>
        <n v="40000"/>
        <n v="-8100"/>
        <n v="1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BTI" refreshedDate="44249.410895717592" createdVersion="6" refreshedVersion="6" minRefreshableVersion="3" recordCount="1577">
  <cacheSource type="worksheet">
    <worksheetSource ref="A3:G1580" sheet="Basic Data"/>
  </cacheSource>
  <cacheFields count="7">
    <cacheField name="S.no" numFmtId="0">
      <sharedItems containsBlank="1" containsMixedTypes="1" containsNumber="1" containsInteger="1" minValue="1" maxValue="1576" count="157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s v="110A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s v="1142A"/>
        <n v="1143"/>
        <n v="1144"/>
        <n v="1145"/>
        <n v="1146"/>
        <n v="1147"/>
        <n v="1148"/>
        <n v="1149"/>
        <n v="1150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8"/>
        <m/>
        <n v="1189"/>
        <n v="1185"/>
        <n v="1186"/>
        <n v="1187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8"/>
        <n v="1459"/>
        <n v="1460"/>
        <n v="1461"/>
        <n v="1462"/>
        <n v="1463"/>
        <n v="1464"/>
        <n v="1465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</sharedItems>
    </cacheField>
    <cacheField name="Date" numFmtId="14">
      <sharedItems containsNonDate="0" containsDate="1" containsString="0" containsBlank="1" minDate="2018-03-01T00:00:00" maxDate="2021-01-27T00:00:00"/>
    </cacheField>
    <cacheField name="Description" numFmtId="0">
      <sharedItems containsBlank="1"/>
    </cacheField>
    <cacheField name="Head of Account" numFmtId="0">
      <sharedItems containsBlank="1" count="17">
        <s v="Wages"/>
        <s v="Salary"/>
        <s v="Expense Site"/>
        <s v="Other Receipt"/>
        <s v="Shuttering"/>
        <s v="Khudai Exp"/>
        <s v="Pouring"/>
        <s v="Steel Fixing"/>
        <s v="Collection"/>
        <s v="Aggregate Supply"/>
        <s v="Electric Expenses"/>
        <m/>
        <s v="Chunai Plaster"/>
        <s v=" Waterproofing"/>
        <s v="Paint Expenses"/>
        <s v="Plumbing Exp"/>
        <s v="Arif Stairs Marble "/>
      </sharedItems>
    </cacheField>
    <cacheField name="Name Arif / Zada" numFmtId="0">
      <sharedItems containsBlank="1" count="4">
        <s v="Zada"/>
        <s v="ARIF"/>
        <m/>
        <s v="      "/>
      </sharedItems>
    </cacheField>
    <cacheField name="Receipt-payment" numFmtId="0">
      <sharedItems containsBlank="1"/>
    </cacheField>
    <cacheField name="Dr. or (Cr)                Rs." numFmtId="166">
      <sharedItems containsString="0" containsBlank="1" containsNumber="1" containsInteger="1" minValue="-400000" maxValue="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1">
  <r>
    <x v="0"/>
    <x v="0"/>
    <x v="0"/>
    <x v="0"/>
    <x v="0"/>
    <x v="0"/>
    <x v="0"/>
  </r>
  <r>
    <x v="1"/>
    <x v="0"/>
    <x v="1"/>
    <x v="0"/>
    <x v="0"/>
    <x v="0"/>
    <x v="0"/>
  </r>
  <r>
    <x v="2"/>
    <x v="0"/>
    <x v="2"/>
    <x v="0"/>
    <x v="0"/>
    <x v="0"/>
    <x v="0"/>
  </r>
  <r>
    <x v="3"/>
    <x v="0"/>
    <x v="3"/>
    <x v="1"/>
    <x v="0"/>
    <x v="0"/>
    <x v="0"/>
  </r>
  <r>
    <x v="4"/>
    <x v="0"/>
    <x v="4"/>
    <x v="0"/>
    <x v="0"/>
    <x v="0"/>
    <x v="1"/>
  </r>
  <r>
    <x v="5"/>
    <x v="1"/>
    <x v="5"/>
    <x v="2"/>
    <x v="1"/>
    <x v="0"/>
    <x v="2"/>
  </r>
  <r>
    <x v="6"/>
    <x v="1"/>
    <x v="6"/>
    <x v="3"/>
    <x v="0"/>
    <x v="1"/>
    <x v="3"/>
  </r>
  <r>
    <x v="7"/>
    <x v="2"/>
    <x v="7"/>
    <x v="4"/>
    <x v="0"/>
    <x v="0"/>
    <x v="4"/>
  </r>
  <r>
    <x v="8"/>
    <x v="3"/>
    <x v="8"/>
    <x v="5"/>
    <x v="0"/>
    <x v="0"/>
    <x v="5"/>
  </r>
  <r>
    <x v="9"/>
    <x v="3"/>
    <x v="9"/>
    <x v="5"/>
    <x v="0"/>
    <x v="0"/>
    <x v="6"/>
  </r>
  <r>
    <x v="10"/>
    <x v="3"/>
    <x v="10"/>
    <x v="5"/>
    <x v="0"/>
    <x v="0"/>
    <x v="7"/>
  </r>
  <r>
    <x v="11"/>
    <x v="3"/>
    <x v="10"/>
    <x v="5"/>
    <x v="0"/>
    <x v="0"/>
    <x v="8"/>
  </r>
  <r>
    <x v="12"/>
    <x v="3"/>
    <x v="10"/>
    <x v="5"/>
    <x v="0"/>
    <x v="0"/>
    <x v="9"/>
  </r>
  <r>
    <x v="13"/>
    <x v="3"/>
    <x v="11"/>
    <x v="5"/>
    <x v="0"/>
    <x v="0"/>
    <x v="10"/>
  </r>
  <r>
    <x v="14"/>
    <x v="3"/>
    <x v="12"/>
    <x v="2"/>
    <x v="0"/>
    <x v="0"/>
    <x v="9"/>
  </r>
  <r>
    <x v="15"/>
    <x v="3"/>
    <x v="13"/>
    <x v="2"/>
    <x v="0"/>
    <x v="0"/>
    <x v="11"/>
  </r>
  <r>
    <x v="16"/>
    <x v="3"/>
    <x v="14"/>
    <x v="2"/>
    <x v="0"/>
    <x v="0"/>
    <x v="12"/>
  </r>
  <r>
    <x v="17"/>
    <x v="3"/>
    <x v="15"/>
    <x v="2"/>
    <x v="0"/>
    <x v="0"/>
    <x v="13"/>
  </r>
  <r>
    <x v="18"/>
    <x v="3"/>
    <x v="16"/>
    <x v="2"/>
    <x v="0"/>
    <x v="0"/>
    <x v="13"/>
  </r>
  <r>
    <x v="19"/>
    <x v="3"/>
    <x v="17"/>
    <x v="2"/>
    <x v="0"/>
    <x v="0"/>
    <x v="14"/>
  </r>
  <r>
    <x v="20"/>
    <x v="3"/>
    <x v="18"/>
    <x v="2"/>
    <x v="0"/>
    <x v="0"/>
    <x v="11"/>
  </r>
  <r>
    <x v="21"/>
    <x v="3"/>
    <x v="19"/>
    <x v="2"/>
    <x v="0"/>
    <x v="0"/>
    <x v="15"/>
  </r>
  <r>
    <x v="22"/>
    <x v="3"/>
    <x v="13"/>
    <x v="2"/>
    <x v="0"/>
    <x v="0"/>
    <x v="16"/>
  </r>
  <r>
    <x v="23"/>
    <x v="3"/>
    <x v="20"/>
    <x v="2"/>
    <x v="0"/>
    <x v="0"/>
    <x v="17"/>
  </r>
  <r>
    <x v="24"/>
    <x v="3"/>
    <x v="21"/>
    <x v="2"/>
    <x v="0"/>
    <x v="0"/>
    <x v="16"/>
  </r>
  <r>
    <x v="25"/>
    <x v="3"/>
    <x v="22"/>
    <x v="2"/>
    <x v="0"/>
    <x v="0"/>
    <x v="18"/>
  </r>
  <r>
    <x v="26"/>
    <x v="3"/>
    <x v="23"/>
    <x v="2"/>
    <x v="0"/>
    <x v="0"/>
    <x v="19"/>
  </r>
  <r>
    <x v="27"/>
    <x v="3"/>
    <x v="24"/>
    <x v="2"/>
    <x v="0"/>
    <x v="0"/>
    <x v="20"/>
  </r>
  <r>
    <x v="28"/>
    <x v="3"/>
    <x v="25"/>
    <x v="2"/>
    <x v="0"/>
    <x v="0"/>
    <x v="16"/>
  </r>
  <r>
    <x v="29"/>
    <x v="3"/>
    <x v="26"/>
    <x v="2"/>
    <x v="0"/>
    <x v="0"/>
    <x v="21"/>
  </r>
  <r>
    <x v="30"/>
    <x v="3"/>
    <x v="27"/>
    <x v="2"/>
    <x v="0"/>
    <x v="0"/>
    <x v="22"/>
  </r>
  <r>
    <x v="31"/>
    <x v="3"/>
    <x v="28"/>
    <x v="2"/>
    <x v="0"/>
    <x v="0"/>
    <x v="23"/>
  </r>
  <r>
    <x v="32"/>
    <x v="3"/>
    <x v="29"/>
    <x v="2"/>
    <x v="0"/>
    <x v="0"/>
    <x v="24"/>
  </r>
  <r>
    <x v="33"/>
    <x v="3"/>
    <x v="30"/>
    <x v="2"/>
    <x v="0"/>
    <x v="0"/>
    <x v="22"/>
  </r>
  <r>
    <x v="34"/>
    <x v="3"/>
    <x v="31"/>
    <x v="2"/>
    <x v="0"/>
    <x v="0"/>
    <x v="25"/>
  </r>
  <r>
    <x v="35"/>
    <x v="3"/>
    <x v="1"/>
    <x v="0"/>
    <x v="0"/>
    <x v="0"/>
    <x v="0"/>
  </r>
  <r>
    <x v="36"/>
    <x v="3"/>
    <x v="32"/>
    <x v="0"/>
    <x v="0"/>
    <x v="0"/>
    <x v="0"/>
  </r>
  <r>
    <x v="37"/>
    <x v="3"/>
    <x v="0"/>
    <x v="0"/>
    <x v="0"/>
    <x v="0"/>
    <x v="0"/>
  </r>
  <r>
    <x v="38"/>
    <x v="3"/>
    <x v="2"/>
    <x v="0"/>
    <x v="0"/>
    <x v="0"/>
    <x v="0"/>
  </r>
  <r>
    <x v="39"/>
    <x v="3"/>
    <x v="33"/>
    <x v="0"/>
    <x v="0"/>
    <x v="0"/>
    <x v="0"/>
  </r>
  <r>
    <x v="40"/>
    <x v="3"/>
    <x v="34"/>
    <x v="0"/>
    <x v="0"/>
    <x v="0"/>
    <x v="0"/>
  </r>
  <r>
    <x v="41"/>
    <x v="3"/>
    <x v="35"/>
    <x v="0"/>
    <x v="0"/>
    <x v="0"/>
    <x v="0"/>
  </r>
  <r>
    <x v="42"/>
    <x v="3"/>
    <x v="36"/>
    <x v="0"/>
    <x v="0"/>
    <x v="0"/>
    <x v="0"/>
  </r>
  <r>
    <x v="43"/>
    <x v="3"/>
    <x v="37"/>
    <x v="0"/>
    <x v="0"/>
    <x v="0"/>
    <x v="0"/>
  </r>
  <r>
    <x v="44"/>
    <x v="3"/>
    <x v="38"/>
    <x v="0"/>
    <x v="0"/>
    <x v="0"/>
    <x v="0"/>
  </r>
  <r>
    <x v="45"/>
    <x v="3"/>
    <x v="39"/>
    <x v="0"/>
    <x v="0"/>
    <x v="0"/>
    <x v="0"/>
  </r>
  <r>
    <x v="46"/>
    <x v="3"/>
    <x v="3"/>
    <x v="1"/>
    <x v="0"/>
    <x v="0"/>
    <x v="0"/>
  </r>
  <r>
    <x v="47"/>
    <x v="3"/>
    <x v="40"/>
    <x v="0"/>
    <x v="0"/>
    <x v="0"/>
    <x v="0"/>
  </r>
  <r>
    <x v="48"/>
    <x v="3"/>
    <x v="4"/>
    <x v="0"/>
    <x v="0"/>
    <x v="0"/>
    <x v="26"/>
  </r>
  <r>
    <x v="49"/>
    <x v="3"/>
    <x v="41"/>
    <x v="6"/>
    <x v="0"/>
    <x v="0"/>
    <x v="10"/>
  </r>
  <r>
    <x v="50"/>
    <x v="4"/>
    <x v="42"/>
    <x v="4"/>
    <x v="0"/>
    <x v="0"/>
    <x v="27"/>
  </r>
  <r>
    <x v="51"/>
    <x v="4"/>
    <x v="43"/>
    <x v="7"/>
    <x v="0"/>
    <x v="0"/>
    <x v="5"/>
  </r>
  <r>
    <x v="52"/>
    <x v="5"/>
    <x v="44"/>
    <x v="8"/>
    <x v="1"/>
    <x v="2"/>
    <x v="0"/>
  </r>
  <r>
    <x v="53"/>
    <x v="5"/>
    <x v="45"/>
    <x v="8"/>
    <x v="0"/>
    <x v="2"/>
    <x v="28"/>
  </r>
  <r>
    <x v="54"/>
    <x v="6"/>
    <x v="46"/>
    <x v="8"/>
    <x v="0"/>
    <x v="2"/>
    <x v="29"/>
  </r>
  <r>
    <x v="55"/>
    <x v="6"/>
    <x v="47"/>
    <x v="2"/>
    <x v="0"/>
    <x v="0"/>
    <x v="2"/>
  </r>
  <r>
    <x v="56"/>
    <x v="6"/>
    <x v="48"/>
    <x v="4"/>
    <x v="0"/>
    <x v="0"/>
    <x v="30"/>
  </r>
  <r>
    <x v="57"/>
    <x v="6"/>
    <x v="49"/>
    <x v="9"/>
    <x v="0"/>
    <x v="0"/>
    <x v="31"/>
  </r>
  <r>
    <x v="58"/>
    <x v="6"/>
    <x v="50"/>
    <x v="6"/>
    <x v="0"/>
    <x v="0"/>
    <x v="32"/>
  </r>
  <r>
    <x v="59"/>
    <x v="7"/>
    <x v="51"/>
    <x v="7"/>
    <x v="0"/>
    <x v="0"/>
    <x v="5"/>
  </r>
  <r>
    <x v="60"/>
    <x v="8"/>
    <x v="52"/>
    <x v="8"/>
    <x v="0"/>
    <x v="2"/>
    <x v="33"/>
  </r>
  <r>
    <x v="61"/>
    <x v="8"/>
    <x v="53"/>
    <x v="4"/>
    <x v="0"/>
    <x v="0"/>
    <x v="30"/>
  </r>
  <r>
    <x v="62"/>
    <x v="8"/>
    <x v="54"/>
    <x v="4"/>
    <x v="0"/>
    <x v="0"/>
    <x v="30"/>
  </r>
  <r>
    <x v="63"/>
    <x v="8"/>
    <x v="55"/>
    <x v="4"/>
    <x v="0"/>
    <x v="0"/>
    <x v="34"/>
  </r>
  <r>
    <x v="64"/>
    <x v="9"/>
    <x v="56"/>
    <x v="8"/>
    <x v="0"/>
    <x v="2"/>
    <x v="28"/>
  </r>
  <r>
    <x v="65"/>
    <x v="9"/>
    <x v="49"/>
    <x v="9"/>
    <x v="0"/>
    <x v="0"/>
    <x v="4"/>
  </r>
  <r>
    <x v="66"/>
    <x v="10"/>
    <x v="57"/>
    <x v="9"/>
    <x v="0"/>
    <x v="0"/>
    <x v="35"/>
  </r>
  <r>
    <x v="67"/>
    <x v="10"/>
    <x v="58"/>
    <x v="7"/>
    <x v="0"/>
    <x v="0"/>
    <x v="34"/>
  </r>
  <r>
    <x v="68"/>
    <x v="11"/>
    <x v="59"/>
    <x v="8"/>
    <x v="0"/>
    <x v="2"/>
    <x v="36"/>
  </r>
  <r>
    <x v="69"/>
    <x v="11"/>
    <x v="60"/>
    <x v="9"/>
    <x v="0"/>
    <x v="0"/>
    <x v="4"/>
  </r>
  <r>
    <x v="70"/>
    <x v="11"/>
    <x v="61"/>
    <x v="6"/>
    <x v="0"/>
    <x v="0"/>
    <x v="37"/>
  </r>
  <r>
    <x v="71"/>
    <x v="12"/>
    <x v="62"/>
    <x v="4"/>
    <x v="0"/>
    <x v="0"/>
    <x v="34"/>
  </r>
  <r>
    <x v="72"/>
    <x v="12"/>
    <x v="63"/>
    <x v="4"/>
    <x v="0"/>
    <x v="0"/>
    <x v="30"/>
  </r>
  <r>
    <x v="73"/>
    <x v="13"/>
    <x v="64"/>
    <x v="8"/>
    <x v="0"/>
    <x v="2"/>
    <x v="36"/>
  </r>
  <r>
    <x v="74"/>
    <x v="14"/>
    <x v="65"/>
    <x v="4"/>
    <x v="0"/>
    <x v="0"/>
    <x v="30"/>
  </r>
  <r>
    <x v="75"/>
    <x v="14"/>
    <x v="66"/>
    <x v="7"/>
    <x v="0"/>
    <x v="0"/>
    <x v="34"/>
  </r>
  <r>
    <x v="76"/>
    <x v="15"/>
    <x v="67"/>
    <x v="2"/>
    <x v="0"/>
    <x v="0"/>
    <x v="7"/>
  </r>
  <r>
    <x v="77"/>
    <x v="15"/>
    <x v="68"/>
    <x v="2"/>
    <x v="0"/>
    <x v="0"/>
    <x v="38"/>
  </r>
  <r>
    <x v="78"/>
    <x v="15"/>
    <x v="69"/>
    <x v="0"/>
    <x v="0"/>
    <x v="0"/>
    <x v="0"/>
  </r>
  <r>
    <x v="79"/>
    <x v="15"/>
    <x v="13"/>
    <x v="2"/>
    <x v="0"/>
    <x v="0"/>
    <x v="39"/>
  </r>
  <r>
    <x v="80"/>
    <x v="15"/>
    <x v="13"/>
    <x v="2"/>
    <x v="0"/>
    <x v="0"/>
    <x v="16"/>
  </r>
  <r>
    <x v="81"/>
    <x v="15"/>
    <x v="13"/>
    <x v="2"/>
    <x v="0"/>
    <x v="0"/>
    <x v="40"/>
  </r>
  <r>
    <x v="82"/>
    <x v="15"/>
    <x v="70"/>
    <x v="2"/>
    <x v="0"/>
    <x v="0"/>
    <x v="16"/>
  </r>
  <r>
    <x v="83"/>
    <x v="15"/>
    <x v="71"/>
    <x v="2"/>
    <x v="0"/>
    <x v="0"/>
    <x v="41"/>
  </r>
  <r>
    <x v="84"/>
    <x v="15"/>
    <x v="72"/>
    <x v="2"/>
    <x v="0"/>
    <x v="0"/>
    <x v="38"/>
  </r>
  <r>
    <x v="85"/>
    <x v="15"/>
    <x v="73"/>
    <x v="2"/>
    <x v="0"/>
    <x v="0"/>
    <x v="42"/>
  </r>
  <r>
    <x v="86"/>
    <x v="15"/>
    <x v="74"/>
    <x v="2"/>
    <x v="0"/>
    <x v="0"/>
    <x v="22"/>
  </r>
  <r>
    <x v="87"/>
    <x v="15"/>
    <x v="34"/>
    <x v="0"/>
    <x v="0"/>
    <x v="0"/>
    <x v="43"/>
  </r>
  <r>
    <x v="88"/>
    <x v="15"/>
    <x v="38"/>
    <x v="0"/>
    <x v="0"/>
    <x v="0"/>
    <x v="43"/>
  </r>
  <r>
    <x v="89"/>
    <x v="15"/>
    <x v="0"/>
    <x v="0"/>
    <x v="0"/>
    <x v="0"/>
    <x v="43"/>
  </r>
  <r>
    <x v="90"/>
    <x v="15"/>
    <x v="3"/>
    <x v="1"/>
    <x v="0"/>
    <x v="0"/>
    <x v="43"/>
  </r>
  <r>
    <x v="91"/>
    <x v="15"/>
    <x v="2"/>
    <x v="0"/>
    <x v="0"/>
    <x v="0"/>
    <x v="43"/>
  </r>
  <r>
    <x v="92"/>
    <x v="15"/>
    <x v="75"/>
    <x v="0"/>
    <x v="0"/>
    <x v="0"/>
    <x v="43"/>
  </r>
  <r>
    <x v="93"/>
    <x v="15"/>
    <x v="76"/>
    <x v="0"/>
    <x v="0"/>
    <x v="0"/>
    <x v="43"/>
  </r>
  <r>
    <x v="94"/>
    <x v="15"/>
    <x v="4"/>
    <x v="0"/>
    <x v="0"/>
    <x v="0"/>
    <x v="44"/>
  </r>
  <r>
    <x v="95"/>
    <x v="15"/>
    <x v="77"/>
    <x v="0"/>
    <x v="1"/>
    <x v="0"/>
    <x v="45"/>
  </r>
  <r>
    <x v="96"/>
    <x v="16"/>
    <x v="78"/>
    <x v="2"/>
    <x v="0"/>
    <x v="0"/>
    <x v="46"/>
  </r>
  <r>
    <x v="97"/>
    <x v="17"/>
    <x v="79"/>
    <x v="2"/>
    <x v="0"/>
    <x v="0"/>
    <x v="40"/>
  </r>
  <r>
    <x v="98"/>
    <x v="18"/>
    <x v="72"/>
    <x v="2"/>
    <x v="0"/>
    <x v="0"/>
    <x v="16"/>
  </r>
  <r>
    <x v="99"/>
    <x v="19"/>
    <x v="79"/>
    <x v="2"/>
    <x v="0"/>
    <x v="0"/>
    <x v="47"/>
  </r>
  <r>
    <x v="100"/>
    <x v="20"/>
    <x v="80"/>
    <x v="7"/>
    <x v="0"/>
    <x v="0"/>
    <x v="34"/>
  </r>
  <r>
    <x v="101"/>
    <x v="21"/>
    <x v="81"/>
    <x v="7"/>
    <x v="0"/>
    <x v="0"/>
    <x v="34"/>
  </r>
  <r>
    <x v="102"/>
    <x v="22"/>
    <x v="40"/>
    <x v="0"/>
    <x v="1"/>
    <x v="0"/>
    <x v="0"/>
  </r>
  <r>
    <x v="103"/>
    <x v="22"/>
    <x v="0"/>
    <x v="0"/>
    <x v="1"/>
    <x v="0"/>
    <x v="0"/>
  </r>
  <r>
    <x v="104"/>
    <x v="22"/>
    <x v="34"/>
    <x v="0"/>
    <x v="1"/>
    <x v="0"/>
    <x v="0"/>
  </r>
  <r>
    <x v="105"/>
    <x v="22"/>
    <x v="82"/>
    <x v="0"/>
    <x v="1"/>
    <x v="0"/>
    <x v="0"/>
  </r>
  <r>
    <x v="106"/>
    <x v="22"/>
    <x v="2"/>
    <x v="0"/>
    <x v="1"/>
    <x v="0"/>
    <x v="0"/>
  </r>
  <r>
    <x v="107"/>
    <x v="22"/>
    <x v="38"/>
    <x v="0"/>
    <x v="1"/>
    <x v="0"/>
    <x v="0"/>
  </r>
  <r>
    <x v="108"/>
    <x v="22"/>
    <x v="83"/>
    <x v="6"/>
    <x v="0"/>
    <x v="0"/>
    <x v="48"/>
  </r>
  <r>
    <x v="109"/>
    <x v="22"/>
    <x v="83"/>
    <x v="6"/>
    <x v="1"/>
    <x v="0"/>
    <x v="2"/>
  </r>
  <r>
    <x v="110"/>
    <x v="22"/>
    <x v="84"/>
    <x v="2"/>
    <x v="1"/>
    <x v="0"/>
    <x v="49"/>
  </r>
  <r>
    <x v="111"/>
    <x v="22"/>
    <x v="85"/>
    <x v="2"/>
    <x v="1"/>
    <x v="0"/>
    <x v="50"/>
  </r>
  <r>
    <x v="112"/>
    <x v="22"/>
    <x v="86"/>
    <x v="8"/>
    <x v="0"/>
    <x v="2"/>
    <x v="28"/>
  </r>
  <r>
    <x v="113"/>
    <x v="23"/>
    <x v="87"/>
    <x v="4"/>
    <x v="0"/>
    <x v="0"/>
    <x v="5"/>
  </r>
  <r>
    <x v="114"/>
    <x v="23"/>
    <x v="88"/>
    <x v="7"/>
    <x v="0"/>
    <x v="0"/>
    <x v="51"/>
  </r>
  <r>
    <x v="115"/>
    <x v="24"/>
    <x v="89"/>
    <x v="4"/>
    <x v="0"/>
    <x v="0"/>
    <x v="34"/>
  </r>
  <r>
    <x v="116"/>
    <x v="25"/>
    <x v="90"/>
    <x v="5"/>
    <x v="0"/>
    <x v="0"/>
    <x v="52"/>
  </r>
  <r>
    <x v="117"/>
    <x v="25"/>
    <x v="91"/>
    <x v="5"/>
    <x v="1"/>
    <x v="0"/>
    <x v="9"/>
  </r>
  <r>
    <x v="118"/>
    <x v="26"/>
    <x v="34"/>
    <x v="0"/>
    <x v="0"/>
    <x v="0"/>
    <x v="0"/>
  </r>
  <r>
    <x v="119"/>
    <x v="26"/>
    <x v="0"/>
    <x v="0"/>
    <x v="0"/>
    <x v="0"/>
    <x v="0"/>
  </r>
  <r>
    <x v="120"/>
    <x v="26"/>
    <x v="40"/>
    <x v="0"/>
    <x v="0"/>
    <x v="0"/>
    <x v="0"/>
  </r>
  <r>
    <x v="121"/>
    <x v="26"/>
    <x v="38"/>
    <x v="0"/>
    <x v="0"/>
    <x v="0"/>
    <x v="0"/>
  </r>
  <r>
    <x v="122"/>
    <x v="26"/>
    <x v="2"/>
    <x v="0"/>
    <x v="0"/>
    <x v="0"/>
    <x v="0"/>
  </r>
  <r>
    <x v="123"/>
    <x v="26"/>
    <x v="76"/>
    <x v="0"/>
    <x v="0"/>
    <x v="0"/>
    <x v="0"/>
  </r>
  <r>
    <x v="124"/>
    <x v="26"/>
    <x v="92"/>
    <x v="0"/>
    <x v="0"/>
    <x v="0"/>
    <x v="0"/>
  </r>
  <r>
    <x v="125"/>
    <x v="26"/>
    <x v="37"/>
    <x v="0"/>
    <x v="0"/>
    <x v="0"/>
    <x v="0"/>
  </r>
  <r>
    <x v="126"/>
    <x v="26"/>
    <x v="93"/>
    <x v="0"/>
    <x v="0"/>
    <x v="0"/>
    <x v="0"/>
  </r>
  <r>
    <x v="127"/>
    <x v="26"/>
    <x v="94"/>
    <x v="0"/>
    <x v="0"/>
    <x v="0"/>
    <x v="0"/>
  </r>
  <r>
    <x v="128"/>
    <x v="26"/>
    <x v="95"/>
    <x v="0"/>
    <x v="0"/>
    <x v="0"/>
    <x v="0"/>
  </r>
  <r>
    <x v="129"/>
    <x v="26"/>
    <x v="96"/>
    <x v="0"/>
    <x v="0"/>
    <x v="0"/>
    <x v="0"/>
  </r>
  <r>
    <x v="130"/>
    <x v="26"/>
    <x v="4"/>
    <x v="0"/>
    <x v="0"/>
    <x v="0"/>
    <x v="53"/>
  </r>
  <r>
    <x v="131"/>
    <x v="26"/>
    <x v="97"/>
    <x v="7"/>
    <x v="0"/>
    <x v="0"/>
    <x v="54"/>
  </r>
  <r>
    <x v="132"/>
    <x v="27"/>
    <x v="98"/>
    <x v="6"/>
    <x v="0"/>
    <x v="0"/>
    <x v="55"/>
  </r>
  <r>
    <x v="133"/>
    <x v="28"/>
    <x v="34"/>
    <x v="0"/>
    <x v="0"/>
    <x v="0"/>
    <x v="0"/>
  </r>
  <r>
    <x v="134"/>
    <x v="28"/>
    <x v="2"/>
    <x v="0"/>
    <x v="0"/>
    <x v="0"/>
    <x v="0"/>
  </r>
  <r>
    <x v="135"/>
    <x v="29"/>
    <x v="99"/>
    <x v="2"/>
    <x v="1"/>
    <x v="0"/>
    <x v="56"/>
  </r>
  <r>
    <x v="136"/>
    <x v="30"/>
    <x v="100"/>
    <x v="4"/>
    <x v="0"/>
    <x v="0"/>
    <x v="57"/>
  </r>
  <r>
    <x v="137"/>
    <x v="31"/>
    <x v="101"/>
    <x v="4"/>
    <x v="0"/>
    <x v="0"/>
    <x v="34"/>
  </r>
  <r>
    <x v="138"/>
    <x v="31"/>
    <x v="98"/>
    <x v="6"/>
    <x v="0"/>
    <x v="0"/>
    <x v="51"/>
  </r>
  <r>
    <x v="139"/>
    <x v="32"/>
    <x v="102"/>
    <x v="8"/>
    <x v="0"/>
    <x v="2"/>
    <x v="36"/>
  </r>
  <r>
    <x v="140"/>
    <x v="33"/>
    <x v="103"/>
    <x v="4"/>
    <x v="0"/>
    <x v="0"/>
    <x v="51"/>
  </r>
  <r>
    <x v="141"/>
    <x v="33"/>
    <x v="104"/>
    <x v="10"/>
    <x v="0"/>
    <x v="0"/>
    <x v="57"/>
  </r>
  <r>
    <x v="142"/>
    <x v="34"/>
    <x v="103"/>
    <x v="4"/>
    <x v="0"/>
    <x v="0"/>
    <x v="51"/>
  </r>
  <r>
    <x v="143"/>
    <x v="35"/>
    <x v="105"/>
    <x v="2"/>
    <x v="1"/>
    <x v="0"/>
    <x v="58"/>
  </r>
  <r>
    <x v="144"/>
    <x v="36"/>
    <x v="106"/>
    <x v="0"/>
    <x v="0"/>
    <x v="0"/>
    <x v="0"/>
  </r>
  <r>
    <x v="145"/>
    <x v="36"/>
    <x v="107"/>
    <x v="0"/>
    <x v="0"/>
    <x v="0"/>
    <x v="0"/>
  </r>
  <r>
    <x v="146"/>
    <x v="36"/>
    <x v="108"/>
    <x v="0"/>
    <x v="0"/>
    <x v="0"/>
    <x v="0"/>
  </r>
  <r>
    <x v="147"/>
    <x v="36"/>
    <x v="109"/>
    <x v="0"/>
    <x v="0"/>
    <x v="0"/>
    <x v="0"/>
  </r>
  <r>
    <x v="148"/>
    <x v="36"/>
    <x v="110"/>
    <x v="0"/>
    <x v="0"/>
    <x v="0"/>
    <x v="0"/>
  </r>
  <r>
    <x v="149"/>
    <x v="36"/>
    <x v="111"/>
    <x v="0"/>
    <x v="0"/>
    <x v="0"/>
    <x v="0"/>
  </r>
  <r>
    <x v="150"/>
    <x v="36"/>
    <x v="4"/>
    <x v="0"/>
    <x v="0"/>
    <x v="0"/>
    <x v="59"/>
  </r>
  <r>
    <x v="151"/>
    <x v="36"/>
    <x v="77"/>
    <x v="0"/>
    <x v="1"/>
    <x v="0"/>
    <x v="60"/>
  </r>
  <r>
    <x v="152"/>
    <x v="36"/>
    <x v="112"/>
    <x v="11"/>
    <x v="2"/>
    <x v="3"/>
    <x v="43"/>
  </r>
  <r>
    <x v="153"/>
    <x v="36"/>
    <x v="113"/>
    <x v="0"/>
    <x v="0"/>
    <x v="0"/>
    <x v="0"/>
  </r>
  <r>
    <x v="154"/>
    <x v="37"/>
    <x v="114"/>
    <x v="4"/>
    <x v="0"/>
    <x v="0"/>
    <x v="57"/>
  </r>
  <r>
    <x v="155"/>
    <x v="38"/>
    <x v="115"/>
    <x v="1"/>
    <x v="1"/>
    <x v="0"/>
    <x v="0"/>
  </r>
  <r>
    <x v="156"/>
    <x v="39"/>
    <x v="40"/>
    <x v="0"/>
    <x v="0"/>
    <x v="0"/>
    <x v="0"/>
  </r>
  <r>
    <x v="157"/>
    <x v="40"/>
    <x v="44"/>
    <x v="8"/>
    <x v="0"/>
    <x v="2"/>
    <x v="33"/>
  </r>
  <r>
    <x v="158"/>
    <x v="40"/>
    <x v="116"/>
    <x v="9"/>
    <x v="1"/>
    <x v="0"/>
    <x v="34"/>
  </r>
  <r>
    <x v="159"/>
    <x v="40"/>
    <x v="117"/>
    <x v="6"/>
    <x v="1"/>
    <x v="0"/>
    <x v="61"/>
  </r>
  <r>
    <x v="160"/>
    <x v="40"/>
    <x v="40"/>
    <x v="0"/>
    <x v="1"/>
    <x v="0"/>
    <x v="0"/>
  </r>
  <r>
    <x v="161"/>
    <x v="40"/>
    <x v="0"/>
    <x v="0"/>
    <x v="1"/>
    <x v="0"/>
    <x v="0"/>
  </r>
  <r>
    <x v="162"/>
    <x v="40"/>
    <x v="34"/>
    <x v="0"/>
    <x v="1"/>
    <x v="0"/>
    <x v="0"/>
  </r>
  <r>
    <x v="163"/>
    <x v="41"/>
    <x v="40"/>
    <x v="0"/>
    <x v="0"/>
    <x v="0"/>
    <x v="0"/>
  </r>
  <r>
    <x v="164"/>
    <x v="42"/>
    <x v="118"/>
    <x v="4"/>
    <x v="1"/>
    <x v="0"/>
    <x v="5"/>
  </r>
  <r>
    <x v="165"/>
    <x v="42"/>
    <x v="119"/>
    <x v="2"/>
    <x v="1"/>
    <x v="0"/>
    <x v="62"/>
  </r>
  <r>
    <x v="166"/>
    <x v="42"/>
    <x v="13"/>
    <x v="2"/>
    <x v="1"/>
    <x v="0"/>
    <x v="39"/>
  </r>
  <r>
    <x v="167"/>
    <x v="43"/>
    <x v="120"/>
    <x v="6"/>
    <x v="1"/>
    <x v="0"/>
    <x v="63"/>
  </r>
  <r>
    <x v="168"/>
    <x v="43"/>
    <x v="121"/>
    <x v="4"/>
    <x v="1"/>
    <x v="0"/>
    <x v="51"/>
  </r>
  <r>
    <x v="169"/>
    <x v="43"/>
    <x v="111"/>
    <x v="4"/>
    <x v="1"/>
    <x v="0"/>
    <x v="2"/>
  </r>
  <r>
    <x v="170"/>
    <x v="43"/>
    <x v="38"/>
    <x v="4"/>
    <x v="1"/>
    <x v="0"/>
    <x v="2"/>
  </r>
  <r>
    <x v="171"/>
    <x v="43"/>
    <x v="122"/>
    <x v="2"/>
    <x v="0"/>
    <x v="0"/>
    <x v="13"/>
  </r>
  <r>
    <x v="172"/>
    <x v="43"/>
    <x v="13"/>
    <x v="2"/>
    <x v="0"/>
    <x v="0"/>
    <x v="40"/>
  </r>
  <r>
    <x v="173"/>
    <x v="43"/>
    <x v="123"/>
    <x v="2"/>
    <x v="0"/>
    <x v="0"/>
    <x v="23"/>
  </r>
  <r>
    <x v="174"/>
    <x v="43"/>
    <x v="73"/>
    <x v="2"/>
    <x v="0"/>
    <x v="0"/>
    <x v="41"/>
  </r>
  <r>
    <x v="175"/>
    <x v="43"/>
    <x v="124"/>
    <x v="2"/>
    <x v="0"/>
    <x v="0"/>
    <x v="64"/>
  </r>
  <r>
    <x v="176"/>
    <x v="43"/>
    <x v="125"/>
    <x v="2"/>
    <x v="0"/>
    <x v="0"/>
    <x v="11"/>
  </r>
  <r>
    <x v="177"/>
    <x v="43"/>
    <x v="126"/>
    <x v="2"/>
    <x v="0"/>
    <x v="0"/>
    <x v="8"/>
  </r>
  <r>
    <x v="178"/>
    <x v="44"/>
    <x v="75"/>
    <x v="0"/>
    <x v="0"/>
    <x v="0"/>
    <x v="0"/>
  </r>
  <r>
    <x v="179"/>
    <x v="44"/>
    <x v="127"/>
    <x v="0"/>
    <x v="0"/>
    <x v="0"/>
    <x v="0"/>
  </r>
  <r>
    <x v="180"/>
    <x v="44"/>
    <x v="128"/>
    <x v="7"/>
    <x v="0"/>
    <x v="0"/>
    <x v="65"/>
  </r>
  <r>
    <x v="181"/>
    <x v="45"/>
    <x v="109"/>
    <x v="0"/>
    <x v="0"/>
    <x v="0"/>
    <x v="0"/>
  </r>
  <r>
    <x v="182"/>
    <x v="45"/>
    <x v="106"/>
    <x v="0"/>
    <x v="0"/>
    <x v="0"/>
    <x v="0"/>
  </r>
  <r>
    <x v="183"/>
    <x v="45"/>
    <x v="129"/>
    <x v="0"/>
    <x v="0"/>
    <x v="0"/>
    <x v="0"/>
  </r>
  <r>
    <x v="184"/>
    <x v="45"/>
    <x v="130"/>
    <x v="0"/>
    <x v="0"/>
    <x v="0"/>
    <x v="0"/>
  </r>
  <r>
    <x v="185"/>
    <x v="45"/>
    <x v="111"/>
    <x v="0"/>
    <x v="0"/>
    <x v="0"/>
    <x v="0"/>
  </r>
  <r>
    <x v="186"/>
    <x v="45"/>
    <x v="131"/>
    <x v="0"/>
    <x v="0"/>
    <x v="0"/>
    <x v="0"/>
  </r>
  <r>
    <x v="187"/>
    <x v="45"/>
    <x v="110"/>
    <x v="0"/>
    <x v="0"/>
    <x v="0"/>
    <x v="0"/>
  </r>
  <r>
    <x v="188"/>
    <x v="45"/>
    <x v="4"/>
    <x v="0"/>
    <x v="0"/>
    <x v="0"/>
    <x v="66"/>
  </r>
  <r>
    <x v="189"/>
    <x v="45"/>
    <x v="77"/>
    <x v="0"/>
    <x v="1"/>
    <x v="0"/>
    <x v="67"/>
  </r>
  <r>
    <x v="190"/>
    <x v="46"/>
    <x v="132"/>
    <x v="2"/>
    <x v="1"/>
    <x v="0"/>
    <x v="56"/>
  </r>
  <r>
    <x v="191"/>
    <x v="47"/>
    <x v="133"/>
    <x v="4"/>
    <x v="1"/>
    <x v="0"/>
    <x v="5"/>
  </r>
  <r>
    <x v="192"/>
    <x v="47"/>
    <x v="75"/>
    <x v="0"/>
    <x v="1"/>
    <x v="0"/>
    <x v="0"/>
  </r>
  <r>
    <x v="193"/>
    <x v="48"/>
    <x v="75"/>
    <x v="0"/>
    <x v="1"/>
    <x v="0"/>
    <x v="0"/>
  </r>
  <r>
    <x v="194"/>
    <x v="49"/>
    <x v="134"/>
    <x v="0"/>
    <x v="1"/>
    <x v="0"/>
    <x v="0"/>
  </r>
  <r>
    <x v="195"/>
    <x v="49"/>
    <x v="75"/>
    <x v="0"/>
    <x v="1"/>
    <x v="0"/>
    <x v="0"/>
  </r>
  <r>
    <x v="196"/>
    <x v="49"/>
    <x v="135"/>
    <x v="0"/>
    <x v="1"/>
    <x v="0"/>
    <x v="0"/>
  </r>
  <r>
    <x v="197"/>
    <x v="49"/>
    <x v="136"/>
    <x v="0"/>
    <x v="1"/>
    <x v="0"/>
    <x v="0"/>
  </r>
  <r>
    <x v="198"/>
    <x v="49"/>
    <x v="137"/>
    <x v="7"/>
    <x v="1"/>
    <x v="0"/>
    <x v="65"/>
  </r>
  <r>
    <x v="199"/>
    <x v="49"/>
    <x v="138"/>
    <x v="4"/>
    <x v="1"/>
    <x v="0"/>
    <x v="68"/>
  </r>
  <r>
    <x v="200"/>
    <x v="50"/>
    <x v="137"/>
    <x v="7"/>
    <x v="1"/>
    <x v="0"/>
    <x v="52"/>
  </r>
  <r>
    <x v="201"/>
    <x v="51"/>
    <x v="40"/>
    <x v="0"/>
    <x v="1"/>
    <x v="0"/>
    <x v="0"/>
  </r>
  <r>
    <x v="202"/>
    <x v="51"/>
    <x v="34"/>
    <x v="0"/>
    <x v="1"/>
    <x v="0"/>
    <x v="0"/>
  </r>
  <r>
    <x v="203"/>
    <x v="51"/>
    <x v="75"/>
    <x v="0"/>
    <x v="1"/>
    <x v="0"/>
    <x v="0"/>
  </r>
  <r>
    <x v="204"/>
    <x v="51"/>
    <x v="139"/>
    <x v="0"/>
    <x v="1"/>
    <x v="0"/>
    <x v="0"/>
  </r>
  <r>
    <x v="205"/>
    <x v="52"/>
    <x v="34"/>
    <x v="0"/>
    <x v="0"/>
    <x v="0"/>
    <x v="0"/>
  </r>
  <r>
    <x v="206"/>
    <x v="52"/>
    <x v="140"/>
    <x v="2"/>
    <x v="0"/>
    <x v="0"/>
    <x v="11"/>
  </r>
  <r>
    <x v="207"/>
    <x v="53"/>
    <x v="141"/>
    <x v="8"/>
    <x v="0"/>
    <x v="2"/>
    <x v="33"/>
  </r>
  <r>
    <x v="208"/>
    <x v="54"/>
    <x v="142"/>
    <x v="4"/>
    <x v="0"/>
    <x v="0"/>
    <x v="34"/>
  </r>
  <r>
    <x v="209"/>
    <x v="54"/>
    <x v="143"/>
    <x v="4"/>
    <x v="0"/>
    <x v="0"/>
    <x v="34"/>
  </r>
  <r>
    <x v="210"/>
    <x v="54"/>
    <x v="40"/>
    <x v="0"/>
    <x v="1"/>
    <x v="0"/>
    <x v="0"/>
  </r>
  <r>
    <x v="211"/>
    <x v="54"/>
    <x v="75"/>
    <x v="0"/>
    <x v="1"/>
    <x v="0"/>
    <x v="0"/>
  </r>
  <r>
    <x v="212"/>
    <x v="54"/>
    <x v="137"/>
    <x v="7"/>
    <x v="0"/>
    <x v="0"/>
    <x v="52"/>
  </r>
  <r>
    <x v="213"/>
    <x v="55"/>
    <x v="144"/>
    <x v="4"/>
    <x v="0"/>
    <x v="0"/>
    <x v="69"/>
  </r>
  <r>
    <x v="214"/>
    <x v="55"/>
    <x v="145"/>
    <x v="2"/>
    <x v="0"/>
    <x v="0"/>
    <x v="70"/>
  </r>
  <r>
    <x v="215"/>
    <x v="55"/>
    <x v="123"/>
    <x v="2"/>
    <x v="0"/>
    <x v="0"/>
    <x v="11"/>
  </r>
  <r>
    <x v="216"/>
    <x v="55"/>
    <x v="146"/>
    <x v="0"/>
    <x v="0"/>
    <x v="0"/>
    <x v="0"/>
  </r>
  <r>
    <x v="217"/>
    <x v="55"/>
    <x v="34"/>
    <x v="0"/>
    <x v="0"/>
    <x v="0"/>
    <x v="0"/>
  </r>
  <r>
    <x v="218"/>
    <x v="55"/>
    <x v="82"/>
    <x v="0"/>
    <x v="0"/>
    <x v="0"/>
    <x v="0"/>
  </r>
  <r>
    <x v="219"/>
    <x v="55"/>
    <x v="38"/>
    <x v="0"/>
    <x v="0"/>
    <x v="0"/>
    <x v="0"/>
  </r>
  <r>
    <x v="220"/>
    <x v="55"/>
    <x v="147"/>
    <x v="0"/>
    <x v="0"/>
    <x v="0"/>
    <x v="0"/>
  </r>
  <r>
    <x v="221"/>
    <x v="55"/>
    <x v="148"/>
    <x v="1"/>
    <x v="0"/>
    <x v="0"/>
    <x v="0"/>
  </r>
  <r>
    <x v="222"/>
    <x v="56"/>
    <x v="149"/>
    <x v="6"/>
    <x v="0"/>
    <x v="0"/>
    <x v="5"/>
  </r>
  <r>
    <x v="223"/>
    <x v="57"/>
    <x v="150"/>
    <x v="9"/>
    <x v="0"/>
    <x v="0"/>
    <x v="5"/>
  </r>
  <r>
    <x v="224"/>
    <x v="58"/>
    <x v="151"/>
    <x v="9"/>
    <x v="0"/>
    <x v="0"/>
    <x v="5"/>
  </r>
  <r>
    <x v="225"/>
    <x v="59"/>
    <x v="152"/>
    <x v="0"/>
    <x v="0"/>
    <x v="0"/>
    <x v="0"/>
  </r>
  <r>
    <x v="226"/>
    <x v="59"/>
    <x v="153"/>
    <x v="2"/>
    <x v="0"/>
    <x v="0"/>
    <x v="71"/>
  </r>
  <r>
    <x v="227"/>
    <x v="60"/>
    <x v="154"/>
    <x v="2"/>
    <x v="0"/>
    <x v="0"/>
    <x v="19"/>
  </r>
  <r>
    <x v="228"/>
    <x v="61"/>
    <x v="103"/>
    <x v="4"/>
    <x v="0"/>
    <x v="0"/>
    <x v="41"/>
  </r>
  <r>
    <x v="229"/>
    <x v="61"/>
    <x v="155"/>
    <x v="2"/>
    <x v="0"/>
    <x v="0"/>
    <x v="72"/>
  </r>
  <r>
    <x v="230"/>
    <x v="61"/>
    <x v="34"/>
    <x v="0"/>
    <x v="0"/>
    <x v="0"/>
    <x v="0"/>
  </r>
  <r>
    <x v="231"/>
    <x v="62"/>
    <x v="34"/>
    <x v="0"/>
    <x v="0"/>
    <x v="0"/>
    <x v="0"/>
  </r>
  <r>
    <x v="232"/>
    <x v="62"/>
    <x v="75"/>
    <x v="0"/>
    <x v="0"/>
    <x v="0"/>
    <x v="0"/>
  </r>
  <r>
    <x v="233"/>
    <x v="63"/>
    <x v="152"/>
    <x v="0"/>
    <x v="0"/>
    <x v="0"/>
    <x v="0"/>
  </r>
  <r>
    <x v="234"/>
    <x v="64"/>
    <x v="156"/>
    <x v="10"/>
    <x v="0"/>
    <x v="0"/>
    <x v="57"/>
  </r>
  <r>
    <x v="235"/>
    <x v="65"/>
    <x v="157"/>
    <x v="2"/>
    <x v="0"/>
    <x v="0"/>
    <x v="73"/>
  </r>
  <r>
    <x v="236"/>
    <x v="65"/>
    <x v="34"/>
    <x v="0"/>
    <x v="0"/>
    <x v="0"/>
    <x v="0"/>
  </r>
  <r>
    <x v="237"/>
    <x v="66"/>
    <x v="158"/>
    <x v="10"/>
    <x v="0"/>
    <x v="0"/>
    <x v="57"/>
  </r>
  <r>
    <x v="238"/>
    <x v="67"/>
    <x v="159"/>
    <x v="4"/>
    <x v="0"/>
    <x v="0"/>
    <x v="5"/>
  </r>
  <r>
    <x v="239"/>
    <x v="67"/>
    <x v="160"/>
    <x v="2"/>
    <x v="0"/>
    <x v="0"/>
    <x v="74"/>
  </r>
  <r>
    <x v="240"/>
    <x v="67"/>
    <x v="137"/>
    <x v="7"/>
    <x v="0"/>
    <x v="0"/>
    <x v="51"/>
  </r>
  <r>
    <x v="241"/>
    <x v="68"/>
    <x v="161"/>
    <x v="2"/>
    <x v="0"/>
    <x v="0"/>
    <x v="13"/>
  </r>
  <r>
    <x v="242"/>
    <x v="69"/>
    <x v="162"/>
    <x v="4"/>
    <x v="0"/>
    <x v="0"/>
    <x v="57"/>
  </r>
  <r>
    <x v="243"/>
    <x v="69"/>
    <x v="34"/>
    <x v="0"/>
    <x v="0"/>
    <x v="0"/>
    <x v="0"/>
  </r>
  <r>
    <x v="244"/>
    <x v="70"/>
    <x v="152"/>
    <x v="0"/>
    <x v="1"/>
    <x v="0"/>
    <x v="39"/>
  </r>
  <r>
    <x v="245"/>
    <x v="70"/>
    <x v="163"/>
    <x v="4"/>
    <x v="1"/>
    <x v="0"/>
    <x v="75"/>
  </r>
  <r>
    <x v="246"/>
    <x v="70"/>
    <x v="164"/>
    <x v="12"/>
    <x v="1"/>
    <x v="0"/>
    <x v="57"/>
  </r>
  <r>
    <x v="247"/>
    <x v="70"/>
    <x v="165"/>
    <x v="4"/>
    <x v="3"/>
    <x v="0"/>
    <x v="45"/>
  </r>
  <r>
    <x v="248"/>
    <x v="70"/>
    <x v="166"/>
    <x v="1"/>
    <x v="1"/>
    <x v="0"/>
    <x v="0"/>
  </r>
  <r>
    <x v="249"/>
    <x v="70"/>
    <x v="167"/>
    <x v="8"/>
    <x v="0"/>
    <x v="2"/>
    <x v="76"/>
  </r>
  <r>
    <x v="250"/>
    <x v="70"/>
    <x v="13"/>
    <x v="2"/>
    <x v="0"/>
    <x v="0"/>
    <x v="13"/>
  </r>
  <r>
    <x v="251"/>
    <x v="70"/>
    <x v="34"/>
    <x v="0"/>
    <x v="0"/>
    <x v="0"/>
    <x v="0"/>
  </r>
  <r>
    <x v="252"/>
    <x v="70"/>
    <x v="168"/>
    <x v="0"/>
    <x v="0"/>
    <x v="0"/>
    <x v="77"/>
  </r>
  <r>
    <x v="253"/>
    <x v="70"/>
    <x v="169"/>
    <x v="6"/>
    <x v="0"/>
    <x v="0"/>
    <x v="31"/>
  </r>
  <r>
    <x v="254"/>
    <x v="71"/>
    <x v="152"/>
    <x v="0"/>
    <x v="1"/>
    <x v="0"/>
    <x v="39"/>
  </r>
  <r>
    <x v="255"/>
    <x v="72"/>
    <x v="164"/>
    <x v="12"/>
    <x v="1"/>
    <x v="0"/>
    <x v="57"/>
  </r>
  <r>
    <x v="256"/>
    <x v="72"/>
    <x v="152"/>
    <x v="0"/>
    <x v="1"/>
    <x v="0"/>
    <x v="2"/>
  </r>
  <r>
    <x v="257"/>
    <x v="73"/>
    <x v="170"/>
    <x v="4"/>
    <x v="0"/>
    <x v="0"/>
    <x v="57"/>
  </r>
  <r>
    <x v="258"/>
    <x v="73"/>
    <x v="171"/>
    <x v="8"/>
    <x v="0"/>
    <x v="2"/>
    <x v="78"/>
  </r>
  <r>
    <x v="259"/>
    <x v="74"/>
    <x v="164"/>
    <x v="12"/>
    <x v="1"/>
    <x v="0"/>
    <x v="45"/>
  </r>
  <r>
    <x v="260"/>
    <x v="74"/>
    <x v="152"/>
    <x v="0"/>
    <x v="1"/>
    <x v="0"/>
    <x v="39"/>
  </r>
  <r>
    <x v="261"/>
    <x v="75"/>
    <x v="170"/>
    <x v="4"/>
    <x v="0"/>
    <x v="0"/>
    <x v="79"/>
  </r>
  <r>
    <x v="262"/>
    <x v="76"/>
    <x v="157"/>
    <x v="2"/>
    <x v="1"/>
    <x v="0"/>
    <x v="80"/>
  </r>
  <r>
    <x v="263"/>
    <x v="76"/>
    <x v="172"/>
    <x v="2"/>
    <x v="1"/>
    <x v="0"/>
    <x v="40"/>
  </r>
  <r>
    <x v="264"/>
    <x v="76"/>
    <x v="164"/>
    <x v="12"/>
    <x v="1"/>
    <x v="0"/>
    <x v="34"/>
  </r>
  <r>
    <x v="265"/>
    <x v="76"/>
    <x v="152"/>
    <x v="0"/>
    <x v="1"/>
    <x v="0"/>
    <x v="39"/>
  </r>
  <r>
    <x v="266"/>
    <x v="76"/>
    <x v="173"/>
    <x v="8"/>
    <x v="1"/>
    <x v="2"/>
    <x v="76"/>
  </r>
  <r>
    <x v="267"/>
    <x v="77"/>
    <x v="174"/>
    <x v="4"/>
    <x v="1"/>
    <x v="0"/>
    <x v="57"/>
  </r>
  <r>
    <x v="268"/>
    <x v="77"/>
    <x v="175"/>
    <x v="0"/>
    <x v="1"/>
    <x v="0"/>
    <x v="39"/>
  </r>
  <r>
    <x v="269"/>
    <x v="78"/>
    <x v="176"/>
    <x v="8"/>
    <x v="1"/>
    <x v="2"/>
    <x v="81"/>
  </r>
  <r>
    <x v="270"/>
    <x v="78"/>
    <x v="177"/>
    <x v="9"/>
    <x v="1"/>
    <x v="0"/>
    <x v="4"/>
  </r>
  <r>
    <x v="271"/>
    <x v="78"/>
    <x v="164"/>
    <x v="12"/>
    <x v="1"/>
    <x v="0"/>
    <x v="65"/>
  </r>
  <r>
    <x v="272"/>
    <x v="78"/>
    <x v="178"/>
    <x v="2"/>
    <x v="1"/>
    <x v="0"/>
    <x v="82"/>
  </r>
  <r>
    <x v="273"/>
    <x v="78"/>
    <x v="123"/>
    <x v="2"/>
    <x v="1"/>
    <x v="0"/>
    <x v="2"/>
  </r>
  <r>
    <x v="274"/>
    <x v="79"/>
    <x v="179"/>
    <x v="1"/>
    <x v="1"/>
    <x v="0"/>
    <x v="83"/>
  </r>
  <r>
    <x v="275"/>
    <x v="79"/>
    <x v="180"/>
    <x v="0"/>
    <x v="1"/>
    <x v="0"/>
    <x v="84"/>
  </r>
  <r>
    <x v="276"/>
    <x v="80"/>
    <x v="181"/>
    <x v="2"/>
    <x v="1"/>
    <x v="0"/>
    <x v="85"/>
  </r>
  <r>
    <x v="277"/>
    <x v="80"/>
    <x v="182"/>
    <x v="2"/>
    <x v="1"/>
    <x v="0"/>
    <x v="70"/>
  </r>
  <r>
    <x v="278"/>
    <x v="81"/>
    <x v="40"/>
    <x v="0"/>
    <x v="1"/>
    <x v="0"/>
    <x v="39"/>
  </r>
  <r>
    <x v="279"/>
    <x v="82"/>
    <x v="183"/>
    <x v="2"/>
    <x v="1"/>
    <x v="0"/>
    <x v="86"/>
  </r>
  <r>
    <x v="280"/>
    <x v="82"/>
    <x v="137"/>
    <x v="7"/>
    <x v="1"/>
    <x v="0"/>
    <x v="45"/>
  </r>
  <r>
    <x v="281"/>
    <x v="82"/>
    <x v="182"/>
    <x v="2"/>
    <x v="1"/>
    <x v="0"/>
    <x v="87"/>
  </r>
  <r>
    <x v="282"/>
    <x v="82"/>
    <x v="184"/>
    <x v="0"/>
    <x v="1"/>
    <x v="0"/>
    <x v="88"/>
  </r>
  <r>
    <x v="283"/>
    <x v="83"/>
    <x v="174"/>
    <x v="4"/>
    <x v="1"/>
    <x v="0"/>
    <x v="89"/>
  </r>
  <r>
    <x v="284"/>
    <x v="83"/>
    <x v="185"/>
    <x v="2"/>
    <x v="1"/>
    <x v="0"/>
    <x v="46"/>
  </r>
  <r>
    <x v="285"/>
    <x v="84"/>
    <x v="174"/>
    <x v="4"/>
    <x v="1"/>
    <x v="0"/>
    <x v="79"/>
  </r>
  <r>
    <x v="286"/>
    <x v="84"/>
    <x v="164"/>
    <x v="12"/>
    <x v="1"/>
    <x v="0"/>
    <x v="65"/>
  </r>
  <r>
    <x v="287"/>
    <x v="84"/>
    <x v="34"/>
    <x v="0"/>
    <x v="1"/>
    <x v="0"/>
    <x v="39"/>
  </r>
  <r>
    <x v="288"/>
    <x v="85"/>
    <x v="137"/>
    <x v="7"/>
    <x v="1"/>
    <x v="0"/>
    <x v="57"/>
  </r>
  <r>
    <x v="289"/>
    <x v="86"/>
    <x v="164"/>
    <x v="12"/>
    <x v="1"/>
    <x v="0"/>
    <x v="41"/>
  </r>
  <r>
    <x v="290"/>
    <x v="87"/>
    <x v="40"/>
    <x v="0"/>
    <x v="1"/>
    <x v="0"/>
    <x v="39"/>
  </r>
  <r>
    <x v="291"/>
    <x v="87"/>
    <x v="123"/>
    <x v="2"/>
    <x v="1"/>
    <x v="0"/>
    <x v="40"/>
  </r>
  <r>
    <x v="292"/>
    <x v="88"/>
    <x v="186"/>
    <x v="13"/>
    <x v="1"/>
    <x v="0"/>
    <x v="90"/>
  </r>
  <r>
    <x v="293"/>
    <x v="89"/>
    <x v="34"/>
    <x v="0"/>
    <x v="1"/>
    <x v="0"/>
    <x v="39"/>
  </r>
  <r>
    <x v="294"/>
    <x v="89"/>
    <x v="173"/>
    <x v="8"/>
    <x v="1"/>
    <x v="2"/>
    <x v="91"/>
  </r>
  <r>
    <x v="295"/>
    <x v="89"/>
    <x v="137"/>
    <x v="7"/>
    <x v="1"/>
    <x v="0"/>
    <x v="57"/>
  </r>
  <r>
    <x v="296"/>
    <x v="90"/>
    <x v="187"/>
    <x v="12"/>
    <x v="1"/>
    <x v="0"/>
    <x v="92"/>
  </r>
  <r>
    <x v="297"/>
    <x v="90"/>
    <x v="188"/>
    <x v="0"/>
    <x v="1"/>
    <x v="0"/>
    <x v="64"/>
  </r>
  <r>
    <x v="298"/>
    <x v="90"/>
    <x v="189"/>
    <x v="8"/>
    <x v="1"/>
    <x v="2"/>
    <x v="81"/>
  </r>
  <r>
    <x v="299"/>
    <x v="90"/>
    <x v="190"/>
    <x v="8"/>
    <x v="1"/>
    <x v="2"/>
    <x v="81"/>
  </r>
  <r>
    <x v="300"/>
    <x v="90"/>
    <x v="191"/>
    <x v="4"/>
    <x v="1"/>
    <x v="0"/>
    <x v="45"/>
  </r>
  <r>
    <x v="301"/>
    <x v="91"/>
    <x v="40"/>
    <x v="0"/>
    <x v="1"/>
    <x v="0"/>
    <x v="39"/>
  </r>
  <r>
    <x v="302"/>
    <x v="91"/>
    <x v="34"/>
    <x v="0"/>
    <x v="1"/>
    <x v="0"/>
    <x v="39"/>
  </r>
  <r>
    <x v="303"/>
    <x v="92"/>
    <x v="40"/>
    <x v="0"/>
    <x v="1"/>
    <x v="0"/>
    <x v="39"/>
  </r>
  <r>
    <x v="304"/>
    <x v="92"/>
    <x v="123"/>
    <x v="2"/>
    <x v="1"/>
    <x v="0"/>
    <x v="93"/>
  </r>
  <r>
    <x v="305"/>
    <x v="92"/>
    <x v="192"/>
    <x v="2"/>
    <x v="1"/>
    <x v="0"/>
    <x v="94"/>
  </r>
  <r>
    <x v="306"/>
    <x v="92"/>
    <x v="164"/>
    <x v="12"/>
    <x v="1"/>
    <x v="0"/>
    <x v="89"/>
  </r>
  <r>
    <x v="307"/>
    <x v="92"/>
    <x v="193"/>
    <x v="2"/>
    <x v="1"/>
    <x v="0"/>
    <x v="20"/>
  </r>
  <r>
    <x v="308"/>
    <x v="93"/>
    <x v="44"/>
    <x v="8"/>
    <x v="1"/>
    <x v="2"/>
    <x v="95"/>
  </r>
  <r>
    <x v="309"/>
    <x v="93"/>
    <x v="116"/>
    <x v="9"/>
    <x v="1"/>
    <x v="0"/>
    <x v="34"/>
  </r>
  <r>
    <x v="310"/>
    <x v="93"/>
    <x v="194"/>
    <x v="6"/>
    <x v="1"/>
    <x v="0"/>
    <x v="96"/>
  </r>
  <r>
    <x v="311"/>
    <x v="93"/>
    <x v="164"/>
    <x v="12"/>
    <x v="1"/>
    <x v="0"/>
    <x v="57"/>
  </r>
  <r>
    <x v="312"/>
    <x v="93"/>
    <x v="195"/>
    <x v="0"/>
    <x v="1"/>
    <x v="0"/>
    <x v="97"/>
  </r>
  <r>
    <x v="313"/>
    <x v="93"/>
    <x v="25"/>
    <x v="2"/>
    <x v="1"/>
    <x v="0"/>
    <x v="16"/>
  </r>
  <r>
    <x v="314"/>
    <x v="93"/>
    <x v="196"/>
    <x v="2"/>
    <x v="1"/>
    <x v="0"/>
    <x v="11"/>
  </r>
  <r>
    <x v="315"/>
    <x v="93"/>
    <x v="197"/>
    <x v="0"/>
    <x v="1"/>
    <x v="0"/>
    <x v="57"/>
  </r>
  <r>
    <x v="316"/>
    <x v="93"/>
    <x v="137"/>
    <x v="7"/>
    <x v="1"/>
    <x v="0"/>
    <x v="34"/>
  </r>
  <r>
    <x v="317"/>
    <x v="93"/>
    <x v="198"/>
    <x v="0"/>
    <x v="1"/>
    <x v="0"/>
    <x v="97"/>
  </r>
  <r>
    <x v="318"/>
    <x v="93"/>
    <x v="40"/>
    <x v="0"/>
    <x v="1"/>
    <x v="0"/>
    <x v="98"/>
  </r>
  <r>
    <x v="319"/>
    <x v="93"/>
    <x v="199"/>
    <x v="2"/>
    <x v="1"/>
    <x v="0"/>
    <x v="11"/>
  </r>
  <r>
    <x v="320"/>
    <x v="93"/>
    <x v="200"/>
    <x v="8"/>
    <x v="0"/>
    <x v="2"/>
    <x v="81"/>
  </r>
  <r>
    <x v="321"/>
    <x v="93"/>
    <x v="200"/>
    <x v="8"/>
    <x v="0"/>
    <x v="2"/>
    <x v="81"/>
  </r>
  <r>
    <x v="322"/>
    <x v="94"/>
    <x v="174"/>
    <x v="4"/>
    <x v="1"/>
    <x v="0"/>
    <x v="41"/>
  </r>
  <r>
    <x v="323"/>
    <x v="94"/>
    <x v="201"/>
    <x v="0"/>
    <x v="1"/>
    <x v="0"/>
    <x v="99"/>
  </r>
  <r>
    <x v="324"/>
    <x v="94"/>
    <x v="123"/>
    <x v="2"/>
    <x v="1"/>
    <x v="0"/>
    <x v="46"/>
  </r>
  <r>
    <x v="325"/>
    <x v="94"/>
    <x v="202"/>
    <x v="2"/>
    <x v="1"/>
    <x v="0"/>
    <x v="100"/>
  </r>
  <r>
    <x v="326"/>
    <x v="95"/>
    <x v="40"/>
    <x v="0"/>
    <x v="1"/>
    <x v="0"/>
    <x v="39"/>
  </r>
  <r>
    <x v="327"/>
    <x v="96"/>
    <x v="203"/>
    <x v="10"/>
    <x v="1"/>
    <x v="0"/>
    <x v="101"/>
  </r>
  <r>
    <x v="328"/>
    <x v="96"/>
    <x v="204"/>
    <x v="10"/>
    <x v="0"/>
    <x v="0"/>
    <x v="34"/>
  </r>
  <r>
    <x v="329"/>
    <x v="97"/>
    <x v="173"/>
    <x v="8"/>
    <x v="1"/>
    <x v="2"/>
    <x v="81"/>
  </r>
  <r>
    <x v="330"/>
    <x v="97"/>
    <x v="164"/>
    <x v="12"/>
    <x v="1"/>
    <x v="0"/>
    <x v="52"/>
  </r>
  <r>
    <x v="331"/>
    <x v="97"/>
    <x v="174"/>
    <x v="4"/>
    <x v="1"/>
    <x v="0"/>
    <x v="65"/>
  </r>
  <r>
    <x v="332"/>
    <x v="98"/>
    <x v="205"/>
    <x v="1"/>
    <x v="1"/>
    <x v="0"/>
    <x v="83"/>
  </r>
  <r>
    <x v="333"/>
    <x v="98"/>
    <x v="206"/>
    <x v="0"/>
    <x v="1"/>
    <x v="0"/>
    <x v="102"/>
  </r>
  <r>
    <x v="334"/>
    <x v="98"/>
    <x v="207"/>
    <x v="0"/>
    <x v="1"/>
    <x v="0"/>
    <x v="103"/>
  </r>
  <r>
    <x v="335"/>
    <x v="98"/>
    <x v="208"/>
    <x v="0"/>
    <x v="1"/>
    <x v="0"/>
    <x v="104"/>
  </r>
  <r>
    <x v="336"/>
    <x v="98"/>
    <x v="173"/>
    <x v="8"/>
    <x v="1"/>
    <x v="2"/>
    <x v="81"/>
  </r>
  <r>
    <x v="337"/>
    <x v="98"/>
    <x v="209"/>
    <x v="9"/>
    <x v="1"/>
    <x v="0"/>
    <x v="5"/>
  </r>
  <r>
    <x v="338"/>
    <x v="99"/>
    <x v="137"/>
    <x v="7"/>
    <x v="1"/>
    <x v="0"/>
    <x v="51"/>
  </r>
  <r>
    <x v="339"/>
    <x v="99"/>
    <x v="210"/>
    <x v="9"/>
    <x v="1"/>
    <x v="0"/>
    <x v="5"/>
  </r>
  <r>
    <x v="340"/>
    <x v="100"/>
    <x v="174"/>
    <x v="4"/>
    <x v="1"/>
    <x v="0"/>
    <x v="51"/>
  </r>
  <r>
    <x v="341"/>
    <x v="100"/>
    <x v="164"/>
    <x v="12"/>
    <x v="1"/>
    <x v="0"/>
    <x v="57"/>
  </r>
  <r>
    <x v="342"/>
    <x v="101"/>
    <x v="173"/>
    <x v="8"/>
    <x v="1"/>
    <x v="2"/>
    <x v="105"/>
  </r>
  <r>
    <x v="338"/>
    <x v="102"/>
    <x v="173"/>
    <x v="8"/>
    <x v="1"/>
    <x v="2"/>
    <x v="106"/>
  </r>
  <r>
    <x v="343"/>
    <x v="102"/>
    <x v="174"/>
    <x v="4"/>
    <x v="1"/>
    <x v="0"/>
    <x v="34"/>
  </r>
  <r>
    <x v="344"/>
    <x v="102"/>
    <x v="211"/>
    <x v="6"/>
    <x v="1"/>
    <x v="0"/>
    <x v="31"/>
  </r>
  <r>
    <x v="345"/>
    <x v="102"/>
    <x v="25"/>
    <x v="2"/>
    <x v="1"/>
    <x v="0"/>
    <x v="40"/>
  </r>
  <r>
    <x v="346"/>
    <x v="102"/>
    <x v="40"/>
    <x v="0"/>
    <x v="1"/>
    <x v="0"/>
    <x v="2"/>
  </r>
  <r>
    <x v="347"/>
    <x v="102"/>
    <x v="212"/>
    <x v="0"/>
    <x v="1"/>
    <x v="0"/>
    <x v="39"/>
  </r>
  <r>
    <x v="348"/>
    <x v="102"/>
    <x v="123"/>
    <x v="2"/>
    <x v="1"/>
    <x v="0"/>
    <x v="11"/>
  </r>
  <r>
    <x v="349"/>
    <x v="103"/>
    <x v="189"/>
    <x v="8"/>
    <x v="1"/>
    <x v="2"/>
    <x v="81"/>
  </r>
  <r>
    <x v="350"/>
    <x v="103"/>
    <x v="189"/>
    <x v="8"/>
    <x v="1"/>
    <x v="2"/>
    <x v="81"/>
  </r>
  <r>
    <x v="351"/>
    <x v="103"/>
    <x v="164"/>
    <x v="12"/>
    <x v="1"/>
    <x v="0"/>
    <x v="5"/>
  </r>
  <r>
    <x v="352"/>
    <x v="103"/>
    <x v="123"/>
    <x v="2"/>
    <x v="1"/>
    <x v="0"/>
    <x v="47"/>
  </r>
  <r>
    <x v="353"/>
    <x v="103"/>
    <x v="213"/>
    <x v="2"/>
    <x v="1"/>
    <x v="0"/>
    <x v="107"/>
  </r>
  <r>
    <x v="354"/>
    <x v="104"/>
    <x v="40"/>
    <x v="0"/>
    <x v="1"/>
    <x v="0"/>
    <x v="39"/>
  </r>
  <r>
    <x v="355"/>
    <x v="105"/>
    <x v="164"/>
    <x v="12"/>
    <x v="1"/>
    <x v="0"/>
    <x v="57"/>
  </r>
  <r>
    <x v="356"/>
    <x v="105"/>
    <x v="174"/>
    <x v="4"/>
    <x v="1"/>
    <x v="0"/>
    <x v="34"/>
  </r>
  <r>
    <x v="357"/>
    <x v="105"/>
    <x v="40"/>
    <x v="0"/>
    <x v="1"/>
    <x v="0"/>
    <x v="39"/>
  </r>
  <r>
    <x v="358"/>
    <x v="106"/>
    <x v="214"/>
    <x v="14"/>
    <x v="1"/>
    <x v="0"/>
    <x v="89"/>
  </r>
  <r>
    <x v="359"/>
    <x v="107"/>
    <x v="40"/>
    <x v="0"/>
    <x v="1"/>
    <x v="0"/>
    <x v="39"/>
  </r>
  <r>
    <x v="360"/>
    <x v="107"/>
    <x v="215"/>
    <x v="14"/>
    <x v="1"/>
    <x v="0"/>
    <x v="39"/>
  </r>
  <r>
    <x v="361"/>
    <x v="107"/>
    <x v="216"/>
    <x v="2"/>
    <x v="1"/>
    <x v="0"/>
    <x v="108"/>
  </r>
  <r>
    <x v="362"/>
    <x v="108"/>
    <x v="164"/>
    <x v="12"/>
    <x v="1"/>
    <x v="0"/>
    <x v="57"/>
  </r>
  <r>
    <x v="363"/>
    <x v="108"/>
    <x v="123"/>
    <x v="2"/>
    <x v="1"/>
    <x v="0"/>
    <x v="40"/>
  </r>
  <r>
    <x v="364"/>
    <x v="108"/>
    <x v="40"/>
    <x v="0"/>
    <x v="1"/>
    <x v="0"/>
    <x v="13"/>
  </r>
  <r>
    <x v="365"/>
    <x v="108"/>
    <x v="212"/>
    <x v="0"/>
    <x v="1"/>
    <x v="0"/>
    <x v="39"/>
  </r>
  <r>
    <x v="366"/>
    <x v="109"/>
    <x v="217"/>
    <x v="8"/>
    <x v="1"/>
    <x v="2"/>
    <x v="81"/>
  </r>
  <r>
    <x v="367"/>
    <x v="109"/>
    <x v="164"/>
    <x v="12"/>
    <x v="1"/>
    <x v="0"/>
    <x v="51"/>
  </r>
  <r>
    <x v="368"/>
    <x v="109"/>
    <x v="218"/>
    <x v="15"/>
    <x v="1"/>
    <x v="0"/>
    <x v="65"/>
  </r>
  <r>
    <x v="369"/>
    <x v="109"/>
    <x v="219"/>
    <x v="14"/>
    <x v="1"/>
    <x v="0"/>
    <x v="41"/>
  </r>
  <r>
    <x v="370"/>
    <x v="110"/>
    <x v="40"/>
    <x v="0"/>
    <x v="1"/>
    <x v="0"/>
    <x v="89"/>
  </r>
  <r>
    <x v="371"/>
    <x v="110"/>
    <x v="220"/>
    <x v="3"/>
    <x v="0"/>
    <x v="1"/>
    <x v="109"/>
  </r>
  <r>
    <x v="372"/>
    <x v="111"/>
    <x v="221"/>
    <x v="2"/>
    <x v="1"/>
    <x v="0"/>
    <x v="110"/>
  </r>
  <r>
    <x v="373"/>
    <x v="111"/>
    <x v="222"/>
    <x v="12"/>
    <x v="1"/>
    <x v="0"/>
    <x v="47"/>
  </r>
  <r>
    <x v="374"/>
    <x v="111"/>
    <x v="203"/>
    <x v="10"/>
    <x v="1"/>
    <x v="0"/>
    <x v="7"/>
  </r>
  <r>
    <x v="375"/>
    <x v="112"/>
    <x v="174"/>
    <x v="4"/>
    <x v="1"/>
    <x v="0"/>
    <x v="57"/>
  </r>
  <r>
    <x v="376"/>
    <x v="112"/>
    <x v="219"/>
    <x v="14"/>
    <x v="1"/>
    <x v="0"/>
    <x v="89"/>
  </r>
  <r>
    <x v="377"/>
    <x v="112"/>
    <x v="223"/>
    <x v="8"/>
    <x v="1"/>
    <x v="2"/>
    <x v="81"/>
  </r>
  <r>
    <x v="378"/>
    <x v="113"/>
    <x v="164"/>
    <x v="12"/>
    <x v="1"/>
    <x v="0"/>
    <x v="57"/>
  </r>
  <r>
    <x v="379"/>
    <x v="113"/>
    <x v="123"/>
    <x v="2"/>
    <x v="1"/>
    <x v="0"/>
    <x v="40"/>
  </r>
  <r>
    <x v="380"/>
    <x v="114"/>
    <x v="164"/>
    <x v="12"/>
    <x v="1"/>
    <x v="0"/>
    <x v="41"/>
  </r>
  <r>
    <x v="381"/>
    <x v="115"/>
    <x v="224"/>
    <x v="2"/>
    <x v="1"/>
    <x v="0"/>
    <x v="111"/>
  </r>
  <r>
    <x v="382"/>
    <x v="116"/>
    <x v="164"/>
    <x v="12"/>
    <x v="1"/>
    <x v="0"/>
    <x v="41"/>
  </r>
  <r>
    <x v="383"/>
    <x v="117"/>
    <x v="123"/>
    <x v="2"/>
    <x v="1"/>
    <x v="0"/>
    <x v="13"/>
  </r>
  <r>
    <x v="384"/>
    <x v="117"/>
    <x v="40"/>
    <x v="0"/>
    <x v="1"/>
    <x v="0"/>
    <x v="40"/>
  </r>
  <r>
    <x v="385"/>
    <x v="118"/>
    <x v="123"/>
    <x v="2"/>
    <x v="1"/>
    <x v="0"/>
    <x v="40"/>
  </r>
  <r>
    <x v="386"/>
    <x v="118"/>
    <x v="215"/>
    <x v="14"/>
    <x v="1"/>
    <x v="0"/>
    <x v="89"/>
  </r>
  <r>
    <x v="387"/>
    <x v="119"/>
    <x v="123"/>
    <x v="2"/>
    <x v="1"/>
    <x v="0"/>
    <x v="11"/>
  </r>
  <r>
    <x v="388"/>
    <x v="119"/>
    <x v="40"/>
    <x v="0"/>
    <x v="1"/>
    <x v="0"/>
    <x v="39"/>
  </r>
  <r>
    <x v="389"/>
    <x v="119"/>
    <x v="223"/>
    <x v="8"/>
    <x v="1"/>
    <x v="2"/>
    <x v="112"/>
  </r>
  <r>
    <x v="390"/>
    <x v="119"/>
    <x v="174"/>
    <x v="4"/>
    <x v="1"/>
    <x v="0"/>
    <x v="34"/>
  </r>
  <r>
    <x v="391"/>
    <x v="120"/>
    <x v="225"/>
    <x v="0"/>
    <x v="1"/>
    <x v="0"/>
    <x v="113"/>
  </r>
  <r>
    <x v="392"/>
    <x v="120"/>
    <x v="226"/>
    <x v="0"/>
    <x v="1"/>
    <x v="0"/>
    <x v="114"/>
  </r>
  <r>
    <x v="393"/>
    <x v="120"/>
    <x v="219"/>
    <x v="14"/>
    <x v="1"/>
    <x v="0"/>
    <x v="89"/>
  </r>
  <r>
    <x v="394"/>
    <x v="120"/>
    <x v="227"/>
    <x v="7"/>
    <x v="1"/>
    <x v="0"/>
    <x v="2"/>
  </r>
  <r>
    <x v="395"/>
    <x v="120"/>
    <x v="137"/>
    <x v="7"/>
    <x v="1"/>
    <x v="0"/>
    <x v="41"/>
  </r>
  <r>
    <x v="396"/>
    <x v="120"/>
    <x v="223"/>
    <x v="8"/>
    <x v="1"/>
    <x v="2"/>
    <x v="81"/>
  </r>
  <r>
    <x v="397"/>
    <x v="120"/>
    <x v="164"/>
    <x v="12"/>
    <x v="1"/>
    <x v="0"/>
    <x v="45"/>
  </r>
  <r>
    <x v="398"/>
    <x v="120"/>
    <x v="219"/>
    <x v="14"/>
    <x v="1"/>
    <x v="0"/>
    <x v="115"/>
  </r>
  <r>
    <x v="399"/>
    <x v="120"/>
    <x v="228"/>
    <x v="2"/>
    <x v="1"/>
    <x v="0"/>
    <x v="72"/>
  </r>
  <r>
    <x v="400"/>
    <x v="120"/>
    <x v="218"/>
    <x v="15"/>
    <x v="1"/>
    <x v="0"/>
    <x v="52"/>
  </r>
  <r>
    <x v="401"/>
    <x v="121"/>
    <x v="137"/>
    <x v="7"/>
    <x v="1"/>
    <x v="0"/>
    <x v="41"/>
  </r>
  <r>
    <x v="402"/>
    <x v="122"/>
    <x v="123"/>
    <x v="2"/>
    <x v="1"/>
    <x v="0"/>
    <x v="40"/>
  </r>
  <r>
    <x v="403"/>
    <x v="122"/>
    <x v="229"/>
    <x v="0"/>
    <x v="1"/>
    <x v="0"/>
    <x v="116"/>
  </r>
  <r>
    <x v="404"/>
    <x v="122"/>
    <x v="230"/>
    <x v="0"/>
    <x v="1"/>
    <x v="0"/>
    <x v="97"/>
  </r>
  <r>
    <x v="405"/>
    <x v="122"/>
    <x v="231"/>
    <x v="0"/>
    <x v="1"/>
    <x v="0"/>
    <x v="97"/>
  </r>
  <r>
    <x v="406"/>
    <x v="122"/>
    <x v="223"/>
    <x v="8"/>
    <x v="1"/>
    <x v="2"/>
    <x v="91"/>
  </r>
  <r>
    <x v="407"/>
    <x v="122"/>
    <x v="164"/>
    <x v="12"/>
    <x v="1"/>
    <x v="0"/>
    <x v="57"/>
  </r>
  <r>
    <x v="408"/>
    <x v="122"/>
    <x v="137"/>
    <x v="7"/>
    <x v="1"/>
    <x v="0"/>
    <x v="41"/>
  </r>
  <r>
    <x v="409"/>
    <x v="123"/>
    <x v="137"/>
    <x v="7"/>
    <x v="1"/>
    <x v="0"/>
    <x v="57"/>
  </r>
  <r>
    <x v="410"/>
    <x v="124"/>
    <x v="137"/>
    <x v="7"/>
    <x v="1"/>
    <x v="0"/>
    <x v="57"/>
  </r>
  <r>
    <x v="411"/>
    <x v="124"/>
    <x v="232"/>
    <x v="0"/>
    <x v="1"/>
    <x v="0"/>
    <x v="39"/>
  </r>
  <r>
    <x v="412"/>
    <x v="125"/>
    <x v="233"/>
    <x v="2"/>
    <x v="1"/>
    <x v="0"/>
    <x v="74"/>
  </r>
  <r>
    <x v="413"/>
    <x v="126"/>
    <x v="137"/>
    <x v="7"/>
    <x v="1"/>
    <x v="0"/>
    <x v="41"/>
  </r>
  <r>
    <x v="414"/>
    <x v="126"/>
    <x v="40"/>
    <x v="0"/>
    <x v="1"/>
    <x v="0"/>
    <x v="39"/>
  </r>
  <r>
    <x v="415"/>
    <x v="127"/>
    <x v="137"/>
    <x v="7"/>
    <x v="1"/>
    <x v="0"/>
    <x v="82"/>
  </r>
  <r>
    <x v="416"/>
    <x v="127"/>
    <x v="123"/>
    <x v="2"/>
    <x v="1"/>
    <x v="0"/>
    <x v="46"/>
  </r>
  <r>
    <x v="417"/>
    <x v="127"/>
    <x v="223"/>
    <x v="8"/>
    <x v="1"/>
    <x v="2"/>
    <x v="117"/>
  </r>
  <r>
    <x v="418"/>
    <x v="128"/>
    <x v="137"/>
    <x v="7"/>
    <x v="1"/>
    <x v="0"/>
    <x v="118"/>
  </r>
  <r>
    <x v="419"/>
    <x v="128"/>
    <x v="164"/>
    <x v="12"/>
    <x v="1"/>
    <x v="0"/>
    <x v="41"/>
  </r>
  <r>
    <x v="420"/>
    <x v="128"/>
    <x v="174"/>
    <x v="4"/>
    <x v="1"/>
    <x v="0"/>
    <x v="41"/>
  </r>
  <r>
    <x v="421"/>
    <x v="128"/>
    <x v="234"/>
    <x v="2"/>
    <x v="1"/>
    <x v="0"/>
    <x v="119"/>
  </r>
  <r>
    <x v="422"/>
    <x v="128"/>
    <x v="123"/>
    <x v="2"/>
    <x v="1"/>
    <x v="0"/>
    <x v="40"/>
  </r>
  <r>
    <x v="423"/>
    <x v="128"/>
    <x v="223"/>
    <x v="8"/>
    <x v="1"/>
    <x v="2"/>
    <x v="120"/>
  </r>
  <r>
    <x v="424"/>
    <x v="128"/>
    <x v="82"/>
    <x v="0"/>
    <x v="1"/>
    <x v="0"/>
    <x v="39"/>
  </r>
  <r>
    <x v="425"/>
    <x v="128"/>
    <x v="235"/>
    <x v="0"/>
    <x v="1"/>
    <x v="0"/>
    <x v="39"/>
  </r>
  <r>
    <x v="426"/>
    <x v="129"/>
    <x v="137"/>
    <x v="7"/>
    <x v="1"/>
    <x v="0"/>
    <x v="41"/>
  </r>
  <r>
    <x v="427"/>
    <x v="130"/>
    <x v="123"/>
    <x v="2"/>
    <x v="1"/>
    <x v="0"/>
    <x v="46"/>
  </r>
  <r>
    <x v="428"/>
    <x v="130"/>
    <x v="236"/>
    <x v="2"/>
    <x v="1"/>
    <x v="0"/>
    <x v="47"/>
  </r>
  <r>
    <x v="429"/>
    <x v="130"/>
    <x v="137"/>
    <x v="7"/>
    <x v="1"/>
    <x v="0"/>
    <x v="41"/>
  </r>
  <r>
    <x v="430"/>
    <x v="131"/>
    <x v="237"/>
    <x v="8"/>
    <x v="1"/>
    <x v="2"/>
    <x v="36"/>
  </r>
  <r>
    <x v="431"/>
    <x v="131"/>
    <x v="164"/>
    <x v="12"/>
    <x v="1"/>
    <x v="0"/>
    <x v="121"/>
  </r>
  <r>
    <x v="432"/>
    <x v="131"/>
    <x v="123"/>
    <x v="2"/>
    <x v="1"/>
    <x v="0"/>
    <x v="74"/>
  </r>
  <r>
    <x v="433"/>
    <x v="131"/>
    <x v="238"/>
    <x v="0"/>
    <x v="1"/>
    <x v="0"/>
    <x v="2"/>
  </r>
  <r>
    <x v="434"/>
    <x v="131"/>
    <x v="82"/>
    <x v="0"/>
    <x v="1"/>
    <x v="0"/>
    <x v="2"/>
  </r>
  <r>
    <x v="435"/>
    <x v="131"/>
    <x v="40"/>
    <x v="0"/>
    <x v="1"/>
    <x v="0"/>
    <x v="2"/>
  </r>
  <r>
    <x v="436"/>
    <x v="131"/>
    <x v="235"/>
    <x v="0"/>
    <x v="1"/>
    <x v="0"/>
    <x v="39"/>
  </r>
  <r>
    <x v="437"/>
    <x v="131"/>
    <x v="239"/>
    <x v="6"/>
    <x v="1"/>
    <x v="0"/>
    <x v="122"/>
  </r>
  <r>
    <x v="438"/>
    <x v="131"/>
    <x v="174"/>
    <x v="4"/>
    <x v="1"/>
    <x v="0"/>
    <x v="52"/>
  </r>
  <r>
    <x v="439"/>
    <x v="131"/>
    <x v="116"/>
    <x v="9"/>
    <x v="1"/>
    <x v="0"/>
    <x v="5"/>
  </r>
  <r>
    <x v="440"/>
    <x v="131"/>
    <x v="240"/>
    <x v="1"/>
    <x v="1"/>
    <x v="0"/>
    <x v="83"/>
  </r>
  <r>
    <x v="441"/>
    <x v="131"/>
    <x v="25"/>
    <x v="2"/>
    <x v="1"/>
    <x v="0"/>
    <x v="40"/>
  </r>
  <r>
    <x v="442"/>
    <x v="132"/>
    <x v="137"/>
    <x v="7"/>
    <x v="1"/>
    <x v="0"/>
    <x v="2"/>
  </r>
  <r>
    <x v="443"/>
    <x v="132"/>
    <x v="164"/>
    <x v="12"/>
    <x v="1"/>
    <x v="0"/>
    <x v="2"/>
  </r>
  <r>
    <x v="444"/>
    <x v="132"/>
    <x v="123"/>
    <x v="2"/>
    <x v="1"/>
    <x v="0"/>
    <x v="58"/>
  </r>
  <r>
    <x v="445"/>
    <x v="133"/>
    <x v="219"/>
    <x v="14"/>
    <x v="1"/>
    <x v="0"/>
    <x v="123"/>
  </r>
  <r>
    <x v="446"/>
    <x v="133"/>
    <x v="153"/>
    <x v="2"/>
    <x v="1"/>
    <x v="0"/>
    <x v="58"/>
  </r>
  <r>
    <x v="447"/>
    <x v="133"/>
    <x v="164"/>
    <x v="12"/>
    <x v="1"/>
    <x v="0"/>
    <x v="57"/>
  </r>
  <r>
    <x v="448"/>
    <x v="133"/>
    <x v="137"/>
    <x v="7"/>
    <x v="1"/>
    <x v="0"/>
    <x v="118"/>
  </r>
  <r>
    <x v="449"/>
    <x v="133"/>
    <x v="82"/>
    <x v="0"/>
    <x v="1"/>
    <x v="0"/>
    <x v="13"/>
  </r>
  <r>
    <x v="450"/>
    <x v="134"/>
    <x v="137"/>
    <x v="7"/>
    <x v="1"/>
    <x v="0"/>
    <x v="89"/>
  </r>
  <r>
    <x v="451"/>
    <x v="134"/>
    <x v="241"/>
    <x v="2"/>
    <x v="1"/>
    <x v="0"/>
    <x v="124"/>
  </r>
  <r>
    <x v="452"/>
    <x v="135"/>
    <x v="123"/>
    <x v="2"/>
    <x v="1"/>
    <x v="0"/>
    <x v="125"/>
  </r>
  <r>
    <x v="453"/>
    <x v="135"/>
    <x v="40"/>
    <x v="0"/>
    <x v="1"/>
    <x v="0"/>
    <x v="39"/>
  </r>
  <r>
    <x v="454"/>
    <x v="135"/>
    <x v="232"/>
    <x v="0"/>
    <x v="1"/>
    <x v="0"/>
    <x v="39"/>
  </r>
  <r>
    <x v="455"/>
    <x v="135"/>
    <x v="137"/>
    <x v="7"/>
    <x v="1"/>
    <x v="0"/>
    <x v="79"/>
  </r>
  <r>
    <x v="456"/>
    <x v="136"/>
    <x v="164"/>
    <x v="12"/>
    <x v="1"/>
    <x v="0"/>
    <x v="82"/>
  </r>
  <r>
    <x v="457"/>
    <x v="136"/>
    <x v="137"/>
    <x v="7"/>
    <x v="1"/>
    <x v="0"/>
    <x v="89"/>
  </r>
  <r>
    <x v="458"/>
    <x v="136"/>
    <x v="123"/>
    <x v="2"/>
    <x v="1"/>
    <x v="0"/>
    <x v="40"/>
  </r>
  <r>
    <x v="459"/>
    <x v="137"/>
    <x v="223"/>
    <x v="8"/>
    <x v="1"/>
    <x v="2"/>
    <x v="126"/>
  </r>
  <r>
    <x v="460"/>
    <x v="137"/>
    <x v="191"/>
    <x v="4"/>
    <x v="1"/>
    <x v="0"/>
    <x v="97"/>
  </r>
  <r>
    <x v="461"/>
    <x v="137"/>
    <x v="242"/>
    <x v="2"/>
    <x v="1"/>
    <x v="0"/>
    <x v="23"/>
  </r>
  <r>
    <x v="462"/>
    <x v="137"/>
    <x v="137"/>
    <x v="7"/>
    <x v="1"/>
    <x v="0"/>
    <x v="39"/>
  </r>
  <r>
    <x v="463"/>
    <x v="137"/>
    <x v="174"/>
    <x v="4"/>
    <x v="1"/>
    <x v="0"/>
    <x v="52"/>
  </r>
  <r>
    <x v="464"/>
    <x v="137"/>
    <x v="164"/>
    <x v="12"/>
    <x v="1"/>
    <x v="0"/>
    <x v="57"/>
  </r>
  <r>
    <x v="465"/>
    <x v="138"/>
    <x v="164"/>
    <x v="12"/>
    <x v="1"/>
    <x v="0"/>
    <x v="41"/>
  </r>
  <r>
    <x v="466"/>
    <x v="138"/>
    <x v="40"/>
    <x v="0"/>
    <x v="1"/>
    <x v="0"/>
    <x v="39"/>
  </r>
  <r>
    <x v="467"/>
    <x v="138"/>
    <x v="232"/>
    <x v="0"/>
    <x v="1"/>
    <x v="0"/>
    <x v="39"/>
  </r>
  <r>
    <x v="468"/>
    <x v="138"/>
    <x v="123"/>
    <x v="2"/>
    <x v="1"/>
    <x v="0"/>
    <x v="47"/>
  </r>
  <r>
    <x v="469"/>
    <x v="139"/>
    <x v="223"/>
    <x v="8"/>
    <x v="1"/>
    <x v="2"/>
    <x v="81"/>
  </r>
  <r>
    <x v="470"/>
    <x v="139"/>
    <x v="164"/>
    <x v="12"/>
    <x v="1"/>
    <x v="0"/>
    <x v="65"/>
  </r>
  <r>
    <x v="471"/>
    <x v="139"/>
    <x v="40"/>
    <x v="0"/>
    <x v="1"/>
    <x v="0"/>
    <x v="39"/>
  </r>
  <r>
    <x v="472"/>
    <x v="139"/>
    <x v="243"/>
    <x v="2"/>
    <x v="1"/>
    <x v="0"/>
    <x v="127"/>
  </r>
  <r>
    <x v="473"/>
    <x v="140"/>
    <x v="123"/>
    <x v="2"/>
    <x v="1"/>
    <x v="0"/>
    <x v="47"/>
  </r>
  <r>
    <x v="474"/>
    <x v="141"/>
    <x v="223"/>
    <x v="8"/>
    <x v="1"/>
    <x v="2"/>
    <x v="76"/>
  </r>
  <r>
    <x v="475"/>
    <x v="141"/>
    <x v="174"/>
    <x v="4"/>
    <x v="1"/>
    <x v="0"/>
    <x v="52"/>
  </r>
  <r>
    <x v="476"/>
    <x v="141"/>
    <x v="244"/>
    <x v="6"/>
    <x v="1"/>
    <x v="0"/>
    <x v="10"/>
  </r>
  <r>
    <x v="477"/>
    <x v="141"/>
    <x v="245"/>
    <x v="2"/>
    <x v="1"/>
    <x v="0"/>
    <x v="2"/>
  </r>
  <r>
    <x v="478"/>
    <x v="141"/>
    <x v="25"/>
    <x v="2"/>
    <x v="1"/>
    <x v="0"/>
    <x v="46"/>
  </r>
  <r>
    <x v="479"/>
    <x v="141"/>
    <x v="164"/>
    <x v="12"/>
    <x v="1"/>
    <x v="0"/>
    <x v="65"/>
  </r>
  <r>
    <x v="480"/>
    <x v="141"/>
    <x v="232"/>
    <x v="0"/>
    <x v="1"/>
    <x v="0"/>
    <x v="39"/>
  </r>
  <r>
    <x v="481"/>
    <x v="141"/>
    <x v="203"/>
    <x v="10"/>
    <x v="1"/>
    <x v="0"/>
    <x v="52"/>
  </r>
  <r>
    <x v="482"/>
    <x v="141"/>
    <x v="40"/>
    <x v="0"/>
    <x v="1"/>
    <x v="0"/>
    <x v="39"/>
  </r>
  <r>
    <x v="483"/>
    <x v="141"/>
    <x v="235"/>
    <x v="0"/>
    <x v="1"/>
    <x v="0"/>
    <x v="39"/>
  </r>
  <r>
    <x v="484"/>
    <x v="141"/>
    <x v="123"/>
    <x v="2"/>
    <x v="1"/>
    <x v="0"/>
    <x v="11"/>
  </r>
  <r>
    <x v="485"/>
    <x v="141"/>
    <x v="238"/>
    <x v="0"/>
    <x v="1"/>
    <x v="0"/>
    <x v="39"/>
  </r>
  <r>
    <x v="486"/>
    <x v="142"/>
    <x v="164"/>
    <x v="12"/>
    <x v="1"/>
    <x v="0"/>
    <x v="128"/>
  </r>
  <r>
    <x v="487"/>
    <x v="143"/>
    <x v="123"/>
    <x v="2"/>
    <x v="1"/>
    <x v="0"/>
    <x v="125"/>
  </r>
  <r>
    <x v="488"/>
    <x v="144"/>
    <x v="164"/>
    <x v="12"/>
    <x v="1"/>
    <x v="0"/>
    <x v="89"/>
  </r>
  <r>
    <x v="489"/>
    <x v="144"/>
    <x v="123"/>
    <x v="2"/>
    <x v="1"/>
    <x v="0"/>
    <x v="47"/>
  </r>
  <r>
    <x v="490"/>
    <x v="145"/>
    <x v="164"/>
    <x v="12"/>
    <x v="1"/>
    <x v="0"/>
    <x v="57"/>
  </r>
  <r>
    <x v="491"/>
    <x v="145"/>
    <x v="191"/>
    <x v="4"/>
    <x v="1"/>
    <x v="0"/>
    <x v="129"/>
  </r>
  <r>
    <x v="492"/>
    <x v="146"/>
    <x v="223"/>
    <x v="8"/>
    <x v="1"/>
    <x v="2"/>
    <x v="29"/>
  </r>
  <r>
    <x v="493"/>
    <x v="146"/>
    <x v="164"/>
    <x v="12"/>
    <x v="1"/>
    <x v="0"/>
    <x v="5"/>
  </r>
  <r>
    <x v="494"/>
    <x v="146"/>
    <x v="137"/>
    <x v="7"/>
    <x v="1"/>
    <x v="0"/>
    <x v="65"/>
  </r>
  <r>
    <x v="495"/>
    <x v="146"/>
    <x v="174"/>
    <x v="4"/>
    <x v="1"/>
    <x v="0"/>
    <x v="69"/>
  </r>
  <r>
    <x v="496"/>
    <x v="146"/>
    <x v="246"/>
    <x v="0"/>
    <x v="1"/>
    <x v="0"/>
    <x v="130"/>
  </r>
  <r>
    <x v="497"/>
    <x v="147"/>
    <x v="203"/>
    <x v="10"/>
    <x v="1"/>
    <x v="0"/>
    <x v="52"/>
  </r>
  <r>
    <x v="498"/>
    <x v="147"/>
    <x v="247"/>
    <x v="0"/>
    <x v="1"/>
    <x v="0"/>
    <x v="131"/>
  </r>
  <r>
    <x v="499"/>
    <x v="147"/>
    <x v="218"/>
    <x v="15"/>
    <x v="1"/>
    <x v="0"/>
    <x v="65"/>
  </r>
  <r>
    <x v="500"/>
    <x v="147"/>
    <x v="123"/>
    <x v="2"/>
    <x v="1"/>
    <x v="0"/>
    <x v="47"/>
  </r>
  <r>
    <x v="501"/>
    <x v="147"/>
    <x v="248"/>
    <x v="0"/>
    <x v="1"/>
    <x v="0"/>
    <x v="132"/>
  </r>
  <r>
    <x v="502"/>
    <x v="148"/>
    <x v="223"/>
    <x v="8"/>
    <x v="1"/>
    <x v="2"/>
    <x v="95"/>
  </r>
  <r>
    <x v="503"/>
    <x v="148"/>
    <x v="116"/>
    <x v="9"/>
    <x v="1"/>
    <x v="0"/>
    <x v="5"/>
  </r>
  <r>
    <x v="504"/>
    <x v="148"/>
    <x v="123"/>
    <x v="2"/>
    <x v="1"/>
    <x v="0"/>
    <x v="47"/>
  </r>
  <r>
    <x v="505"/>
    <x v="149"/>
    <x v="191"/>
    <x v="4"/>
    <x v="1"/>
    <x v="0"/>
    <x v="133"/>
  </r>
  <r>
    <x v="506"/>
    <x v="150"/>
    <x v="232"/>
    <x v="0"/>
    <x v="1"/>
    <x v="0"/>
    <x v="134"/>
  </r>
  <r>
    <x v="507"/>
    <x v="150"/>
    <x v="123"/>
    <x v="2"/>
    <x v="1"/>
    <x v="0"/>
    <x v="40"/>
  </r>
  <r>
    <x v="508"/>
    <x v="150"/>
    <x v="249"/>
    <x v="1"/>
    <x v="1"/>
    <x v="0"/>
    <x v="83"/>
  </r>
  <r>
    <x v="509"/>
    <x v="150"/>
    <x v="203"/>
    <x v="10"/>
    <x v="1"/>
    <x v="0"/>
    <x v="2"/>
  </r>
  <r>
    <x v="510"/>
    <x v="151"/>
    <x v="173"/>
    <x v="8"/>
    <x v="1"/>
    <x v="2"/>
    <x v="76"/>
  </r>
  <r>
    <x v="511"/>
    <x v="151"/>
    <x v="164"/>
    <x v="12"/>
    <x v="1"/>
    <x v="0"/>
    <x v="52"/>
  </r>
  <r>
    <x v="512"/>
    <x v="152"/>
    <x v="223"/>
    <x v="8"/>
    <x v="1"/>
    <x v="2"/>
    <x v="135"/>
  </r>
  <r>
    <x v="513"/>
    <x v="152"/>
    <x v="223"/>
    <x v="8"/>
    <x v="1"/>
    <x v="2"/>
    <x v="136"/>
  </r>
  <r>
    <x v="514"/>
    <x v="152"/>
    <x v="40"/>
    <x v="0"/>
    <x v="1"/>
    <x v="0"/>
    <x v="2"/>
  </r>
  <r>
    <x v="515"/>
    <x v="152"/>
    <x v="250"/>
    <x v="0"/>
    <x v="1"/>
    <x v="0"/>
    <x v="137"/>
  </r>
  <r>
    <x v="516"/>
    <x v="152"/>
    <x v="251"/>
    <x v="0"/>
    <x v="1"/>
    <x v="0"/>
    <x v="138"/>
  </r>
  <r>
    <x v="517"/>
    <x v="152"/>
    <x v="252"/>
    <x v="0"/>
    <x v="1"/>
    <x v="0"/>
    <x v="139"/>
  </r>
  <r>
    <x v="518"/>
    <x v="152"/>
    <x v="174"/>
    <x v="4"/>
    <x v="1"/>
    <x v="0"/>
    <x v="65"/>
  </r>
  <r>
    <x v="519"/>
    <x v="152"/>
    <x v="164"/>
    <x v="12"/>
    <x v="1"/>
    <x v="0"/>
    <x v="5"/>
  </r>
  <r>
    <x v="520"/>
    <x v="152"/>
    <x v="116"/>
    <x v="9"/>
    <x v="1"/>
    <x v="0"/>
    <x v="34"/>
  </r>
  <r>
    <x v="521"/>
    <x v="152"/>
    <x v="164"/>
    <x v="12"/>
    <x v="1"/>
    <x v="0"/>
    <x v="51"/>
  </r>
  <r>
    <x v="522"/>
    <x v="153"/>
    <x v="191"/>
    <x v="4"/>
    <x v="1"/>
    <x v="0"/>
    <x v="140"/>
  </r>
  <r>
    <x v="523"/>
    <x v="154"/>
    <x v="253"/>
    <x v="2"/>
    <x v="1"/>
    <x v="0"/>
    <x v="141"/>
  </r>
  <r>
    <x v="524"/>
    <x v="154"/>
    <x v="123"/>
    <x v="2"/>
    <x v="1"/>
    <x v="0"/>
    <x v="47"/>
  </r>
  <r>
    <x v="525"/>
    <x v="154"/>
    <x v="191"/>
    <x v="4"/>
    <x v="1"/>
    <x v="0"/>
    <x v="142"/>
  </r>
  <r>
    <x v="526"/>
    <x v="154"/>
    <x v="254"/>
    <x v="2"/>
    <x v="1"/>
    <x v="0"/>
    <x v="110"/>
  </r>
  <r>
    <x v="527"/>
    <x v="154"/>
    <x v="255"/>
    <x v="2"/>
    <x v="1"/>
    <x v="0"/>
    <x v="143"/>
  </r>
  <r>
    <x v="528"/>
    <x v="155"/>
    <x v="164"/>
    <x v="12"/>
    <x v="1"/>
    <x v="0"/>
    <x v="57"/>
  </r>
  <r>
    <x v="529"/>
    <x v="155"/>
    <x v="123"/>
    <x v="2"/>
    <x v="1"/>
    <x v="0"/>
    <x v="40"/>
  </r>
  <r>
    <x v="530"/>
    <x v="155"/>
    <x v="253"/>
    <x v="2"/>
    <x v="1"/>
    <x v="0"/>
    <x v="16"/>
  </r>
  <r>
    <x v="531"/>
    <x v="155"/>
    <x v="232"/>
    <x v="0"/>
    <x v="1"/>
    <x v="0"/>
    <x v="39"/>
  </r>
  <r>
    <x v="532"/>
    <x v="155"/>
    <x v="40"/>
    <x v="0"/>
    <x v="1"/>
    <x v="0"/>
    <x v="39"/>
  </r>
  <r>
    <x v="533"/>
    <x v="155"/>
    <x v="123"/>
    <x v="2"/>
    <x v="1"/>
    <x v="0"/>
    <x v="40"/>
  </r>
  <r>
    <x v="534"/>
    <x v="155"/>
    <x v="256"/>
    <x v="2"/>
    <x v="1"/>
    <x v="0"/>
    <x v="124"/>
  </r>
  <r>
    <x v="535"/>
    <x v="155"/>
    <x v="257"/>
    <x v="2"/>
    <x v="1"/>
    <x v="0"/>
    <x v="127"/>
  </r>
  <r>
    <x v="536"/>
    <x v="156"/>
    <x v="258"/>
    <x v="8"/>
    <x v="1"/>
    <x v="2"/>
    <x v="36"/>
  </r>
  <r>
    <x v="537"/>
    <x v="156"/>
    <x v="174"/>
    <x v="4"/>
    <x v="1"/>
    <x v="0"/>
    <x v="57"/>
  </r>
  <r>
    <x v="538"/>
    <x v="156"/>
    <x v="123"/>
    <x v="2"/>
    <x v="1"/>
    <x v="0"/>
    <x v="125"/>
  </r>
  <r>
    <x v="539"/>
    <x v="157"/>
    <x v="137"/>
    <x v="7"/>
    <x v="1"/>
    <x v="0"/>
    <x v="65"/>
  </r>
  <r>
    <x v="540"/>
    <x v="157"/>
    <x v="164"/>
    <x v="12"/>
    <x v="1"/>
    <x v="0"/>
    <x v="10"/>
  </r>
  <r>
    <x v="541"/>
    <x v="157"/>
    <x v="232"/>
    <x v="0"/>
    <x v="1"/>
    <x v="0"/>
    <x v="39"/>
  </r>
  <r>
    <x v="542"/>
    <x v="157"/>
    <x v="123"/>
    <x v="2"/>
    <x v="1"/>
    <x v="0"/>
    <x v="40"/>
  </r>
  <r>
    <x v="543"/>
    <x v="158"/>
    <x v="191"/>
    <x v="4"/>
    <x v="1"/>
    <x v="0"/>
    <x v="140"/>
  </r>
  <r>
    <x v="544"/>
    <x v="158"/>
    <x v="164"/>
    <x v="12"/>
    <x v="1"/>
    <x v="0"/>
    <x v="2"/>
  </r>
  <r>
    <x v="545"/>
    <x v="159"/>
    <x v="164"/>
    <x v="12"/>
    <x v="1"/>
    <x v="0"/>
    <x v="34"/>
  </r>
  <r>
    <x v="546"/>
    <x v="159"/>
    <x v="137"/>
    <x v="7"/>
    <x v="1"/>
    <x v="0"/>
    <x v="52"/>
  </r>
  <r>
    <x v="547"/>
    <x v="159"/>
    <x v="174"/>
    <x v="4"/>
    <x v="1"/>
    <x v="0"/>
    <x v="65"/>
  </r>
  <r>
    <x v="548"/>
    <x v="159"/>
    <x v="123"/>
    <x v="2"/>
    <x v="1"/>
    <x v="0"/>
    <x v="47"/>
  </r>
  <r>
    <x v="549"/>
    <x v="160"/>
    <x v="259"/>
    <x v="2"/>
    <x v="1"/>
    <x v="0"/>
    <x v="89"/>
  </r>
  <r>
    <x v="550"/>
    <x v="161"/>
    <x v="40"/>
    <x v="0"/>
    <x v="1"/>
    <x v="0"/>
    <x v="89"/>
  </r>
  <r>
    <x v="551"/>
    <x v="162"/>
    <x v="164"/>
    <x v="12"/>
    <x v="1"/>
    <x v="0"/>
    <x v="52"/>
  </r>
  <r>
    <x v="552"/>
    <x v="163"/>
    <x v="223"/>
    <x v="8"/>
    <x v="1"/>
    <x v="2"/>
    <x v="144"/>
  </r>
  <r>
    <x v="553"/>
    <x v="163"/>
    <x v="164"/>
    <x v="12"/>
    <x v="1"/>
    <x v="0"/>
    <x v="52"/>
  </r>
  <r>
    <x v="554"/>
    <x v="163"/>
    <x v="137"/>
    <x v="7"/>
    <x v="1"/>
    <x v="0"/>
    <x v="57"/>
  </r>
  <r>
    <x v="555"/>
    <x v="163"/>
    <x v="191"/>
    <x v="4"/>
    <x v="1"/>
    <x v="0"/>
    <x v="145"/>
  </r>
  <r>
    <x v="556"/>
    <x v="164"/>
    <x v="203"/>
    <x v="10"/>
    <x v="1"/>
    <x v="0"/>
    <x v="45"/>
  </r>
  <r>
    <x v="557"/>
    <x v="164"/>
    <x v="123"/>
    <x v="2"/>
    <x v="1"/>
    <x v="0"/>
    <x v="46"/>
  </r>
  <r>
    <x v="558"/>
    <x v="165"/>
    <x v="237"/>
    <x v="8"/>
    <x v="1"/>
    <x v="2"/>
    <x v="29"/>
  </r>
  <r>
    <x v="559"/>
    <x v="165"/>
    <x v="260"/>
    <x v="6"/>
    <x v="1"/>
    <x v="0"/>
    <x v="122"/>
  </r>
  <r>
    <x v="560"/>
    <x v="165"/>
    <x v="116"/>
    <x v="9"/>
    <x v="1"/>
    <x v="0"/>
    <x v="146"/>
  </r>
  <r>
    <x v="561"/>
    <x v="165"/>
    <x v="174"/>
    <x v="4"/>
    <x v="1"/>
    <x v="0"/>
    <x v="34"/>
  </r>
  <r>
    <x v="562"/>
    <x v="165"/>
    <x v="164"/>
    <x v="12"/>
    <x v="1"/>
    <x v="0"/>
    <x v="65"/>
  </r>
  <r>
    <x v="563"/>
    <x v="165"/>
    <x v="203"/>
    <x v="10"/>
    <x v="1"/>
    <x v="0"/>
    <x v="65"/>
  </r>
  <r>
    <x v="564"/>
    <x v="165"/>
    <x v="40"/>
    <x v="0"/>
    <x v="1"/>
    <x v="0"/>
    <x v="2"/>
  </r>
  <r>
    <x v="565"/>
    <x v="165"/>
    <x v="147"/>
    <x v="0"/>
    <x v="1"/>
    <x v="0"/>
    <x v="8"/>
  </r>
  <r>
    <x v="566"/>
    <x v="165"/>
    <x v="123"/>
    <x v="2"/>
    <x v="1"/>
    <x v="0"/>
    <x v="11"/>
  </r>
  <r>
    <x v="567"/>
    <x v="165"/>
    <x v="25"/>
    <x v="2"/>
    <x v="1"/>
    <x v="0"/>
    <x v="46"/>
  </r>
  <r>
    <x v="568"/>
    <x v="166"/>
    <x v="153"/>
    <x v="2"/>
    <x v="1"/>
    <x v="0"/>
    <x v="11"/>
  </r>
  <r>
    <x v="569"/>
    <x v="166"/>
    <x v="123"/>
    <x v="2"/>
    <x v="1"/>
    <x v="0"/>
    <x v="47"/>
  </r>
  <r>
    <x v="570"/>
    <x v="167"/>
    <x v="201"/>
    <x v="0"/>
    <x v="1"/>
    <x v="0"/>
    <x v="9"/>
  </r>
  <r>
    <x v="571"/>
    <x v="167"/>
    <x v="137"/>
    <x v="7"/>
    <x v="1"/>
    <x v="0"/>
    <x v="89"/>
  </r>
  <r>
    <x v="572"/>
    <x v="167"/>
    <x v="218"/>
    <x v="15"/>
    <x v="1"/>
    <x v="0"/>
    <x v="41"/>
  </r>
  <r>
    <x v="573"/>
    <x v="168"/>
    <x v="261"/>
    <x v="0"/>
    <x v="1"/>
    <x v="0"/>
    <x v="147"/>
  </r>
  <r>
    <x v="574"/>
    <x v="168"/>
    <x v="191"/>
    <x v="4"/>
    <x v="1"/>
    <x v="0"/>
    <x v="148"/>
  </r>
  <r>
    <x v="575"/>
    <x v="168"/>
    <x v="40"/>
    <x v="0"/>
    <x v="1"/>
    <x v="0"/>
    <x v="41"/>
  </r>
  <r>
    <x v="576"/>
    <x v="168"/>
    <x v="137"/>
    <x v="7"/>
    <x v="1"/>
    <x v="0"/>
    <x v="57"/>
  </r>
  <r>
    <x v="577"/>
    <x v="168"/>
    <x v="164"/>
    <x v="12"/>
    <x v="1"/>
    <x v="0"/>
    <x v="65"/>
  </r>
  <r>
    <x v="578"/>
    <x v="168"/>
    <x v="147"/>
    <x v="0"/>
    <x v="1"/>
    <x v="0"/>
    <x v="16"/>
  </r>
  <r>
    <x v="579"/>
    <x v="169"/>
    <x v="262"/>
    <x v="8"/>
    <x v="1"/>
    <x v="2"/>
    <x v="95"/>
  </r>
  <r>
    <x v="580"/>
    <x v="169"/>
    <x v="263"/>
    <x v="8"/>
    <x v="1"/>
    <x v="2"/>
    <x v="81"/>
  </r>
  <r>
    <x v="581"/>
    <x v="169"/>
    <x v="137"/>
    <x v="7"/>
    <x v="1"/>
    <x v="0"/>
    <x v="57"/>
  </r>
  <r>
    <x v="582"/>
    <x v="169"/>
    <x v="174"/>
    <x v="4"/>
    <x v="1"/>
    <x v="0"/>
    <x v="69"/>
  </r>
  <r>
    <x v="583"/>
    <x v="170"/>
    <x v="191"/>
    <x v="4"/>
    <x v="1"/>
    <x v="0"/>
    <x v="149"/>
  </r>
  <r>
    <x v="584"/>
    <x v="171"/>
    <x v="164"/>
    <x v="12"/>
    <x v="1"/>
    <x v="0"/>
    <x v="150"/>
  </r>
  <r>
    <x v="585"/>
    <x v="171"/>
    <x v="40"/>
    <x v="0"/>
    <x v="1"/>
    <x v="0"/>
    <x v="2"/>
  </r>
  <r>
    <x v="586"/>
    <x v="172"/>
    <x v="203"/>
    <x v="10"/>
    <x v="1"/>
    <x v="0"/>
    <x v="45"/>
  </r>
  <r>
    <x v="587"/>
    <x v="172"/>
    <x v="174"/>
    <x v="4"/>
    <x v="1"/>
    <x v="0"/>
    <x v="34"/>
  </r>
  <r>
    <x v="588"/>
    <x v="172"/>
    <x v="264"/>
    <x v="6"/>
    <x v="1"/>
    <x v="0"/>
    <x v="10"/>
  </r>
  <r>
    <x v="589"/>
    <x v="172"/>
    <x v="265"/>
    <x v="8"/>
    <x v="1"/>
    <x v="2"/>
    <x v="76"/>
  </r>
  <r>
    <x v="590"/>
    <x v="172"/>
    <x v="266"/>
    <x v="0"/>
    <x v="1"/>
    <x v="0"/>
    <x v="97"/>
  </r>
  <r>
    <x v="591"/>
    <x v="172"/>
    <x v="267"/>
    <x v="0"/>
    <x v="1"/>
    <x v="0"/>
    <x v="97"/>
  </r>
  <r>
    <x v="592"/>
    <x v="172"/>
    <x v="268"/>
    <x v="0"/>
    <x v="1"/>
    <x v="0"/>
    <x v="97"/>
  </r>
  <r>
    <x v="593"/>
    <x v="172"/>
    <x v="269"/>
    <x v="0"/>
    <x v="1"/>
    <x v="0"/>
    <x v="13"/>
  </r>
  <r>
    <x v="594"/>
    <x v="172"/>
    <x v="164"/>
    <x v="12"/>
    <x v="1"/>
    <x v="0"/>
    <x v="65"/>
  </r>
  <r>
    <x v="595"/>
    <x v="173"/>
    <x v="270"/>
    <x v="0"/>
    <x v="1"/>
    <x v="0"/>
    <x v="151"/>
  </r>
  <r>
    <x v="596"/>
    <x v="173"/>
    <x v="271"/>
    <x v="0"/>
    <x v="1"/>
    <x v="0"/>
    <x v="75"/>
  </r>
  <r>
    <x v="597"/>
    <x v="173"/>
    <x v="21"/>
    <x v="2"/>
    <x v="1"/>
    <x v="0"/>
    <x v="152"/>
  </r>
  <r>
    <x v="598"/>
    <x v="173"/>
    <x v="123"/>
    <x v="2"/>
    <x v="1"/>
    <x v="0"/>
    <x v="40"/>
  </r>
  <r>
    <x v="599"/>
    <x v="173"/>
    <x v="272"/>
    <x v="9"/>
    <x v="1"/>
    <x v="0"/>
    <x v="4"/>
  </r>
  <r>
    <x v="600"/>
    <x v="173"/>
    <x v="273"/>
    <x v="8"/>
    <x v="1"/>
    <x v="2"/>
    <x v="95"/>
  </r>
  <r>
    <x v="601"/>
    <x v="173"/>
    <x v="274"/>
    <x v="8"/>
    <x v="1"/>
    <x v="2"/>
    <x v="36"/>
  </r>
  <r>
    <x v="602"/>
    <x v="174"/>
    <x v="137"/>
    <x v="7"/>
    <x v="1"/>
    <x v="0"/>
    <x v="34"/>
  </r>
  <r>
    <x v="603"/>
    <x v="174"/>
    <x v="275"/>
    <x v="0"/>
    <x v="1"/>
    <x v="0"/>
    <x v="153"/>
  </r>
  <r>
    <x v="604"/>
    <x v="174"/>
    <x v="276"/>
    <x v="1"/>
    <x v="1"/>
    <x v="0"/>
    <x v="83"/>
  </r>
  <r>
    <x v="605"/>
    <x v="174"/>
    <x v="277"/>
    <x v="0"/>
    <x v="1"/>
    <x v="0"/>
    <x v="2"/>
  </r>
  <r>
    <x v="606"/>
    <x v="175"/>
    <x v="191"/>
    <x v="4"/>
    <x v="1"/>
    <x v="0"/>
    <x v="24"/>
  </r>
  <r>
    <x v="607"/>
    <x v="175"/>
    <x v="164"/>
    <x v="12"/>
    <x v="1"/>
    <x v="0"/>
    <x v="69"/>
  </r>
  <r>
    <x v="608"/>
    <x v="176"/>
    <x v="191"/>
    <x v="4"/>
    <x v="1"/>
    <x v="0"/>
    <x v="154"/>
  </r>
  <r>
    <x v="609"/>
    <x v="176"/>
    <x v="164"/>
    <x v="12"/>
    <x v="1"/>
    <x v="0"/>
    <x v="34"/>
  </r>
  <r>
    <x v="610"/>
    <x v="176"/>
    <x v="278"/>
    <x v="0"/>
    <x v="1"/>
    <x v="0"/>
    <x v="39"/>
  </r>
  <r>
    <x v="611"/>
    <x v="177"/>
    <x v="174"/>
    <x v="4"/>
    <x v="1"/>
    <x v="0"/>
    <x v="45"/>
  </r>
  <r>
    <x v="612"/>
    <x v="177"/>
    <x v="186"/>
    <x v="13"/>
    <x v="1"/>
    <x v="0"/>
    <x v="103"/>
  </r>
  <r>
    <x v="613"/>
    <x v="178"/>
    <x v="164"/>
    <x v="12"/>
    <x v="1"/>
    <x v="0"/>
    <x v="51"/>
  </r>
  <r>
    <x v="614"/>
    <x v="178"/>
    <x v="278"/>
    <x v="0"/>
    <x v="1"/>
    <x v="0"/>
    <x v="89"/>
  </r>
  <r>
    <x v="615"/>
    <x v="179"/>
    <x v="164"/>
    <x v="12"/>
    <x v="1"/>
    <x v="0"/>
    <x v="65"/>
  </r>
  <r>
    <x v="616"/>
    <x v="179"/>
    <x v="191"/>
    <x v="4"/>
    <x v="1"/>
    <x v="0"/>
    <x v="155"/>
  </r>
  <r>
    <x v="617"/>
    <x v="179"/>
    <x v="123"/>
    <x v="2"/>
    <x v="1"/>
    <x v="0"/>
    <x v="47"/>
  </r>
  <r>
    <x v="618"/>
    <x v="180"/>
    <x v="191"/>
    <x v="4"/>
    <x v="1"/>
    <x v="0"/>
    <x v="156"/>
  </r>
  <r>
    <x v="619"/>
    <x v="180"/>
    <x v="186"/>
    <x v="13"/>
    <x v="1"/>
    <x v="0"/>
    <x v="103"/>
  </r>
  <r>
    <x v="620"/>
    <x v="180"/>
    <x v="123"/>
    <x v="2"/>
    <x v="1"/>
    <x v="0"/>
    <x v="47"/>
  </r>
  <r>
    <x v="621"/>
    <x v="180"/>
    <x v="174"/>
    <x v="4"/>
    <x v="1"/>
    <x v="0"/>
    <x v="57"/>
  </r>
  <r>
    <x v="622"/>
    <x v="181"/>
    <x v="279"/>
    <x v="8"/>
    <x v="1"/>
    <x v="2"/>
    <x v="95"/>
  </r>
  <r>
    <x v="623"/>
    <x v="181"/>
    <x v="164"/>
    <x v="12"/>
    <x v="1"/>
    <x v="0"/>
    <x v="146"/>
  </r>
  <r>
    <x v="624"/>
    <x v="181"/>
    <x v="174"/>
    <x v="4"/>
    <x v="1"/>
    <x v="0"/>
    <x v="51"/>
  </r>
  <r>
    <x v="625"/>
    <x v="181"/>
    <x v="123"/>
    <x v="2"/>
    <x v="1"/>
    <x v="0"/>
    <x v="47"/>
  </r>
  <r>
    <x v="626"/>
    <x v="182"/>
    <x v="191"/>
    <x v="4"/>
    <x v="1"/>
    <x v="0"/>
    <x v="123"/>
  </r>
  <r>
    <x v="627"/>
    <x v="182"/>
    <x v="243"/>
    <x v="2"/>
    <x v="1"/>
    <x v="0"/>
    <x v="40"/>
  </r>
  <r>
    <x v="628"/>
    <x v="182"/>
    <x v="137"/>
    <x v="7"/>
    <x v="1"/>
    <x v="0"/>
    <x v="57"/>
  </r>
  <r>
    <x v="629"/>
    <x v="183"/>
    <x v="280"/>
    <x v="8"/>
    <x v="1"/>
    <x v="2"/>
    <x v="28"/>
  </r>
  <r>
    <x v="630"/>
    <x v="183"/>
    <x v="281"/>
    <x v="8"/>
    <x v="1"/>
    <x v="2"/>
    <x v="28"/>
  </r>
  <r>
    <x v="631"/>
    <x v="184"/>
    <x v="191"/>
    <x v="4"/>
    <x v="1"/>
    <x v="0"/>
    <x v="157"/>
  </r>
  <r>
    <x v="632"/>
    <x v="184"/>
    <x v="123"/>
    <x v="2"/>
    <x v="1"/>
    <x v="0"/>
    <x v="40"/>
  </r>
  <r>
    <x v="633"/>
    <x v="184"/>
    <x v="278"/>
    <x v="0"/>
    <x v="1"/>
    <x v="0"/>
    <x v="89"/>
  </r>
  <r>
    <x v="634"/>
    <x v="184"/>
    <x v="164"/>
    <x v="12"/>
    <x v="1"/>
    <x v="0"/>
    <x v="57"/>
  </r>
  <r>
    <x v="635"/>
    <x v="185"/>
    <x v="164"/>
    <x v="12"/>
    <x v="1"/>
    <x v="0"/>
    <x v="51"/>
  </r>
  <r>
    <x v="636"/>
    <x v="186"/>
    <x v="174"/>
    <x v="4"/>
    <x v="1"/>
    <x v="0"/>
    <x v="65"/>
  </r>
  <r>
    <x v="637"/>
    <x v="186"/>
    <x v="164"/>
    <x v="12"/>
    <x v="1"/>
    <x v="0"/>
    <x v="37"/>
  </r>
  <r>
    <x v="638"/>
    <x v="186"/>
    <x v="278"/>
    <x v="0"/>
    <x v="1"/>
    <x v="0"/>
    <x v="39"/>
  </r>
  <r>
    <x v="639"/>
    <x v="187"/>
    <x v="137"/>
    <x v="7"/>
    <x v="1"/>
    <x v="0"/>
    <x v="65"/>
  </r>
  <r>
    <x v="640"/>
    <x v="187"/>
    <x v="256"/>
    <x v="2"/>
    <x v="1"/>
    <x v="0"/>
    <x v="40"/>
  </r>
  <r>
    <x v="641"/>
    <x v="187"/>
    <x v="123"/>
    <x v="2"/>
    <x v="1"/>
    <x v="0"/>
    <x v="47"/>
  </r>
  <r>
    <x v="642"/>
    <x v="187"/>
    <x v="218"/>
    <x v="15"/>
    <x v="1"/>
    <x v="0"/>
    <x v="41"/>
  </r>
  <r>
    <x v="643"/>
    <x v="188"/>
    <x v="137"/>
    <x v="7"/>
    <x v="1"/>
    <x v="0"/>
    <x v="65"/>
  </r>
  <r>
    <x v="644"/>
    <x v="188"/>
    <x v="164"/>
    <x v="12"/>
    <x v="1"/>
    <x v="0"/>
    <x v="51"/>
  </r>
  <r>
    <x v="645"/>
    <x v="188"/>
    <x v="278"/>
    <x v="0"/>
    <x v="1"/>
    <x v="0"/>
    <x v="2"/>
  </r>
  <r>
    <x v="646"/>
    <x v="189"/>
    <x v="282"/>
    <x v="9"/>
    <x v="1"/>
    <x v="0"/>
    <x v="158"/>
  </r>
  <r>
    <x v="647"/>
    <x v="189"/>
    <x v="283"/>
    <x v="0"/>
    <x v="1"/>
    <x v="0"/>
    <x v="159"/>
  </r>
  <r>
    <x v="648"/>
    <x v="189"/>
    <x v="284"/>
    <x v="0"/>
    <x v="1"/>
    <x v="0"/>
    <x v="160"/>
  </r>
  <r>
    <x v="649"/>
    <x v="190"/>
    <x v="164"/>
    <x v="12"/>
    <x v="1"/>
    <x v="0"/>
    <x v="51"/>
  </r>
  <r>
    <x v="650"/>
    <x v="190"/>
    <x v="123"/>
    <x v="2"/>
    <x v="1"/>
    <x v="0"/>
    <x v="47"/>
  </r>
  <r>
    <x v="651"/>
    <x v="190"/>
    <x v="279"/>
    <x v="8"/>
    <x v="1"/>
    <x v="2"/>
    <x v="76"/>
  </r>
  <r>
    <x v="652"/>
    <x v="190"/>
    <x v="137"/>
    <x v="7"/>
    <x v="1"/>
    <x v="0"/>
    <x v="65"/>
  </r>
  <r>
    <x v="653"/>
    <x v="190"/>
    <x v="174"/>
    <x v="4"/>
    <x v="1"/>
    <x v="0"/>
    <x v="57"/>
  </r>
  <r>
    <x v="654"/>
    <x v="190"/>
    <x v="285"/>
    <x v="1"/>
    <x v="1"/>
    <x v="0"/>
    <x v="83"/>
  </r>
  <r>
    <x v="655"/>
    <x v="191"/>
    <x v="203"/>
    <x v="10"/>
    <x v="1"/>
    <x v="0"/>
    <x v="65"/>
  </r>
  <r>
    <x v="656"/>
    <x v="192"/>
    <x v="164"/>
    <x v="12"/>
    <x v="1"/>
    <x v="0"/>
    <x v="65"/>
  </r>
  <r>
    <x v="657"/>
    <x v="192"/>
    <x v="286"/>
    <x v="2"/>
    <x v="1"/>
    <x v="0"/>
    <x v="134"/>
  </r>
  <r>
    <x v="658"/>
    <x v="192"/>
    <x v="137"/>
    <x v="7"/>
    <x v="1"/>
    <x v="0"/>
    <x v="89"/>
  </r>
  <r>
    <x v="659"/>
    <x v="193"/>
    <x v="253"/>
    <x v="2"/>
    <x v="1"/>
    <x v="0"/>
    <x v="124"/>
  </r>
  <r>
    <x v="660"/>
    <x v="193"/>
    <x v="164"/>
    <x v="12"/>
    <x v="1"/>
    <x v="0"/>
    <x v="51"/>
  </r>
  <r>
    <x v="661"/>
    <x v="193"/>
    <x v="174"/>
    <x v="4"/>
    <x v="1"/>
    <x v="0"/>
    <x v="57"/>
  </r>
  <r>
    <x v="662"/>
    <x v="193"/>
    <x v="123"/>
    <x v="2"/>
    <x v="1"/>
    <x v="0"/>
    <x v="16"/>
  </r>
  <r>
    <x v="663"/>
    <x v="193"/>
    <x v="287"/>
    <x v="8"/>
    <x v="0"/>
    <x v="2"/>
    <x v="36"/>
  </r>
  <r>
    <x v="664"/>
    <x v="194"/>
    <x v="288"/>
    <x v="8"/>
    <x v="1"/>
    <x v="2"/>
    <x v="95"/>
  </r>
  <r>
    <x v="665"/>
    <x v="194"/>
    <x v="25"/>
    <x v="2"/>
    <x v="1"/>
    <x v="0"/>
    <x v="40"/>
  </r>
  <r>
    <x v="666"/>
    <x v="194"/>
    <x v="289"/>
    <x v="6"/>
    <x v="1"/>
    <x v="0"/>
    <x v="161"/>
  </r>
  <r>
    <x v="667"/>
    <x v="194"/>
    <x v="174"/>
    <x v="4"/>
    <x v="1"/>
    <x v="0"/>
    <x v="34"/>
  </r>
  <r>
    <x v="668"/>
    <x v="194"/>
    <x v="164"/>
    <x v="12"/>
    <x v="1"/>
    <x v="0"/>
    <x v="34"/>
  </r>
  <r>
    <x v="669"/>
    <x v="194"/>
    <x v="38"/>
    <x v="0"/>
    <x v="1"/>
    <x v="0"/>
    <x v="97"/>
  </r>
  <r>
    <x v="670"/>
    <x v="194"/>
    <x v="231"/>
    <x v="0"/>
    <x v="1"/>
    <x v="0"/>
    <x v="97"/>
  </r>
  <r>
    <x v="671"/>
    <x v="194"/>
    <x v="290"/>
    <x v="9"/>
    <x v="1"/>
    <x v="0"/>
    <x v="65"/>
  </r>
  <r>
    <x v="672"/>
    <x v="194"/>
    <x v="278"/>
    <x v="0"/>
    <x v="1"/>
    <x v="0"/>
    <x v="89"/>
  </r>
  <r>
    <x v="673"/>
    <x v="194"/>
    <x v="291"/>
    <x v="0"/>
    <x v="1"/>
    <x v="0"/>
    <x v="13"/>
  </r>
  <r>
    <x v="674"/>
    <x v="195"/>
    <x v="291"/>
    <x v="0"/>
    <x v="1"/>
    <x v="0"/>
    <x v="39"/>
  </r>
  <r>
    <x v="675"/>
    <x v="195"/>
    <x v="132"/>
    <x v="2"/>
    <x v="1"/>
    <x v="0"/>
    <x v="46"/>
  </r>
  <r>
    <x v="676"/>
    <x v="195"/>
    <x v="292"/>
    <x v="7"/>
    <x v="1"/>
    <x v="0"/>
    <x v="34"/>
  </r>
  <r>
    <x v="677"/>
    <x v="195"/>
    <x v="123"/>
    <x v="2"/>
    <x v="1"/>
    <x v="0"/>
    <x v="47"/>
  </r>
  <r>
    <x v="678"/>
    <x v="196"/>
    <x v="123"/>
    <x v="2"/>
    <x v="1"/>
    <x v="0"/>
    <x v="47"/>
  </r>
  <r>
    <x v="679"/>
    <x v="196"/>
    <x v="291"/>
    <x v="0"/>
    <x v="1"/>
    <x v="0"/>
    <x v="39"/>
  </r>
  <r>
    <x v="680"/>
    <x v="197"/>
    <x v="123"/>
    <x v="2"/>
    <x v="1"/>
    <x v="0"/>
    <x v="47"/>
  </r>
  <r>
    <x v="681"/>
    <x v="197"/>
    <x v="265"/>
    <x v="8"/>
    <x v="1"/>
    <x v="2"/>
    <x v="78"/>
  </r>
  <r>
    <x v="682"/>
    <x v="197"/>
    <x v="164"/>
    <x v="12"/>
    <x v="1"/>
    <x v="0"/>
    <x v="162"/>
  </r>
  <r>
    <x v="683"/>
    <x v="197"/>
    <x v="174"/>
    <x v="4"/>
    <x v="1"/>
    <x v="0"/>
    <x v="34"/>
  </r>
  <r>
    <x v="684"/>
    <x v="197"/>
    <x v="291"/>
    <x v="0"/>
    <x v="1"/>
    <x v="0"/>
    <x v="9"/>
  </r>
  <r>
    <x v="685"/>
    <x v="198"/>
    <x v="293"/>
    <x v="9"/>
    <x v="1"/>
    <x v="0"/>
    <x v="5"/>
  </r>
  <r>
    <x v="686"/>
    <x v="199"/>
    <x v="278"/>
    <x v="0"/>
    <x v="1"/>
    <x v="0"/>
    <x v="2"/>
  </r>
  <r>
    <x v="687"/>
    <x v="199"/>
    <x v="123"/>
    <x v="2"/>
    <x v="1"/>
    <x v="0"/>
    <x v="47"/>
  </r>
  <r>
    <x v="688"/>
    <x v="199"/>
    <x v="164"/>
    <x v="12"/>
    <x v="1"/>
    <x v="0"/>
    <x v="57"/>
  </r>
  <r>
    <x v="689"/>
    <x v="200"/>
    <x v="164"/>
    <x v="12"/>
    <x v="1"/>
    <x v="0"/>
    <x v="57"/>
  </r>
  <r>
    <x v="690"/>
    <x v="201"/>
    <x v="291"/>
    <x v="0"/>
    <x v="1"/>
    <x v="0"/>
    <x v="94"/>
  </r>
  <r>
    <x v="691"/>
    <x v="201"/>
    <x v="123"/>
    <x v="2"/>
    <x v="1"/>
    <x v="0"/>
    <x v="47"/>
  </r>
  <r>
    <x v="692"/>
    <x v="202"/>
    <x v="123"/>
    <x v="2"/>
    <x v="1"/>
    <x v="0"/>
    <x v="47"/>
  </r>
  <r>
    <x v="693"/>
    <x v="202"/>
    <x v="294"/>
    <x v="9"/>
    <x v="1"/>
    <x v="0"/>
    <x v="163"/>
  </r>
  <r>
    <x v="694"/>
    <x v="202"/>
    <x v="164"/>
    <x v="12"/>
    <x v="1"/>
    <x v="0"/>
    <x v="41"/>
  </r>
  <r>
    <x v="695"/>
    <x v="202"/>
    <x v="295"/>
    <x v="12"/>
    <x v="1"/>
    <x v="0"/>
    <x v="34"/>
  </r>
  <r>
    <x v="696"/>
    <x v="202"/>
    <x v="265"/>
    <x v="8"/>
    <x v="1"/>
    <x v="2"/>
    <x v="76"/>
  </r>
  <r>
    <x v="697"/>
    <x v="202"/>
    <x v="164"/>
    <x v="12"/>
    <x v="1"/>
    <x v="0"/>
    <x v="5"/>
  </r>
  <r>
    <x v="698"/>
    <x v="203"/>
    <x v="265"/>
    <x v="8"/>
    <x v="1"/>
    <x v="2"/>
    <x v="164"/>
  </r>
  <r>
    <x v="699"/>
    <x v="203"/>
    <x v="174"/>
    <x v="4"/>
    <x v="1"/>
    <x v="0"/>
    <x v="34"/>
  </r>
  <r>
    <x v="700"/>
    <x v="203"/>
    <x v="278"/>
    <x v="0"/>
    <x v="1"/>
    <x v="0"/>
    <x v="2"/>
  </r>
  <r>
    <x v="701"/>
    <x v="203"/>
    <x v="291"/>
    <x v="0"/>
    <x v="1"/>
    <x v="0"/>
    <x v="39"/>
  </r>
  <r>
    <x v="702"/>
    <x v="203"/>
    <x v="123"/>
    <x v="2"/>
    <x v="1"/>
    <x v="0"/>
    <x v="47"/>
  </r>
  <r>
    <x v="703"/>
    <x v="203"/>
    <x v="203"/>
    <x v="10"/>
    <x v="1"/>
    <x v="0"/>
    <x v="65"/>
  </r>
  <r>
    <x v="704"/>
    <x v="203"/>
    <x v="191"/>
    <x v="4"/>
    <x v="1"/>
    <x v="0"/>
    <x v="2"/>
  </r>
  <r>
    <x v="705"/>
    <x v="203"/>
    <x v="296"/>
    <x v="2"/>
    <x v="1"/>
    <x v="0"/>
    <x v="165"/>
  </r>
  <r>
    <x v="706"/>
    <x v="203"/>
    <x v="123"/>
    <x v="2"/>
    <x v="1"/>
    <x v="0"/>
    <x v="47"/>
  </r>
  <r>
    <x v="707"/>
    <x v="203"/>
    <x v="123"/>
    <x v="2"/>
    <x v="1"/>
    <x v="0"/>
    <x v="47"/>
  </r>
  <r>
    <x v="708"/>
    <x v="204"/>
    <x v="278"/>
    <x v="0"/>
    <x v="1"/>
    <x v="0"/>
    <x v="39"/>
  </r>
  <r>
    <x v="709"/>
    <x v="204"/>
    <x v="297"/>
    <x v="0"/>
    <x v="1"/>
    <x v="0"/>
    <x v="79"/>
  </r>
  <r>
    <x v="710"/>
    <x v="204"/>
    <x v="298"/>
    <x v="0"/>
    <x v="1"/>
    <x v="0"/>
    <x v="9"/>
  </r>
  <r>
    <x v="711"/>
    <x v="204"/>
    <x v="299"/>
    <x v="0"/>
    <x v="1"/>
    <x v="0"/>
    <x v="166"/>
  </r>
  <r>
    <x v="712"/>
    <x v="204"/>
    <x v="278"/>
    <x v="0"/>
    <x v="1"/>
    <x v="0"/>
    <x v="16"/>
  </r>
  <r>
    <x v="713"/>
    <x v="204"/>
    <x v="123"/>
    <x v="2"/>
    <x v="1"/>
    <x v="0"/>
    <x v="47"/>
  </r>
  <r>
    <x v="714"/>
    <x v="205"/>
    <x v="123"/>
    <x v="2"/>
    <x v="1"/>
    <x v="0"/>
    <x v="47"/>
  </r>
  <r>
    <x v="715"/>
    <x v="206"/>
    <x v="253"/>
    <x v="2"/>
    <x v="1"/>
    <x v="0"/>
    <x v="124"/>
  </r>
  <r>
    <x v="716"/>
    <x v="206"/>
    <x v="123"/>
    <x v="2"/>
    <x v="1"/>
    <x v="0"/>
    <x v="47"/>
  </r>
  <r>
    <x v="717"/>
    <x v="206"/>
    <x v="300"/>
    <x v="0"/>
    <x v="1"/>
    <x v="0"/>
    <x v="167"/>
  </r>
  <r>
    <x v="718"/>
    <x v="206"/>
    <x v="301"/>
    <x v="0"/>
    <x v="1"/>
    <x v="0"/>
    <x v="168"/>
  </r>
  <r>
    <x v="719"/>
    <x v="206"/>
    <x v="302"/>
    <x v="0"/>
    <x v="1"/>
    <x v="0"/>
    <x v="169"/>
  </r>
  <r>
    <x v="720"/>
    <x v="207"/>
    <x v="123"/>
    <x v="2"/>
    <x v="1"/>
    <x v="0"/>
    <x v="47"/>
  </r>
  <r>
    <x v="721"/>
    <x v="208"/>
    <x v="123"/>
    <x v="2"/>
    <x v="1"/>
    <x v="0"/>
    <x v="47"/>
  </r>
  <r>
    <x v="722"/>
    <x v="208"/>
    <x v="265"/>
    <x v="8"/>
    <x v="1"/>
    <x v="2"/>
    <x v="76"/>
  </r>
  <r>
    <x v="723"/>
    <x v="208"/>
    <x v="303"/>
    <x v="1"/>
    <x v="1"/>
    <x v="0"/>
    <x v="83"/>
  </r>
  <r>
    <x v="724"/>
    <x v="209"/>
    <x v="304"/>
    <x v="2"/>
    <x v="1"/>
    <x v="0"/>
    <x v="74"/>
  </r>
  <r>
    <x v="725"/>
    <x v="209"/>
    <x v="164"/>
    <x v="12"/>
    <x v="1"/>
    <x v="0"/>
    <x v="52"/>
  </r>
  <r>
    <x v="726"/>
    <x v="210"/>
    <x v="203"/>
    <x v="10"/>
    <x v="1"/>
    <x v="0"/>
    <x v="45"/>
  </r>
  <r>
    <x v="727"/>
    <x v="211"/>
    <x v="305"/>
    <x v="0"/>
    <x v="1"/>
    <x v="0"/>
    <x v="39"/>
  </r>
  <r>
    <x v="728"/>
    <x v="211"/>
    <x v="306"/>
    <x v="0"/>
    <x v="1"/>
    <x v="0"/>
    <x v="39"/>
  </r>
  <r>
    <x v="729"/>
    <x v="211"/>
    <x v="307"/>
    <x v="8"/>
    <x v="1"/>
    <x v="2"/>
    <x v="170"/>
  </r>
  <r>
    <x v="730"/>
    <x v="211"/>
    <x v="308"/>
    <x v="12"/>
    <x v="1"/>
    <x v="0"/>
    <x v="30"/>
  </r>
  <r>
    <x v="731"/>
    <x v="211"/>
    <x v="137"/>
    <x v="7"/>
    <x v="1"/>
    <x v="0"/>
    <x v="57"/>
  </r>
  <r>
    <x v="732"/>
    <x v="211"/>
    <x v="203"/>
    <x v="10"/>
    <x v="1"/>
    <x v="0"/>
    <x v="41"/>
  </r>
  <r>
    <x v="733"/>
    <x v="211"/>
    <x v="218"/>
    <x v="15"/>
    <x v="1"/>
    <x v="0"/>
    <x v="57"/>
  </r>
  <r>
    <x v="734"/>
    <x v="211"/>
    <x v="305"/>
    <x v="0"/>
    <x v="1"/>
    <x v="0"/>
    <x v="2"/>
  </r>
  <r>
    <x v="735"/>
    <x v="211"/>
    <x v="306"/>
    <x v="0"/>
    <x v="1"/>
    <x v="0"/>
    <x v="39"/>
  </r>
  <r>
    <x v="736"/>
    <x v="211"/>
    <x v="253"/>
    <x v="2"/>
    <x v="1"/>
    <x v="0"/>
    <x v="124"/>
  </r>
  <r>
    <x v="737"/>
    <x v="211"/>
    <x v="174"/>
    <x v="4"/>
    <x v="1"/>
    <x v="0"/>
    <x v="171"/>
  </r>
  <r>
    <x v="738"/>
    <x v="212"/>
    <x v="218"/>
    <x v="15"/>
    <x v="1"/>
    <x v="0"/>
    <x v="13"/>
  </r>
  <r>
    <x v="739"/>
    <x v="213"/>
    <x v="305"/>
    <x v="0"/>
    <x v="1"/>
    <x v="0"/>
    <x v="39"/>
  </r>
  <r>
    <x v="740"/>
    <x v="213"/>
    <x v="306"/>
    <x v="0"/>
    <x v="1"/>
    <x v="0"/>
    <x v="39"/>
  </r>
  <r>
    <x v="741"/>
    <x v="213"/>
    <x v="222"/>
    <x v="2"/>
    <x v="1"/>
    <x v="0"/>
    <x v="23"/>
  </r>
  <r>
    <x v="742"/>
    <x v="213"/>
    <x v="306"/>
    <x v="0"/>
    <x v="1"/>
    <x v="0"/>
    <x v="39"/>
  </r>
  <r>
    <x v="743"/>
    <x v="214"/>
    <x v="265"/>
    <x v="8"/>
    <x v="1"/>
    <x v="2"/>
    <x v="95"/>
  </r>
  <r>
    <x v="744"/>
    <x v="214"/>
    <x v="164"/>
    <x v="12"/>
    <x v="1"/>
    <x v="0"/>
    <x v="5"/>
  </r>
  <r>
    <x v="745"/>
    <x v="214"/>
    <x v="218"/>
    <x v="15"/>
    <x v="1"/>
    <x v="0"/>
    <x v="45"/>
  </r>
  <r>
    <x v="746"/>
    <x v="214"/>
    <x v="203"/>
    <x v="10"/>
    <x v="1"/>
    <x v="0"/>
    <x v="52"/>
  </r>
  <r>
    <x v="747"/>
    <x v="215"/>
    <x v="164"/>
    <x v="12"/>
    <x v="1"/>
    <x v="0"/>
    <x v="41"/>
  </r>
  <r>
    <x v="748"/>
    <x v="215"/>
    <x v="305"/>
    <x v="0"/>
    <x v="1"/>
    <x v="0"/>
    <x v="2"/>
  </r>
  <r>
    <x v="749"/>
    <x v="215"/>
    <x v="309"/>
    <x v="0"/>
    <x v="1"/>
    <x v="0"/>
    <x v="172"/>
  </r>
  <r>
    <x v="750"/>
    <x v="215"/>
    <x v="310"/>
    <x v="2"/>
    <x v="1"/>
    <x v="0"/>
    <x v="110"/>
  </r>
  <r>
    <x v="751"/>
    <x v="215"/>
    <x v="311"/>
    <x v="4"/>
    <x v="1"/>
    <x v="0"/>
    <x v="87"/>
  </r>
  <r>
    <x v="752"/>
    <x v="216"/>
    <x v="123"/>
    <x v="2"/>
    <x v="1"/>
    <x v="0"/>
    <x v="40"/>
  </r>
  <r>
    <x v="753"/>
    <x v="216"/>
    <x v="305"/>
    <x v="0"/>
    <x v="1"/>
    <x v="0"/>
    <x v="2"/>
  </r>
  <r>
    <x v="754"/>
    <x v="216"/>
    <x v="265"/>
    <x v="8"/>
    <x v="1"/>
    <x v="2"/>
    <x v="78"/>
  </r>
  <r>
    <x v="755"/>
    <x v="216"/>
    <x v="164"/>
    <x v="12"/>
    <x v="1"/>
    <x v="0"/>
    <x v="30"/>
  </r>
  <r>
    <x v="756"/>
    <x v="216"/>
    <x v="312"/>
    <x v="3"/>
    <x v="0"/>
    <x v="1"/>
    <x v="173"/>
  </r>
  <r>
    <x v="757"/>
    <x v="216"/>
    <x v="313"/>
    <x v="0"/>
    <x v="1"/>
    <x v="0"/>
    <x v="2"/>
  </r>
  <r>
    <x v="758"/>
    <x v="217"/>
    <x v="314"/>
    <x v="12"/>
    <x v="1"/>
    <x v="0"/>
    <x v="174"/>
  </r>
  <r>
    <x v="759"/>
    <x v="217"/>
    <x v="313"/>
    <x v="0"/>
    <x v="1"/>
    <x v="0"/>
    <x v="89"/>
  </r>
  <r>
    <x v="760"/>
    <x v="217"/>
    <x v="305"/>
    <x v="0"/>
    <x v="1"/>
    <x v="0"/>
    <x v="2"/>
  </r>
  <r>
    <x v="761"/>
    <x v="217"/>
    <x v="123"/>
    <x v="2"/>
    <x v="1"/>
    <x v="0"/>
    <x v="40"/>
  </r>
  <r>
    <x v="762"/>
    <x v="218"/>
    <x v="315"/>
    <x v="8"/>
    <x v="1"/>
    <x v="2"/>
    <x v="76"/>
  </r>
  <r>
    <x v="763"/>
    <x v="218"/>
    <x v="218"/>
    <x v="15"/>
    <x v="1"/>
    <x v="0"/>
    <x v="34"/>
  </r>
  <r>
    <x v="764"/>
    <x v="218"/>
    <x v="186"/>
    <x v="13"/>
    <x v="1"/>
    <x v="0"/>
    <x v="175"/>
  </r>
  <r>
    <x v="765"/>
    <x v="219"/>
    <x v="316"/>
    <x v="3"/>
    <x v="0"/>
    <x v="1"/>
    <x v="117"/>
  </r>
  <r>
    <x v="766"/>
    <x v="219"/>
    <x v="164"/>
    <x v="12"/>
    <x v="1"/>
    <x v="0"/>
    <x v="45"/>
  </r>
  <r>
    <x v="767"/>
    <x v="219"/>
    <x v="265"/>
    <x v="8"/>
    <x v="1"/>
    <x v="2"/>
    <x v="120"/>
  </r>
  <r>
    <x v="768"/>
    <x v="219"/>
    <x v="317"/>
    <x v="12"/>
    <x v="1"/>
    <x v="0"/>
    <x v="65"/>
  </r>
  <r>
    <x v="769"/>
    <x v="220"/>
    <x v="123"/>
    <x v="2"/>
    <x v="1"/>
    <x v="0"/>
    <x v="176"/>
  </r>
  <r>
    <x v="770"/>
    <x v="220"/>
    <x v="222"/>
    <x v="2"/>
    <x v="1"/>
    <x v="0"/>
    <x v="23"/>
  </r>
  <r>
    <x v="771"/>
    <x v="220"/>
    <x v="318"/>
    <x v="0"/>
    <x v="1"/>
    <x v="0"/>
    <x v="57"/>
  </r>
  <r>
    <x v="772"/>
    <x v="220"/>
    <x v="305"/>
    <x v="0"/>
    <x v="1"/>
    <x v="0"/>
    <x v="2"/>
  </r>
  <r>
    <x v="773"/>
    <x v="221"/>
    <x v="137"/>
    <x v="7"/>
    <x v="1"/>
    <x v="0"/>
    <x v="2"/>
  </r>
  <r>
    <x v="774"/>
    <x v="221"/>
    <x v="311"/>
    <x v="4"/>
    <x v="1"/>
    <x v="0"/>
    <x v="177"/>
  </r>
  <r>
    <x v="775"/>
    <x v="221"/>
    <x v="123"/>
    <x v="2"/>
    <x v="1"/>
    <x v="0"/>
    <x v="40"/>
  </r>
  <r>
    <x v="776"/>
    <x v="222"/>
    <x v="253"/>
    <x v="2"/>
    <x v="1"/>
    <x v="0"/>
    <x v="56"/>
  </r>
  <r>
    <x v="777"/>
    <x v="222"/>
    <x v="123"/>
    <x v="2"/>
    <x v="1"/>
    <x v="0"/>
    <x v="47"/>
  </r>
  <r>
    <x v="778"/>
    <x v="223"/>
    <x v="164"/>
    <x v="12"/>
    <x v="1"/>
    <x v="0"/>
    <x v="121"/>
  </r>
  <r>
    <x v="779"/>
    <x v="223"/>
    <x v="319"/>
    <x v="4"/>
    <x v="1"/>
    <x v="0"/>
    <x v="2"/>
  </r>
  <r>
    <x v="780"/>
    <x v="224"/>
    <x v="203"/>
    <x v="10"/>
    <x v="1"/>
    <x v="0"/>
    <x v="57"/>
  </r>
  <r>
    <x v="781"/>
    <x v="224"/>
    <x v="320"/>
    <x v="2"/>
    <x v="1"/>
    <x v="0"/>
    <x v="56"/>
  </r>
  <r>
    <x v="782"/>
    <x v="224"/>
    <x v="123"/>
    <x v="2"/>
    <x v="1"/>
    <x v="0"/>
    <x v="47"/>
  </r>
  <r>
    <x v="783"/>
    <x v="224"/>
    <x v="137"/>
    <x v="7"/>
    <x v="1"/>
    <x v="0"/>
    <x v="41"/>
  </r>
  <r>
    <x v="784"/>
    <x v="224"/>
    <x v="321"/>
    <x v="0"/>
    <x v="1"/>
    <x v="0"/>
    <x v="39"/>
  </r>
  <r>
    <x v="785"/>
    <x v="225"/>
    <x v="164"/>
    <x v="12"/>
    <x v="1"/>
    <x v="0"/>
    <x v="57"/>
  </r>
  <r>
    <x v="786"/>
    <x v="225"/>
    <x v="311"/>
    <x v="4"/>
    <x v="1"/>
    <x v="0"/>
    <x v="39"/>
  </r>
  <r>
    <x v="787"/>
    <x v="225"/>
    <x v="123"/>
    <x v="2"/>
    <x v="1"/>
    <x v="0"/>
    <x v="47"/>
  </r>
  <r>
    <x v="788"/>
    <x v="226"/>
    <x v="164"/>
    <x v="12"/>
    <x v="1"/>
    <x v="0"/>
    <x v="65"/>
  </r>
  <r>
    <x v="789"/>
    <x v="226"/>
    <x v="322"/>
    <x v="6"/>
    <x v="1"/>
    <x v="0"/>
    <x v="65"/>
  </r>
  <r>
    <x v="790"/>
    <x v="226"/>
    <x v="323"/>
    <x v="0"/>
    <x v="1"/>
    <x v="0"/>
    <x v="178"/>
  </r>
  <r>
    <x v="791"/>
    <x v="226"/>
    <x v="324"/>
    <x v="0"/>
    <x v="1"/>
    <x v="0"/>
    <x v="179"/>
  </r>
  <r>
    <x v="792"/>
    <x v="226"/>
    <x v="265"/>
    <x v="8"/>
    <x v="1"/>
    <x v="2"/>
    <x v="180"/>
  </r>
  <r>
    <x v="793"/>
    <x v="226"/>
    <x v="325"/>
    <x v="1"/>
    <x v="1"/>
    <x v="0"/>
    <x v="83"/>
  </r>
  <r>
    <x v="794"/>
    <x v="226"/>
    <x v="326"/>
    <x v="0"/>
    <x v="1"/>
    <x v="0"/>
    <x v="181"/>
  </r>
  <r>
    <x v="795"/>
    <x v="227"/>
    <x v="203"/>
    <x v="10"/>
    <x v="1"/>
    <x v="0"/>
    <x v="41"/>
  </r>
  <r>
    <x v="796"/>
    <x v="227"/>
    <x v="222"/>
    <x v="2"/>
    <x v="1"/>
    <x v="0"/>
    <x v="19"/>
  </r>
  <r>
    <x v="797"/>
    <x v="228"/>
    <x v="164"/>
    <x v="12"/>
    <x v="1"/>
    <x v="0"/>
    <x v="182"/>
  </r>
  <r>
    <x v="798"/>
    <x v="229"/>
    <x v="137"/>
    <x v="7"/>
    <x v="1"/>
    <x v="0"/>
    <x v="41"/>
  </r>
  <r>
    <x v="799"/>
    <x v="230"/>
    <x v="327"/>
    <x v="2"/>
    <x v="1"/>
    <x v="0"/>
    <x v="183"/>
  </r>
  <r>
    <x v="800"/>
    <x v="230"/>
    <x v="328"/>
    <x v="2"/>
    <x v="1"/>
    <x v="0"/>
    <x v="184"/>
  </r>
  <r>
    <x v="801"/>
    <x v="230"/>
    <x v="137"/>
    <x v="7"/>
    <x v="1"/>
    <x v="0"/>
    <x v="9"/>
  </r>
  <r>
    <x v="802"/>
    <x v="231"/>
    <x v="329"/>
    <x v="2"/>
    <x v="1"/>
    <x v="0"/>
    <x v="185"/>
  </r>
  <r>
    <x v="803"/>
    <x v="231"/>
    <x v="330"/>
    <x v="9"/>
    <x v="1"/>
    <x v="0"/>
    <x v="34"/>
  </r>
  <r>
    <x v="804"/>
    <x v="231"/>
    <x v="137"/>
    <x v="7"/>
    <x v="1"/>
    <x v="0"/>
    <x v="41"/>
  </r>
  <r>
    <x v="805"/>
    <x v="231"/>
    <x v="164"/>
    <x v="12"/>
    <x v="1"/>
    <x v="0"/>
    <x v="65"/>
  </r>
  <r>
    <x v="806"/>
    <x v="232"/>
    <x v="331"/>
    <x v="2"/>
    <x v="1"/>
    <x v="0"/>
    <x v="186"/>
  </r>
  <r>
    <x v="807"/>
    <x v="232"/>
    <x v="203"/>
    <x v="10"/>
    <x v="1"/>
    <x v="0"/>
    <x v="41"/>
  </r>
  <r>
    <x v="808"/>
    <x v="233"/>
    <x v="164"/>
    <x v="12"/>
    <x v="1"/>
    <x v="0"/>
    <x v="42"/>
  </r>
  <r>
    <x v="809"/>
    <x v="234"/>
    <x v="315"/>
    <x v="8"/>
    <x v="1"/>
    <x v="2"/>
    <x v="78"/>
  </r>
  <r>
    <x v="810"/>
    <x v="234"/>
    <x v="164"/>
    <x v="12"/>
    <x v="1"/>
    <x v="0"/>
    <x v="65"/>
  </r>
  <r>
    <x v="811"/>
    <x v="234"/>
    <x v="332"/>
    <x v="6"/>
    <x v="1"/>
    <x v="0"/>
    <x v="187"/>
  </r>
  <r>
    <x v="812"/>
    <x v="234"/>
    <x v="333"/>
    <x v="0"/>
    <x v="1"/>
    <x v="0"/>
    <x v="89"/>
  </r>
  <r>
    <x v="813"/>
    <x v="234"/>
    <x v="334"/>
    <x v="8"/>
    <x v="0"/>
    <x v="2"/>
    <x v="78"/>
  </r>
  <r>
    <x v="814"/>
    <x v="235"/>
    <x v="333"/>
    <x v="0"/>
    <x v="1"/>
    <x v="0"/>
    <x v="2"/>
  </r>
  <r>
    <x v="815"/>
    <x v="235"/>
    <x v="164"/>
    <x v="12"/>
    <x v="1"/>
    <x v="0"/>
    <x v="51"/>
  </r>
  <r>
    <x v="816"/>
    <x v="235"/>
    <x v="335"/>
    <x v="2"/>
    <x v="1"/>
    <x v="0"/>
    <x v="188"/>
  </r>
  <r>
    <x v="817"/>
    <x v="235"/>
    <x v="336"/>
    <x v="4"/>
    <x v="1"/>
    <x v="0"/>
    <x v="189"/>
  </r>
  <r>
    <x v="818"/>
    <x v="236"/>
    <x v="337"/>
    <x v="2"/>
    <x v="1"/>
    <x v="0"/>
    <x v="190"/>
  </r>
  <r>
    <x v="819"/>
    <x v="236"/>
    <x v="224"/>
    <x v="4"/>
    <x v="1"/>
    <x v="0"/>
    <x v="58"/>
  </r>
  <r>
    <x v="820"/>
    <x v="237"/>
    <x v="164"/>
    <x v="12"/>
    <x v="1"/>
    <x v="0"/>
    <x v="45"/>
  </r>
  <r>
    <x v="821"/>
    <x v="237"/>
    <x v="137"/>
    <x v="7"/>
    <x v="1"/>
    <x v="0"/>
    <x v="41"/>
  </r>
  <r>
    <x v="822"/>
    <x v="237"/>
    <x v="333"/>
    <x v="0"/>
    <x v="1"/>
    <x v="0"/>
    <x v="39"/>
  </r>
  <r>
    <x v="823"/>
    <x v="238"/>
    <x v="333"/>
    <x v="0"/>
    <x v="1"/>
    <x v="0"/>
    <x v="41"/>
  </r>
  <r>
    <x v="824"/>
    <x v="238"/>
    <x v="218"/>
    <x v="15"/>
    <x v="1"/>
    <x v="0"/>
    <x v="65"/>
  </r>
  <r>
    <x v="825"/>
    <x v="238"/>
    <x v="164"/>
    <x v="12"/>
    <x v="1"/>
    <x v="0"/>
    <x v="41"/>
  </r>
  <r>
    <x v="826"/>
    <x v="239"/>
    <x v="269"/>
    <x v="0"/>
    <x v="1"/>
    <x v="0"/>
    <x v="191"/>
  </r>
  <r>
    <x v="827"/>
    <x v="240"/>
    <x v="265"/>
    <x v="8"/>
    <x v="1"/>
    <x v="2"/>
    <x v="192"/>
  </r>
  <r>
    <x v="828"/>
    <x v="240"/>
    <x v="164"/>
    <x v="12"/>
    <x v="1"/>
    <x v="0"/>
    <x v="5"/>
  </r>
  <r>
    <x v="829"/>
    <x v="241"/>
    <x v="333"/>
    <x v="0"/>
    <x v="1"/>
    <x v="0"/>
    <x v="39"/>
  </r>
  <r>
    <x v="830"/>
    <x v="241"/>
    <x v="338"/>
    <x v="0"/>
    <x v="1"/>
    <x v="0"/>
    <x v="39"/>
  </r>
  <r>
    <x v="831"/>
    <x v="241"/>
    <x v="339"/>
    <x v="0"/>
    <x v="1"/>
    <x v="0"/>
    <x v="75"/>
  </r>
  <r>
    <x v="832"/>
    <x v="241"/>
    <x v="340"/>
    <x v="9"/>
    <x v="1"/>
    <x v="0"/>
    <x v="52"/>
  </r>
  <r>
    <x v="833"/>
    <x v="242"/>
    <x v="265"/>
    <x v="8"/>
    <x v="1"/>
    <x v="2"/>
    <x v="95"/>
  </r>
  <r>
    <x v="834"/>
    <x v="242"/>
    <x v="137"/>
    <x v="7"/>
    <x v="1"/>
    <x v="0"/>
    <x v="69"/>
  </r>
  <r>
    <x v="835"/>
    <x v="242"/>
    <x v="203"/>
    <x v="10"/>
    <x v="1"/>
    <x v="0"/>
    <x v="69"/>
  </r>
  <r>
    <x v="836"/>
    <x v="242"/>
    <x v="218"/>
    <x v="15"/>
    <x v="1"/>
    <x v="0"/>
    <x v="52"/>
  </r>
  <r>
    <x v="837"/>
    <x v="242"/>
    <x v="164"/>
    <x v="12"/>
    <x v="1"/>
    <x v="0"/>
    <x v="65"/>
  </r>
  <r>
    <x v="838"/>
    <x v="242"/>
    <x v="341"/>
    <x v="1"/>
    <x v="1"/>
    <x v="0"/>
    <x v="83"/>
  </r>
  <r>
    <x v="839"/>
    <x v="242"/>
    <x v="342"/>
    <x v="1"/>
    <x v="1"/>
    <x v="0"/>
    <x v="57"/>
  </r>
  <r>
    <x v="840"/>
    <x v="242"/>
    <x v="343"/>
    <x v="0"/>
    <x v="1"/>
    <x v="0"/>
    <x v="193"/>
  </r>
  <r>
    <x v="841"/>
    <x v="242"/>
    <x v="344"/>
    <x v="0"/>
    <x v="1"/>
    <x v="0"/>
    <x v="39"/>
  </r>
  <r>
    <x v="842"/>
    <x v="242"/>
    <x v="345"/>
    <x v="0"/>
    <x v="1"/>
    <x v="0"/>
    <x v="194"/>
  </r>
  <r>
    <x v="843"/>
    <x v="243"/>
    <x v="164"/>
    <x v="12"/>
    <x v="1"/>
    <x v="0"/>
    <x v="45"/>
  </r>
  <r>
    <x v="844"/>
    <x v="244"/>
    <x v="164"/>
    <x v="12"/>
    <x v="1"/>
    <x v="0"/>
    <x v="41"/>
  </r>
  <r>
    <x v="845"/>
    <x v="244"/>
    <x v="333"/>
    <x v="0"/>
    <x v="1"/>
    <x v="0"/>
    <x v="39"/>
  </r>
  <r>
    <x v="846"/>
    <x v="244"/>
    <x v="253"/>
    <x v="2"/>
    <x v="1"/>
    <x v="0"/>
    <x v="139"/>
  </r>
  <r>
    <x v="847"/>
    <x v="245"/>
    <x v="164"/>
    <x v="12"/>
    <x v="1"/>
    <x v="0"/>
    <x v="41"/>
  </r>
  <r>
    <x v="848"/>
    <x v="246"/>
    <x v="265"/>
    <x v="8"/>
    <x v="1"/>
    <x v="2"/>
    <x v="78"/>
  </r>
  <r>
    <x v="849"/>
    <x v="246"/>
    <x v="164"/>
    <x v="12"/>
    <x v="1"/>
    <x v="0"/>
    <x v="195"/>
  </r>
  <r>
    <x v="850"/>
    <x v="246"/>
    <x v="346"/>
    <x v="2"/>
    <x v="1"/>
    <x v="0"/>
    <x v="41"/>
  </r>
  <r>
    <x v="851"/>
    <x v="247"/>
    <x v="347"/>
    <x v="4"/>
    <x v="1"/>
    <x v="0"/>
    <x v="16"/>
  </r>
  <r>
    <x v="852"/>
    <x v="247"/>
    <x v="333"/>
    <x v="0"/>
    <x v="1"/>
    <x v="0"/>
    <x v="41"/>
  </r>
  <r>
    <x v="853"/>
    <x v="247"/>
    <x v="164"/>
    <x v="12"/>
    <x v="1"/>
    <x v="0"/>
    <x v="39"/>
  </r>
  <r>
    <x v="854"/>
    <x v="248"/>
    <x v="218"/>
    <x v="15"/>
    <x v="1"/>
    <x v="0"/>
    <x v="45"/>
  </r>
  <r>
    <x v="855"/>
    <x v="248"/>
    <x v="164"/>
    <x v="12"/>
    <x v="1"/>
    <x v="0"/>
    <x v="118"/>
  </r>
  <r>
    <x v="856"/>
    <x v="249"/>
    <x v="164"/>
    <x v="12"/>
    <x v="1"/>
    <x v="0"/>
    <x v="82"/>
  </r>
  <r>
    <x v="857"/>
    <x v="249"/>
    <x v="348"/>
    <x v="2"/>
    <x v="1"/>
    <x v="0"/>
    <x v="2"/>
  </r>
  <r>
    <x v="858"/>
    <x v="250"/>
    <x v="349"/>
    <x v="2"/>
    <x v="1"/>
    <x v="0"/>
    <x v="23"/>
  </r>
  <r>
    <x v="859"/>
    <x v="250"/>
    <x v="123"/>
    <x v="2"/>
    <x v="1"/>
    <x v="0"/>
    <x v="196"/>
  </r>
  <r>
    <x v="860"/>
    <x v="250"/>
    <x v="164"/>
    <x v="12"/>
    <x v="1"/>
    <x v="0"/>
    <x v="118"/>
  </r>
  <r>
    <x v="861"/>
    <x v="250"/>
    <x v="137"/>
    <x v="7"/>
    <x v="1"/>
    <x v="0"/>
    <x v="41"/>
  </r>
  <r>
    <x v="862"/>
    <x v="251"/>
    <x v="350"/>
    <x v="2"/>
    <x v="1"/>
    <x v="0"/>
    <x v="129"/>
  </r>
  <r>
    <x v="863"/>
    <x v="251"/>
    <x v="164"/>
    <x v="12"/>
    <x v="1"/>
    <x v="0"/>
    <x v="41"/>
  </r>
  <r>
    <x v="864"/>
    <x v="252"/>
    <x v="164"/>
    <x v="12"/>
    <x v="1"/>
    <x v="0"/>
    <x v="65"/>
  </r>
  <r>
    <x v="865"/>
    <x v="252"/>
    <x v="218"/>
    <x v="15"/>
    <x v="1"/>
    <x v="0"/>
    <x v="51"/>
  </r>
  <r>
    <x v="866"/>
    <x v="253"/>
    <x v="164"/>
    <x v="12"/>
    <x v="1"/>
    <x v="0"/>
    <x v="45"/>
  </r>
  <r>
    <x v="867"/>
    <x v="253"/>
    <x v="333"/>
    <x v="0"/>
    <x v="1"/>
    <x v="0"/>
    <x v="39"/>
  </r>
  <r>
    <x v="868"/>
    <x v="253"/>
    <x v="137"/>
    <x v="7"/>
    <x v="1"/>
    <x v="0"/>
    <x v="2"/>
  </r>
  <r>
    <x v="869"/>
    <x v="254"/>
    <x v="265"/>
    <x v="8"/>
    <x v="1"/>
    <x v="2"/>
    <x v="76"/>
  </r>
  <r>
    <x v="870"/>
    <x v="254"/>
    <x v="164"/>
    <x v="12"/>
    <x v="1"/>
    <x v="0"/>
    <x v="162"/>
  </r>
  <r>
    <x v="871"/>
    <x v="254"/>
    <x v="333"/>
    <x v="0"/>
    <x v="1"/>
    <x v="0"/>
    <x v="41"/>
  </r>
  <r>
    <x v="872"/>
    <x v="255"/>
    <x v="311"/>
    <x v="4"/>
    <x v="1"/>
    <x v="0"/>
    <x v="138"/>
  </r>
  <r>
    <x v="873"/>
    <x v="256"/>
    <x v="218"/>
    <x v="15"/>
    <x v="1"/>
    <x v="0"/>
    <x v="57"/>
  </r>
  <r>
    <x v="874"/>
    <x v="256"/>
    <x v="311"/>
    <x v="4"/>
    <x v="1"/>
    <x v="0"/>
    <x v="197"/>
  </r>
  <r>
    <x v="875"/>
    <x v="256"/>
    <x v="125"/>
    <x v="2"/>
    <x v="1"/>
    <x v="0"/>
    <x v="152"/>
  </r>
  <r>
    <x v="876"/>
    <x v="257"/>
    <x v="333"/>
    <x v="0"/>
    <x v="1"/>
    <x v="0"/>
    <x v="39"/>
  </r>
  <r>
    <x v="877"/>
    <x v="257"/>
    <x v="186"/>
    <x v="13"/>
    <x v="1"/>
    <x v="0"/>
    <x v="198"/>
  </r>
  <r>
    <x v="878"/>
    <x v="257"/>
    <x v="351"/>
    <x v="2"/>
    <x v="1"/>
    <x v="0"/>
    <x v="21"/>
  </r>
  <r>
    <x v="879"/>
    <x v="258"/>
    <x v="333"/>
    <x v="0"/>
    <x v="1"/>
    <x v="0"/>
    <x v="152"/>
  </r>
  <r>
    <x v="880"/>
    <x v="258"/>
    <x v="263"/>
    <x v="8"/>
    <x v="1"/>
    <x v="2"/>
    <x v="95"/>
  </r>
  <r>
    <x v="881"/>
    <x v="259"/>
    <x v="164"/>
    <x v="12"/>
    <x v="1"/>
    <x v="0"/>
    <x v="57"/>
  </r>
  <r>
    <x v="882"/>
    <x v="260"/>
    <x v="265"/>
    <x v="8"/>
    <x v="1"/>
    <x v="2"/>
    <x v="120"/>
  </r>
  <r>
    <x v="883"/>
    <x v="260"/>
    <x v="164"/>
    <x v="12"/>
    <x v="1"/>
    <x v="0"/>
    <x v="52"/>
  </r>
  <r>
    <x v="884"/>
    <x v="261"/>
    <x v="218"/>
    <x v="15"/>
    <x v="1"/>
    <x v="0"/>
    <x v="57"/>
  </r>
  <r>
    <x v="885"/>
    <x v="261"/>
    <x v="352"/>
    <x v="0"/>
    <x v="1"/>
    <x v="0"/>
    <x v="199"/>
  </r>
  <r>
    <x v="886"/>
    <x v="262"/>
    <x v="164"/>
    <x v="12"/>
    <x v="1"/>
    <x v="0"/>
    <x v="65"/>
  </r>
  <r>
    <x v="887"/>
    <x v="262"/>
    <x v="353"/>
    <x v="0"/>
    <x v="1"/>
    <x v="0"/>
    <x v="200"/>
  </r>
  <r>
    <x v="888"/>
    <x v="262"/>
    <x v="123"/>
    <x v="2"/>
    <x v="1"/>
    <x v="0"/>
    <x v="47"/>
  </r>
  <r>
    <x v="889"/>
    <x v="263"/>
    <x v="164"/>
    <x v="12"/>
    <x v="1"/>
    <x v="0"/>
    <x v="2"/>
  </r>
  <r>
    <x v="890"/>
    <x v="263"/>
    <x v="123"/>
    <x v="2"/>
    <x v="1"/>
    <x v="0"/>
    <x v="47"/>
  </r>
  <r>
    <x v="891"/>
    <x v="263"/>
    <x v="354"/>
    <x v="2"/>
    <x v="1"/>
    <x v="0"/>
    <x v="16"/>
  </r>
  <r>
    <x v="892"/>
    <x v="264"/>
    <x v="164"/>
    <x v="12"/>
    <x v="1"/>
    <x v="0"/>
    <x v="41"/>
  </r>
  <r>
    <x v="893"/>
    <x v="264"/>
    <x v="355"/>
    <x v="0"/>
    <x v="1"/>
    <x v="0"/>
    <x v="8"/>
  </r>
  <r>
    <x v="894"/>
    <x v="264"/>
    <x v="356"/>
    <x v="2"/>
    <x v="1"/>
    <x v="0"/>
    <x v="13"/>
  </r>
  <r>
    <x v="895"/>
    <x v="264"/>
    <x v="218"/>
    <x v="15"/>
    <x v="1"/>
    <x v="0"/>
    <x v="65"/>
  </r>
  <r>
    <x v="896"/>
    <x v="265"/>
    <x v="357"/>
    <x v="12"/>
    <x v="1"/>
    <x v="0"/>
    <x v="121"/>
  </r>
  <r>
    <x v="897"/>
    <x v="266"/>
    <x v="164"/>
    <x v="12"/>
    <x v="1"/>
    <x v="0"/>
    <x v="118"/>
  </r>
  <r>
    <x v="898"/>
    <x v="266"/>
    <x v="355"/>
    <x v="0"/>
    <x v="1"/>
    <x v="0"/>
    <x v="8"/>
  </r>
  <r>
    <x v="899"/>
    <x v="266"/>
    <x v="358"/>
    <x v="9"/>
    <x v="1"/>
    <x v="0"/>
    <x v="34"/>
  </r>
  <r>
    <x v="900"/>
    <x v="267"/>
    <x v="265"/>
    <x v="8"/>
    <x v="1"/>
    <x v="2"/>
    <x v="76"/>
  </r>
  <r>
    <x v="901"/>
    <x v="267"/>
    <x v="355"/>
    <x v="0"/>
    <x v="1"/>
    <x v="0"/>
    <x v="8"/>
  </r>
  <r>
    <x v="902"/>
    <x v="267"/>
    <x v="164"/>
    <x v="12"/>
    <x v="1"/>
    <x v="0"/>
    <x v="69"/>
  </r>
  <r>
    <x v="903"/>
    <x v="267"/>
    <x v="359"/>
    <x v="6"/>
    <x v="1"/>
    <x v="0"/>
    <x v="69"/>
  </r>
  <r>
    <x v="904"/>
    <x v="267"/>
    <x v="333"/>
    <x v="0"/>
    <x v="1"/>
    <x v="0"/>
    <x v="41"/>
  </r>
  <r>
    <x v="905"/>
    <x v="267"/>
    <x v="360"/>
    <x v="1"/>
    <x v="1"/>
    <x v="0"/>
    <x v="83"/>
  </r>
  <r>
    <x v="906"/>
    <x v="268"/>
    <x v="164"/>
    <x v="12"/>
    <x v="1"/>
    <x v="0"/>
    <x v="201"/>
  </r>
  <r>
    <x v="907"/>
    <x v="268"/>
    <x v="355"/>
    <x v="0"/>
    <x v="1"/>
    <x v="0"/>
    <x v="89"/>
  </r>
  <r>
    <x v="908"/>
    <x v="269"/>
    <x v="164"/>
    <x v="12"/>
    <x v="1"/>
    <x v="0"/>
    <x v="202"/>
  </r>
  <r>
    <x v="909"/>
    <x v="269"/>
    <x v="355"/>
    <x v="0"/>
    <x v="1"/>
    <x v="0"/>
    <x v="41"/>
  </r>
  <r>
    <x v="910"/>
    <x v="270"/>
    <x v="164"/>
    <x v="12"/>
    <x v="1"/>
    <x v="0"/>
    <x v="57"/>
  </r>
  <r>
    <x v="911"/>
    <x v="270"/>
    <x v="355"/>
    <x v="0"/>
    <x v="1"/>
    <x v="0"/>
    <x v="8"/>
  </r>
  <r>
    <x v="912"/>
    <x v="270"/>
    <x v="361"/>
    <x v="8"/>
    <x v="1"/>
    <x v="2"/>
    <x v="76"/>
  </r>
  <r>
    <x v="913"/>
    <x v="271"/>
    <x v="164"/>
    <x v="12"/>
    <x v="1"/>
    <x v="0"/>
    <x v="65"/>
  </r>
  <r>
    <x v="914"/>
    <x v="271"/>
    <x v="218"/>
    <x v="15"/>
    <x v="1"/>
    <x v="0"/>
    <x v="65"/>
  </r>
  <r>
    <x v="915"/>
    <x v="271"/>
    <x v="355"/>
    <x v="0"/>
    <x v="1"/>
    <x v="0"/>
    <x v="8"/>
  </r>
  <r>
    <x v="916"/>
    <x v="272"/>
    <x v="218"/>
    <x v="15"/>
    <x v="1"/>
    <x v="0"/>
    <x v="65"/>
  </r>
  <r>
    <x v="917"/>
    <x v="272"/>
    <x v="355"/>
    <x v="0"/>
    <x v="1"/>
    <x v="0"/>
    <x v="8"/>
  </r>
  <r>
    <x v="918"/>
    <x v="272"/>
    <x v="164"/>
    <x v="12"/>
    <x v="1"/>
    <x v="0"/>
    <x v="65"/>
  </r>
  <r>
    <x v="919"/>
    <x v="272"/>
    <x v="333"/>
    <x v="0"/>
    <x v="1"/>
    <x v="0"/>
    <x v="2"/>
  </r>
  <r>
    <x v="920"/>
    <x v="273"/>
    <x v="355"/>
    <x v="0"/>
    <x v="1"/>
    <x v="0"/>
    <x v="42"/>
  </r>
  <r>
    <x v="921"/>
    <x v="273"/>
    <x v="164"/>
    <x v="12"/>
    <x v="1"/>
    <x v="0"/>
    <x v="65"/>
  </r>
  <r>
    <x v="922"/>
    <x v="274"/>
    <x v="164"/>
    <x v="12"/>
    <x v="1"/>
    <x v="0"/>
    <x v="121"/>
  </r>
  <r>
    <x v="923"/>
    <x v="275"/>
    <x v="164"/>
    <x v="12"/>
    <x v="1"/>
    <x v="0"/>
    <x v="121"/>
  </r>
  <r>
    <x v="924"/>
    <x v="275"/>
    <x v="355"/>
    <x v="0"/>
    <x v="1"/>
    <x v="0"/>
    <x v="8"/>
  </r>
  <r>
    <x v="925"/>
    <x v="276"/>
    <x v="333"/>
    <x v="0"/>
    <x v="1"/>
    <x v="0"/>
    <x v="41"/>
  </r>
  <r>
    <x v="926"/>
    <x v="276"/>
    <x v="362"/>
    <x v="8"/>
    <x v="1"/>
    <x v="2"/>
    <x v="144"/>
  </r>
  <r>
    <x v="927"/>
    <x v="276"/>
    <x v="164"/>
    <x v="12"/>
    <x v="1"/>
    <x v="0"/>
    <x v="69"/>
  </r>
  <r>
    <x v="928"/>
    <x v="276"/>
    <x v="218"/>
    <x v="15"/>
    <x v="1"/>
    <x v="0"/>
    <x v="69"/>
  </r>
  <r>
    <x v="929"/>
    <x v="277"/>
    <x v="265"/>
    <x v="8"/>
    <x v="1"/>
    <x v="2"/>
    <x v="81"/>
  </r>
  <r>
    <x v="930"/>
    <x v="277"/>
    <x v="164"/>
    <x v="12"/>
    <x v="1"/>
    <x v="0"/>
    <x v="69"/>
  </r>
  <r>
    <x v="931"/>
    <x v="277"/>
    <x v="218"/>
    <x v="15"/>
    <x v="1"/>
    <x v="0"/>
    <x v="65"/>
  </r>
  <r>
    <x v="932"/>
    <x v="278"/>
    <x v="333"/>
    <x v="0"/>
    <x v="1"/>
    <x v="0"/>
    <x v="39"/>
  </r>
  <r>
    <x v="933"/>
    <x v="279"/>
    <x v="164"/>
    <x v="12"/>
    <x v="1"/>
    <x v="0"/>
    <x v="57"/>
  </r>
  <r>
    <x v="934"/>
    <x v="280"/>
    <x v="265"/>
    <x v="8"/>
    <x v="1"/>
    <x v="2"/>
    <x v="78"/>
  </r>
  <r>
    <x v="935"/>
    <x v="280"/>
    <x v="164"/>
    <x v="12"/>
    <x v="1"/>
    <x v="0"/>
    <x v="5"/>
  </r>
  <r>
    <x v="936"/>
    <x v="280"/>
    <x v="363"/>
    <x v="0"/>
    <x v="1"/>
    <x v="0"/>
    <x v="203"/>
  </r>
  <r>
    <x v="937"/>
    <x v="280"/>
    <x v="364"/>
    <x v="0"/>
    <x v="1"/>
    <x v="0"/>
    <x v="204"/>
  </r>
  <r>
    <x v="938"/>
    <x v="280"/>
    <x v="365"/>
    <x v="0"/>
    <x v="1"/>
    <x v="0"/>
    <x v="191"/>
  </r>
  <r>
    <x v="939"/>
    <x v="280"/>
    <x v="366"/>
    <x v="0"/>
    <x v="1"/>
    <x v="0"/>
    <x v="12"/>
  </r>
  <r>
    <x v="940"/>
    <x v="280"/>
    <x v="367"/>
    <x v="0"/>
    <x v="1"/>
    <x v="0"/>
    <x v="160"/>
  </r>
  <r>
    <x v="941"/>
    <x v="280"/>
    <x v="368"/>
    <x v="0"/>
    <x v="1"/>
    <x v="0"/>
    <x v="205"/>
  </r>
  <r>
    <x v="942"/>
    <x v="281"/>
    <x v="333"/>
    <x v="0"/>
    <x v="1"/>
    <x v="0"/>
    <x v="13"/>
  </r>
  <r>
    <x v="943"/>
    <x v="282"/>
    <x v="369"/>
    <x v="8"/>
    <x v="1"/>
    <x v="2"/>
    <x v="95"/>
  </r>
  <r>
    <x v="944"/>
    <x v="282"/>
    <x v="218"/>
    <x v="15"/>
    <x v="1"/>
    <x v="0"/>
    <x v="206"/>
  </r>
  <r>
    <x v="945"/>
    <x v="282"/>
    <x v="164"/>
    <x v="12"/>
    <x v="1"/>
    <x v="0"/>
    <x v="207"/>
  </r>
  <r>
    <x v="946"/>
    <x v="282"/>
    <x v="340"/>
    <x v="9"/>
    <x v="1"/>
    <x v="0"/>
    <x v="69"/>
  </r>
  <r>
    <x v="947"/>
    <x v="283"/>
    <x v="253"/>
    <x v="2"/>
    <x v="1"/>
    <x v="0"/>
    <x v="11"/>
  </r>
  <r>
    <x v="948"/>
    <x v="283"/>
    <x v="370"/>
    <x v="2"/>
    <x v="1"/>
    <x v="0"/>
    <x v="208"/>
  </r>
  <r>
    <x v="949"/>
    <x v="284"/>
    <x v="164"/>
    <x v="12"/>
    <x v="1"/>
    <x v="0"/>
    <x v="128"/>
  </r>
  <r>
    <x v="950"/>
    <x v="284"/>
    <x v="371"/>
    <x v="1"/>
    <x v="1"/>
    <x v="0"/>
    <x v="83"/>
  </r>
  <r>
    <x v="951"/>
    <x v="284"/>
    <x v="203"/>
    <x v="10"/>
    <x v="1"/>
    <x v="0"/>
    <x v="65"/>
  </r>
  <r>
    <x v="952"/>
    <x v="285"/>
    <x v="333"/>
    <x v="0"/>
    <x v="1"/>
    <x v="0"/>
    <x v="41"/>
  </r>
  <r>
    <x v="953"/>
    <x v="285"/>
    <x v="218"/>
    <x v="15"/>
    <x v="1"/>
    <x v="0"/>
    <x v="65"/>
  </r>
  <r>
    <x v="954"/>
    <x v="285"/>
    <x v="372"/>
    <x v="8"/>
    <x v="0"/>
    <x v="2"/>
    <x v="95"/>
  </r>
  <r>
    <x v="955"/>
    <x v="286"/>
    <x v="164"/>
    <x v="12"/>
    <x v="1"/>
    <x v="0"/>
    <x v="69"/>
  </r>
  <r>
    <x v="956"/>
    <x v="287"/>
    <x v="373"/>
    <x v="8"/>
    <x v="1"/>
    <x v="2"/>
    <x v="95"/>
  </r>
  <r>
    <x v="957"/>
    <x v="287"/>
    <x v="191"/>
    <x v="4"/>
    <x v="1"/>
    <x v="0"/>
    <x v="12"/>
  </r>
  <r>
    <x v="958"/>
    <x v="287"/>
    <x v="164"/>
    <x v="12"/>
    <x v="1"/>
    <x v="0"/>
    <x v="5"/>
  </r>
  <r>
    <x v="959"/>
    <x v="288"/>
    <x v="164"/>
    <x v="12"/>
    <x v="1"/>
    <x v="0"/>
    <x v="51"/>
  </r>
  <r>
    <x v="960"/>
    <x v="289"/>
    <x v="164"/>
    <x v="12"/>
    <x v="1"/>
    <x v="0"/>
    <x v="57"/>
  </r>
  <r>
    <x v="961"/>
    <x v="290"/>
    <x v="164"/>
    <x v="12"/>
    <x v="1"/>
    <x v="0"/>
    <x v="51"/>
  </r>
  <r>
    <x v="962"/>
    <x v="290"/>
    <x v="333"/>
    <x v="0"/>
    <x v="1"/>
    <x v="0"/>
    <x v="39"/>
  </r>
  <r>
    <x v="963"/>
    <x v="290"/>
    <x v="374"/>
    <x v="0"/>
    <x v="1"/>
    <x v="0"/>
    <x v="89"/>
  </r>
  <r>
    <x v="964"/>
    <x v="291"/>
    <x v="265"/>
    <x v="8"/>
    <x v="1"/>
    <x v="2"/>
    <x v="117"/>
  </r>
  <r>
    <x v="965"/>
    <x v="291"/>
    <x v="164"/>
    <x v="12"/>
    <x v="1"/>
    <x v="0"/>
    <x v="209"/>
  </r>
  <r>
    <x v="966"/>
    <x v="291"/>
    <x v="375"/>
    <x v="0"/>
    <x v="1"/>
    <x v="0"/>
    <x v="13"/>
  </r>
  <r>
    <x v="967"/>
    <x v="292"/>
    <x v="265"/>
    <x v="8"/>
    <x v="1"/>
    <x v="2"/>
    <x v="76"/>
  </r>
  <r>
    <x v="968"/>
    <x v="292"/>
    <x v="218"/>
    <x v="15"/>
    <x v="1"/>
    <x v="0"/>
    <x v="52"/>
  </r>
  <r>
    <x v="969"/>
    <x v="292"/>
    <x v="164"/>
    <x v="12"/>
    <x v="1"/>
    <x v="0"/>
    <x v="83"/>
  </r>
  <r>
    <x v="970"/>
    <x v="292"/>
    <x v="376"/>
    <x v="0"/>
    <x v="1"/>
    <x v="0"/>
    <x v="210"/>
  </r>
  <r>
    <x v="971"/>
    <x v="293"/>
    <x v="333"/>
    <x v="0"/>
    <x v="1"/>
    <x v="0"/>
    <x v="204"/>
  </r>
  <r>
    <x v="972"/>
    <x v="294"/>
    <x v="333"/>
    <x v="0"/>
    <x v="1"/>
    <x v="0"/>
    <x v="2"/>
  </r>
  <r>
    <x v="973"/>
    <x v="294"/>
    <x v="265"/>
    <x v="8"/>
    <x v="1"/>
    <x v="2"/>
    <x v="76"/>
  </r>
  <r>
    <x v="974"/>
    <x v="294"/>
    <x v="164"/>
    <x v="12"/>
    <x v="1"/>
    <x v="0"/>
    <x v="5"/>
  </r>
  <r>
    <x v="975"/>
    <x v="295"/>
    <x v="265"/>
    <x v="8"/>
    <x v="1"/>
    <x v="2"/>
    <x v="78"/>
  </r>
  <r>
    <x v="976"/>
    <x v="295"/>
    <x v="333"/>
    <x v="0"/>
    <x v="1"/>
    <x v="0"/>
    <x v="41"/>
  </r>
  <r>
    <x v="977"/>
    <x v="295"/>
    <x v="377"/>
    <x v="0"/>
    <x v="1"/>
    <x v="0"/>
    <x v="10"/>
  </r>
  <r>
    <x v="978"/>
    <x v="295"/>
    <x v="378"/>
    <x v="1"/>
    <x v="1"/>
    <x v="0"/>
    <x v="83"/>
  </r>
  <r>
    <x v="979"/>
    <x v="296"/>
    <x v="164"/>
    <x v="12"/>
    <x v="1"/>
    <x v="0"/>
    <x v="51"/>
  </r>
  <r>
    <x v="980"/>
    <x v="297"/>
    <x v="265"/>
    <x v="8"/>
    <x v="1"/>
    <x v="2"/>
    <x v="81"/>
  </r>
  <r>
    <x v="981"/>
    <x v="297"/>
    <x v="164"/>
    <x v="12"/>
    <x v="1"/>
    <x v="0"/>
    <x v="34"/>
  </r>
  <r>
    <x v="982"/>
    <x v="297"/>
    <x v="253"/>
    <x v="2"/>
    <x v="1"/>
    <x v="0"/>
    <x v="124"/>
  </r>
  <r>
    <x v="983"/>
    <x v="298"/>
    <x v="164"/>
    <x v="12"/>
    <x v="1"/>
    <x v="0"/>
    <x v="57"/>
  </r>
  <r>
    <x v="984"/>
    <x v="299"/>
    <x v="218"/>
    <x v="15"/>
    <x v="1"/>
    <x v="0"/>
    <x v="52"/>
  </r>
  <r>
    <x v="985"/>
    <x v="300"/>
    <x v="333"/>
    <x v="0"/>
    <x v="1"/>
    <x v="0"/>
    <x v="2"/>
  </r>
  <r>
    <x v="986"/>
    <x v="300"/>
    <x v="265"/>
    <x v="8"/>
    <x v="1"/>
    <x v="2"/>
    <x v="81"/>
  </r>
  <r>
    <x v="987"/>
    <x v="300"/>
    <x v="164"/>
    <x v="12"/>
    <x v="1"/>
    <x v="0"/>
    <x v="52"/>
  </r>
  <r>
    <x v="988"/>
    <x v="301"/>
    <x v="164"/>
    <x v="12"/>
    <x v="1"/>
    <x v="0"/>
    <x v="45"/>
  </r>
  <r>
    <x v="989"/>
    <x v="301"/>
    <x v="379"/>
    <x v="4"/>
    <x v="1"/>
    <x v="0"/>
    <x v="41"/>
  </r>
  <r>
    <x v="990"/>
    <x v="301"/>
    <x v="253"/>
    <x v="2"/>
    <x v="1"/>
    <x v="0"/>
    <x v="124"/>
  </r>
  <r>
    <x v="991"/>
    <x v="301"/>
    <x v="123"/>
    <x v="2"/>
    <x v="1"/>
    <x v="0"/>
    <x v="40"/>
  </r>
  <r>
    <x v="992"/>
    <x v="302"/>
    <x v="379"/>
    <x v="4"/>
    <x v="1"/>
    <x v="0"/>
    <x v="57"/>
  </r>
  <r>
    <x v="993"/>
    <x v="302"/>
    <x v="265"/>
    <x v="8"/>
    <x v="1"/>
    <x v="2"/>
    <x v="76"/>
  </r>
  <r>
    <x v="994"/>
    <x v="303"/>
    <x v="164"/>
    <x v="12"/>
    <x v="1"/>
    <x v="0"/>
    <x v="206"/>
  </r>
  <r>
    <x v="995"/>
    <x v="303"/>
    <x v="218"/>
    <x v="15"/>
    <x v="1"/>
    <x v="0"/>
    <x v="65"/>
  </r>
  <r>
    <x v="996"/>
    <x v="304"/>
    <x v="379"/>
    <x v="4"/>
    <x v="1"/>
    <x v="0"/>
    <x v="41"/>
  </r>
  <r>
    <x v="997"/>
    <x v="304"/>
    <x v="265"/>
    <x v="8"/>
    <x v="1"/>
    <x v="2"/>
    <x v="211"/>
  </r>
  <r>
    <x v="998"/>
    <x v="304"/>
    <x v="164"/>
    <x v="12"/>
    <x v="1"/>
    <x v="0"/>
    <x v="57"/>
  </r>
  <r>
    <x v="999"/>
    <x v="305"/>
    <x v="164"/>
    <x v="12"/>
    <x v="1"/>
    <x v="0"/>
    <x v="52"/>
  </r>
  <r>
    <x v="1000"/>
    <x v="305"/>
    <x v="333"/>
    <x v="0"/>
    <x v="1"/>
    <x v="0"/>
    <x v="39"/>
  </r>
  <r>
    <x v="1001"/>
    <x v="305"/>
    <x v="218"/>
    <x v="15"/>
    <x v="1"/>
    <x v="0"/>
    <x v="65"/>
  </r>
  <r>
    <x v="1002"/>
    <x v="306"/>
    <x v="123"/>
    <x v="2"/>
    <x v="1"/>
    <x v="0"/>
    <x v="11"/>
  </r>
  <r>
    <x v="1003"/>
    <x v="306"/>
    <x v="379"/>
    <x v="4"/>
    <x v="1"/>
    <x v="0"/>
    <x v="118"/>
  </r>
  <r>
    <x v="1004"/>
    <x v="306"/>
    <x v="174"/>
    <x v="4"/>
    <x v="1"/>
    <x v="0"/>
    <x v="39"/>
  </r>
  <r>
    <x v="1005"/>
    <x v="306"/>
    <x v="265"/>
    <x v="8"/>
    <x v="1"/>
    <x v="2"/>
    <x v="81"/>
  </r>
  <r>
    <x v="1006"/>
    <x v="306"/>
    <x v="253"/>
    <x v="2"/>
    <x v="1"/>
    <x v="0"/>
    <x v="124"/>
  </r>
  <r>
    <x v="1007"/>
    <x v="306"/>
    <x v="359"/>
    <x v="6"/>
    <x v="1"/>
    <x v="0"/>
    <x v="31"/>
  </r>
  <r>
    <x v="1008"/>
    <x v="307"/>
    <x v="265"/>
    <x v="8"/>
    <x v="1"/>
    <x v="2"/>
    <x v="120"/>
  </r>
  <r>
    <x v="1009"/>
    <x v="307"/>
    <x v="164"/>
    <x v="12"/>
    <x v="1"/>
    <x v="0"/>
    <x v="52"/>
  </r>
  <r>
    <x v="1010"/>
    <x v="307"/>
    <x v="333"/>
    <x v="0"/>
    <x v="1"/>
    <x v="0"/>
    <x v="39"/>
  </r>
  <r>
    <x v="1011"/>
    <x v="307"/>
    <x v="377"/>
    <x v="0"/>
    <x v="1"/>
    <x v="0"/>
    <x v="212"/>
  </r>
  <r>
    <x v="1012"/>
    <x v="308"/>
    <x v="380"/>
    <x v="0"/>
    <x v="1"/>
    <x v="0"/>
    <x v="213"/>
  </r>
  <r>
    <x v="1013"/>
    <x v="308"/>
    <x v="265"/>
    <x v="8"/>
    <x v="1"/>
    <x v="2"/>
    <x v="76"/>
  </r>
  <r>
    <x v="1014"/>
    <x v="308"/>
    <x v="164"/>
    <x v="12"/>
    <x v="1"/>
    <x v="0"/>
    <x v="206"/>
  </r>
  <r>
    <x v="1015"/>
    <x v="309"/>
    <x v="379"/>
    <x v="4"/>
    <x v="1"/>
    <x v="0"/>
    <x v="57"/>
  </r>
  <r>
    <x v="1016"/>
    <x v="309"/>
    <x v="381"/>
    <x v="2"/>
    <x v="1"/>
    <x v="0"/>
    <x v="214"/>
  </r>
  <r>
    <x v="1017"/>
    <x v="309"/>
    <x v="382"/>
    <x v="2"/>
    <x v="1"/>
    <x v="0"/>
    <x v="215"/>
  </r>
  <r>
    <x v="1018"/>
    <x v="309"/>
    <x v="333"/>
    <x v="0"/>
    <x v="1"/>
    <x v="0"/>
    <x v="2"/>
  </r>
  <r>
    <x v="1019"/>
    <x v="309"/>
    <x v="123"/>
    <x v="2"/>
    <x v="1"/>
    <x v="0"/>
    <x v="47"/>
  </r>
  <r>
    <x v="1020"/>
    <x v="310"/>
    <x v="265"/>
    <x v="8"/>
    <x v="1"/>
    <x v="2"/>
    <x v="76"/>
  </r>
  <r>
    <x v="1021"/>
    <x v="310"/>
    <x v="379"/>
    <x v="4"/>
    <x v="1"/>
    <x v="0"/>
    <x v="13"/>
  </r>
  <r>
    <x v="1022"/>
    <x v="310"/>
    <x v="164"/>
    <x v="12"/>
    <x v="1"/>
    <x v="0"/>
    <x v="52"/>
  </r>
  <r>
    <x v="1023"/>
    <x v="310"/>
    <x v="218"/>
    <x v="15"/>
    <x v="1"/>
    <x v="0"/>
    <x v="34"/>
  </r>
  <r>
    <x v="1024"/>
    <x v="310"/>
    <x v="333"/>
    <x v="0"/>
    <x v="1"/>
    <x v="0"/>
    <x v="39"/>
  </r>
  <r>
    <x v="1025"/>
    <x v="311"/>
    <x v="383"/>
    <x v="9"/>
    <x v="1"/>
    <x v="0"/>
    <x v="5"/>
  </r>
  <r>
    <x v="1026"/>
    <x v="312"/>
    <x v="384"/>
    <x v="8"/>
    <x v="1"/>
    <x v="2"/>
    <x v="216"/>
  </r>
  <r>
    <x v="1027"/>
    <x v="312"/>
    <x v="265"/>
    <x v="8"/>
    <x v="1"/>
    <x v="2"/>
    <x v="217"/>
  </r>
  <r>
    <x v="1028"/>
    <x v="312"/>
    <x v="385"/>
    <x v="1"/>
    <x v="1"/>
    <x v="0"/>
    <x v="83"/>
  </r>
  <r>
    <x v="1029"/>
    <x v="313"/>
    <x v="164"/>
    <x v="12"/>
    <x v="1"/>
    <x v="0"/>
    <x v="34"/>
  </r>
  <r>
    <x v="1030"/>
    <x v="314"/>
    <x v="333"/>
    <x v="0"/>
    <x v="1"/>
    <x v="0"/>
    <x v="41"/>
  </r>
  <r>
    <x v="1031"/>
    <x v="315"/>
    <x v="164"/>
    <x v="12"/>
    <x v="1"/>
    <x v="0"/>
    <x v="69"/>
  </r>
  <r>
    <x v="1032"/>
    <x v="315"/>
    <x v="379"/>
    <x v="4"/>
    <x v="1"/>
    <x v="0"/>
    <x v="39"/>
  </r>
  <r>
    <x v="1033"/>
    <x v="316"/>
    <x v="386"/>
    <x v="0"/>
    <x v="1"/>
    <x v="0"/>
    <x v="13"/>
  </r>
  <r>
    <x v="1034"/>
    <x v="316"/>
    <x v="218"/>
    <x v="15"/>
    <x v="1"/>
    <x v="0"/>
    <x v="218"/>
  </r>
  <r>
    <x v="1035"/>
    <x v="316"/>
    <x v="186"/>
    <x v="13"/>
    <x v="1"/>
    <x v="0"/>
    <x v="219"/>
  </r>
  <r>
    <x v="1036"/>
    <x v="316"/>
    <x v="164"/>
    <x v="12"/>
    <x v="1"/>
    <x v="0"/>
    <x v="65"/>
  </r>
  <r>
    <x v="1037"/>
    <x v="317"/>
    <x v="164"/>
    <x v="12"/>
    <x v="1"/>
    <x v="0"/>
    <x v="45"/>
  </r>
  <r>
    <x v="1038"/>
    <x v="318"/>
    <x v="387"/>
    <x v="2"/>
    <x v="1"/>
    <x v="0"/>
    <x v="220"/>
  </r>
  <r>
    <x v="1039"/>
    <x v="318"/>
    <x v="386"/>
    <x v="0"/>
    <x v="1"/>
    <x v="0"/>
    <x v="39"/>
  </r>
  <r>
    <x v="1040"/>
    <x v="319"/>
    <x v="333"/>
    <x v="0"/>
    <x v="1"/>
    <x v="0"/>
    <x v="39"/>
  </r>
  <r>
    <x v="1041"/>
    <x v="319"/>
    <x v="253"/>
    <x v="2"/>
    <x v="1"/>
    <x v="0"/>
    <x v="56"/>
  </r>
  <r>
    <x v="1042"/>
    <x v="319"/>
    <x v="123"/>
    <x v="2"/>
    <x v="1"/>
    <x v="0"/>
    <x v="47"/>
  </r>
  <r>
    <x v="1043"/>
    <x v="319"/>
    <x v="388"/>
    <x v="14"/>
    <x v="1"/>
    <x v="0"/>
    <x v="13"/>
  </r>
  <r>
    <x v="1044"/>
    <x v="319"/>
    <x v="386"/>
    <x v="0"/>
    <x v="1"/>
    <x v="0"/>
    <x v="39"/>
  </r>
  <r>
    <x v="1045"/>
    <x v="319"/>
    <x v="389"/>
    <x v="2"/>
    <x v="1"/>
    <x v="0"/>
    <x v="129"/>
  </r>
  <r>
    <x v="1046"/>
    <x v="320"/>
    <x v="388"/>
    <x v="14"/>
    <x v="1"/>
    <x v="0"/>
    <x v="13"/>
  </r>
  <r>
    <x v="1047"/>
    <x v="320"/>
    <x v="182"/>
    <x v="2"/>
    <x v="1"/>
    <x v="0"/>
    <x v="165"/>
  </r>
  <r>
    <x v="1048"/>
    <x v="320"/>
    <x v="123"/>
    <x v="2"/>
    <x v="1"/>
    <x v="0"/>
    <x v="23"/>
  </r>
  <r>
    <x v="1049"/>
    <x v="321"/>
    <x v="386"/>
    <x v="0"/>
    <x v="1"/>
    <x v="0"/>
    <x v="39"/>
  </r>
  <r>
    <x v="1050"/>
    <x v="321"/>
    <x v="333"/>
    <x v="0"/>
    <x v="1"/>
    <x v="0"/>
    <x v="39"/>
  </r>
  <r>
    <x v="1051"/>
    <x v="321"/>
    <x v="388"/>
    <x v="14"/>
    <x v="1"/>
    <x v="0"/>
    <x v="39"/>
  </r>
  <r>
    <x v="1052"/>
    <x v="321"/>
    <x v="355"/>
    <x v="0"/>
    <x v="1"/>
    <x v="0"/>
    <x v="39"/>
  </r>
  <r>
    <x v="1053"/>
    <x v="321"/>
    <x v="123"/>
    <x v="2"/>
    <x v="1"/>
    <x v="0"/>
    <x v="221"/>
  </r>
  <r>
    <x v="1054"/>
    <x v="321"/>
    <x v="381"/>
    <x v="2"/>
    <x v="1"/>
    <x v="0"/>
    <x v="16"/>
  </r>
  <r>
    <x v="1055"/>
    <x v="322"/>
    <x v="355"/>
    <x v="0"/>
    <x v="1"/>
    <x v="0"/>
    <x v="2"/>
  </r>
  <r>
    <x v="1056"/>
    <x v="322"/>
    <x v="265"/>
    <x v="8"/>
    <x v="1"/>
    <x v="2"/>
    <x v="76"/>
  </r>
  <r>
    <x v="1057"/>
    <x v="322"/>
    <x v="390"/>
    <x v="8"/>
    <x v="1"/>
    <x v="2"/>
    <x v="222"/>
  </r>
  <r>
    <x v="1058"/>
    <x v="322"/>
    <x v="218"/>
    <x v="15"/>
    <x v="1"/>
    <x v="0"/>
    <x v="51"/>
  </r>
  <r>
    <x v="1058"/>
    <x v="322"/>
    <x v="164"/>
    <x v="12"/>
    <x v="1"/>
    <x v="0"/>
    <x v="65"/>
  </r>
  <r>
    <x v="1059"/>
    <x v="322"/>
    <x v="388"/>
    <x v="14"/>
    <x v="1"/>
    <x v="0"/>
    <x v="89"/>
  </r>
  <r>
    <x v="1060"/>
    <x v="323"/>
    <x v="386"/>
    <x v="0"/>
    <x v="1"/>
    <x v="0"/>
    <x v="2"/>
  </r>
  <r>
    <x v="1061"/>
    <x v="323"/>
    <x v="355"/>
    <x v="0"/>
    <x v="1"/>
    <x v="0"/>
    <x v="89"/>
  </r>
  <r>
    <x v="1062"/>
    <x v="323"/>
    <x v="164"/>
    <x v="12"/>
    <x v="1"/>
    <x v="0"/>
    <x v="69"/>
  </r>
  <r>
    <x v="1063"/>
    <x v="323"/>
    <x v="265"/>
    <x v="8"/>
    <x v="1"/>
    <x v="2"/>
    <x v="76"/>
  </r>
  <r>
    <x v="1064"/>
    <x v="323"/>
    <x v="388"/>
    <x v="14"/>
    <x v="1"/>
    <x v="0"/>
    <x v="34"/>
  </r>
  <r>
    <x v="1065"/>
    <x v="324"/>
    <x v="355"/>
    <x v="0"/>
    <x v="1"/>
    <x v="0"/>
    <x v="2"/>
  </r>
  <r>
    <x v="1066"/>
    <x v="325"/>
    <x v="379"/>
    <x v="4"/>
    <x v="1"/>
    <x v="0"/>
    <x v="39"/>
  </r>
  <r>
    <x v="1067"/>
    <x v="325"/>
    <x v="355"/>
    <x v="0"/>
    <x v="1"/>
    <x v="0"/>
    <x v="8"/>
  </r>
  <r>
    <x v="1068"/>
    <x v="325"/>
    <x v="391"/>
    <x v="0"/>
    <x v="1"/>
    <x v="0"/>
    <x v="223"/>
  </r>
  <r>
    <x v="1069"/>
    <x v="325"/>
    <x v="392"/>
    <x v="0"/>
    <x v="1"/>
    <x v="0"/>
    <x v="224"/>
  </r>
  <r>
    <x v="1070"/>
    <x v="325"/>
    <x v="164"/>
    <x v="12"/>
    <x v="1"/>
    <x v="0"/>
    <x v="57"/>
  </r>
  <r>
    <x v="1071"/>
    <x v="326"/>
    <x v="393"/>
    <x v="0"/>
    <x v="1"/>
    <x v="0"/>
    <x v="225"/>
  </r>
  <r>
    <x v="1072"/>
    <x v="327"/>
    <x v="379"/>
    <x v="4"/>
    <x v="1"/>
    <x v="0"/>
    <x v="13"/>
  </r>
  <r>
    <x v="1073"/>
    <x v="327"/>
    <x v="355"/>
    <x v="0"/>
    <x v="1"/>
    <x v="0"/>
    <x v="8"/>
  </r>
  <r>
    <x v="1074"/>
    <x v="327"/>
    <x v="123"/>
    <x v="2"/>
    <x v="1"/>
    <x v="0"/>
    <x v="165"/>
  </r>
  <r>
    <x v="1075"/>
    <x v="327"/>
    <x v="265"/>
    <x v="8"/>
    <x v="1"/>
    <x v="2"/>
    <x v="29"/>
  </r>
  <r>
    <x v="1076"/>
    <x v="327"/>
    <x v="164"/>
    <x v="12"/>
    <x v="1"/>
    <x v="0"/>
    <x v="226"/>
  </r>
  <r>
    <x v="1077"/>
    <x v="327"/>
    <x v="218"/>
    <x v="15"/>
    <x v="1"/>
    <x v="0"/>
    <x v="83"/>
  </r>
  <r>
    <x v="1078"/>
    <x v="327"/>
    <x v="386"/>
    <x v="0"/>
    <x v="1"/>
    <x v="0"/>
    <x v="39"/>
  </r>
  <r>
    <x v="1079"/>
    <x v="327"/>
    <x v="333"/>
    <x v="0"/>
    <x v="1"/>
    <x v="0"/>
    <x v="89"/>
  </r>
  <r>
    <x v="1080"/>
    <x v="327"/>
    <x v="394"/>
    <x v="1"/>
    <x v="1"/>
    <x v="0"/>
    <x v="83"/>
  </r>
  <r>
    <x v="1081"/>
    <x v="327"/>
    <x v="253"/>
    <x v="2"/>
    <x v="1"/>
    <x v="0"/>
    <x v="13"/>
  </r>
  <r>
    <x v="1082"/>
    <x v="327"/>
    <x v="355"/>
    <x v="0"/>
    <x v="1"/>
    <x v="0"/>
    <x v="2"/>
  </r>
  <r>
    <x v="1083"/>
    <x v="327"/>
    <x v="123"/>
    <x v="2"/>
    <x v="1"/>
    <x v="0"/>
    <x v="47"/>
  </r>
  <r>
    <x v="1084"/>
    <x v="328"/>
    <x v="386"/>
    <x v="0"/>
    <x v="1"/>
    <x v="0"/>
    <x v="39"/>
  </r>
  <r>
    <x v="1085"/>
    <x v="328"/>
    <x v="355"/>
    <x v="0"/>
    <x v="1"/>
    <x v="0"/>
    <x v="147"/>
  </r>
  <r>
    <x v="1086"/>
    <x v="329"/>
    <x v="164"/>
    <x v="12"/>
    <x v="1"/>
    <x v="0"/>
    <x v="57"/>
  </r>
  <r>
    <x v="1087"/>
    <x v="330"/>
    <x v="203"/>
    <x v="10"/>
    <x v="1"/>
    <x v="0"/>
    <x v="65"/>
  </r>
  <r>
    <x v="1088"/>
    <x v="330"/>
    <x v="333"/>
    <x v="0"/>
    <x v="1"/>
    <x v="0"/>
    <x v="39"/>
  </r>
  <r>
    <x v="1089"/>
    <x v="330"/>
    <x v="395"/>
    <x v="13"/>
    <x v="1"/>
    <x v="0"/>
    <x v="110"/>
  </r>
  <r>
    <x v="1090"/>
    <x v="331"/>
    <x v="388"/>
    <x v="14"/>
    <x v="1"/>
    <x v="0"/>
    <x v="52"/>
  </r>
  <r>
    <x v="1091"/>
    <x v="331"/>
    <x v="265"/>
    <x v="8"/>
    <x v="1"/>
    <x v="2"/>
    <x v="76"/>
  </r>
  <r>
    <x v="1092"/>
    <x v="332"/>
    <x v="164"/>
    <x v="12"/>
    <x v="1"/>
    <x v="0"/>
    <x v="2"/>
  </r>
  <r>
    <x v="1093"/>
    <x v="332"/>
    <x v="123"/>
    <x v="2"/>
    <x v="1"/>
    <x v="0"/>
    <x v="165"/>
  </r>
  <r>
    <x v="1094"/>
    <x v="332"/>
    <x v="333"/>
    <x v="0"/>
    <x v="1"/>
    <x v="0"/>
    <x v="39"/>
  </r>
  <r>
    <x v="1095"/>
    <x v="332"/>
    <x v="396"/>
    <x v="0"/>
    <x v="1"/>
    <x v="0"/>
    <x v="39"/>
  </r>
  <r>
    <x v="1096"/>
    <x v="332"/>
    <x v="269"/>
    <x v="0"/>
    <x v="1"/>
    <x v="0"/>
    <x v="39"/>
  </r>
  <r>
    <x v="1097"/>
    <x v="333"/>
    <x v="218"/>
    <x v="15"/>
    <x v="1"/>
    <x v="0"/>
    <x v="34"/>
  </r>
  <r>
    <x v="1098"/>
    <x v="333"/>
    <x v="386"/>
    <x v="0"/>
    <x v="1"/>
    <x v="0"/>
    <x v="39"/>
  </r>
  <r>
    <x v="1099"/>
    <x v="333"/>
    <x v="388"/>
    <x v="14"/>
    <x v="1"/>
    <x v="0"/>
    <x v="2"/>
  </r>
  <r>
    <x v="1100"/>
    <x v="333"/>
    <x v="123"/>
    <x v="2"/>
    <x v="1"/>
    <x v="0"/>
    <x v="165"/>
  </r>
  <r>
    <x v="1101"/>
    <x v="333"/>
    <x v="265"/>
    <x v="8"/>
    <x v="1"/>
    <x v="2"/>
    <x v="81"/>
  </r>
  <r>
    <x v="1102"/>
    <x v="334"/>
    <x v="333"/>
    <x v="0"/>
    <x v="1"/>
    <x v="0"/>
    <x v="39"/>
  </r>
  <r>
    <x v="1103"/>
    <x v="334"/>
    <x v="386"/>
    <x v="0"/>
    <x v="1"/>
    <x v="0"/>
    <x v="39"/>
  </r>
  <r>
    <x v="1104"/>
    <x v="334"/>
    <x v="396"/>
    <x v="0"/>
    <x v="1"/>
    <x v="0"/>
    <x v="41"/>
  </r>
  <r>
    <x v="1105"/>
    <x v="334"/>
    <x v="269"/>
    <x v="0"/>
    <x v="1"/>
    <x v="0"/>
    <x v="2"/>
  </r>
  <r>
    <x v="1106"/>
    <x v="334"/>
    <x v="123"/>
    <x v="2"/>
    <x v="1"/>
    <x v="0"/>
    <x v="165"/>
  </r>
  <r>
    <x v="1107"/>
    <x v="334"/>
    <x v="253"/>
    <x v="2"/>
    <x v="1"/>
    <x v="0"/>
    <x v="74"/>
  </r>
  <r>
    <x v="1108"/>
    <x v="335"/>
    <x v="164"/>
    <x v="12"/>
    <x v="1"/>
    <x v="0"/>
    <x v="2"/>
  </r>
  <r>
    <x v="1109"/>
    <x v="335"/>
    <x v="397"/>
    <x v="0"/>
    <x v="1"/>
    <x v="0"/>
    <x v="41"/>
  </r>
  <r>
    <x v="1110"/>
    <x v="335"/>
    <x v="123"/>
    <x v="2"/>
    <x v="1"/>
    <x v="0"/>
    <x v="56"/>
  </r>
  <r>
    <x v="1111"/>
    <x v="335"/>
    <x v="398"/>
    <x v="0"/>
    <x v="1"/>
    <x v="0"/>
    <x v="39"/>
  </r>
  <r>
    <x v="1112"/>
    <x v="336"/>
    <x v="386"/>
    <x v="0"/>
    <x v="1"/>
    <x v="0"/>
    <x v="2"/>
  </r>
  <r>
    <x v="1113"/>
    <x v="336"/>
    <x v="399"/>
    <x v="9"/>
    <x v="1"/>
    <x v="0"/>
    <x v="65"/>
  </r>
  <r>
    <x v="1114"/>
    <x v="336"/>
    <x v="123"/>
    <x v="2"/>
    <x v="1"/>
    <x v="0"/>
    <x v="46"/>
  </r>
  <r>
    <x v="1115"/>
    <x v="336"/>
    <x v="186"/>
    <x v="13"/>
    <x v="1"/>
    <x v="0"/>
    <x v="227"/>
  </r>
  <r>
    <x v="1116"/>
    <x v="337"/>
    <x v="396"/>
    <x v="0"/>
    <x v="1"/>
    <x v="0"/>
    <x v="89"/>
  </r>
  <r>
    <x v="1117"/>
    <x v="337"/>
    <x v="123"/>
    <x v="2"/>
    <x v="1"/>
    <x v="0"/>
    <x v="46"/>
  </r>
  <r>
    <x v="1118"/>
    <x v="337"/>
    <x v="388"/>
    <x v="14"/>
    <x v="1"/>
    <x v="0"/>
    <x v="45"/>
  </r>
  <r>
    <x v="1119"/>
    <x v="337"/>
    <x v="186"/>
    <x v="13"/>
    <x v="1"/>
    <x v="0"/>
    <x v="160"/>
  </r>
  <r>
    <x v="1120"/>
    <x v="337"/>
    <x v="265"/>
    <x v="8"/>
    <x v="1"/>
    <x v="2"/>
    <x v="91"/>
  </r>
  <r>
    <x v="1121"/>
    <x v="338"/>
    <x v="123"/>
    <x v="2"/>
    <x v="1"/>
    <x v="0"/>
    <x v="40"/>
  </r>
  <r>
    <x v="1122"/>
    <x v="338"/>
    <x v="400"/>
    <x v="0"/>
    <x v="1"/>
    <x v="0"/>
    <x v="228"/>
  </r>
  <r>
    <x v="1123"/>
    <x v="339"/>
    <x v="397"/>
    <x v="0"/>
    <x v="1"/>
    <x v="0"/>
    <x v="41"/>
  </r>
  <r>
    <x v="1124"/>
    <x v="339"/>
    <x v="123"/>
    <x v="2"/>
    <x v="1"/>
    <x v="0"/>
    <x v="40"/>
  </r>
  <r>
    <x v="1125"/>
    <x v="339"/>
    <x v="164"/>
    <x v="12"/>
    <x v="1"/>
    <x v="0"/>
    <x v="34"/>
  </r>
  <r>
    <x v="1126"/>
    <x v="339"/>
    <x v="333"/>
    <x v="0"/>
    <x v="1"/>
    <x v="0"/>
    <x v="2"/>
  </r>
  <r>
    <x v="1127"/>
    <x v="339"/>
    <x v="265"/>
    <x v="8"/>
    <x v="1"/>
    <x v="2"/>
    <x v="120"/>
  </r>
  <r>
    <x v="1128"/>
    <x v="340"/>
    <x v="164"/>
    <x v="12"/>
    <x v="1"/>
    <x v="0"/>
    <x v="34"/>
  </r>
  <r>
    <x v="1129"/>
    <x v="340"/>
    <x v="388"/>
    <x v="14"/>
    <x v="1"/>
    <x v="0"/>
    <x v="57"/>
  </r>
  <r>
    <x v="1130"/>
    <x v="340"/>
    <x v="265"/>
    <x v="8"/>
    <x v="1"/>
    <x v="2"/>
    <x v="91"/>
  </r>
  <r>
    <x v="1131"/>
    <x v="341"/>
    <x v="379"/>
    <x v="4"/>
    <x v="1"/>
    <x v="0"/>
    <x v="39"/>
  </r>
  <r>
    <x v="1132"/>
    <x v="341"/>
    <x v="218"/>
    <x v="15"/>
    <x v="1"/>
    <x v="0"/>
    <x v="41"/>
  </r>
  <r>
    <x v="1133"/>
    <x v="341"/>
    <x v="333"/>
    <x v="0"/>
    <x v="1"/>
    <x v="0"/>
    <x v="39"/>
  </r>
  <r>
    <x v="1134"/>
    <x v="342"/>
    <x v="401"/>
    <x v="0"/>
    <x v="1"/>
    <x v="0"/>
    <x v="39"/>
  </r>
  <r>
    <x v="1135"/>
    <x v="342"/>
    <x v="402"/>
    <x v="8"/>
    <x v="1"/>
    <x v="2"/>
    <x v="117"/>
  </r>
  <r>
    <x v="1136"/>
    <x v="342"/>
    <x v="403"/>
    <x v="12"/>
    <x v="1"/>
    <x v="0"/>
    <x v="51"/>
  </r>
  <r>
    <x v="1137"/>
    <x v="343"/>
    <x v="164"/>
    <x v="12"/>
    <x v="1"/>
    <x v="0"/>
    <x v="5"/>
  </r>
  <r>
    <x v="1138"/>
    <x v="343"/>
    <x v="388"/>
    <x v="14"/>
    <x v="1"/>
    <x v="0"/>
    <x v="69"/>
  </r>
  <r>
    <x v="1139"/>
    <x v="343"/>
    <x v="265"/>
    <x v="8"/>
    <x v="1"/>
    <x v="2"/>
    <x v="91"/>
  </r>
  <r>
    <x v="1140"/>
    <x v="343"/>
    <x v="265"/>
    <x v="8"/>
    <x v="1"/>
    <x v="2"/>
    <x v="211"/>
  </r>
  <r>
    <x v="1141"/>
    <x v="343"/>
    <x v="123"/>
    <x v="2"/>
    <x v="1"/>
    <x v="0"/>
    <x v="19"/>
  </r>
  <r>
    <x v="1142"/>
    <x v="343"/>
    <x v="404"/>
    <x v="12"/>
    <x v="0"/>
    <x v="0"/>
    <x v="45"/>
  </r>
  <r>
    <x v="1143"/>
    <x v="344"/>
    <x v="405"/>
    <x v="0"/>
    <x v="1"/>
    <x v="0"/>
    <x v="229"/>
  </r>
  <r>
    <x v="1144"/>
    <x v="344"/>
    <x v="406"/>
    <x v="0"/>
    <x v="1"/>
    <x v="0"/>
    <x v="57"/>
  </r>
  <r>
    <x v="1145"/>
    <x v="345"/>
    <x v="402"/>
    <x v="8"/>
    <x v="1"/>
    <x v="2"/>
    <x v="81"/>
  </r>
  <r>
    <x v="1146"/>
    <x v="345"/>
    <x v="407"/>
    <x v="12"/>
    <x v="1"/>
    <x v="0"/>
    <x v="51"/>
  </r>
  <r>
    <x v="1147"/>
    <x v="345"/>
    <x v="388"/>
    <x v="14"/>
    <x v="1"/>
    <x v="0"/>
    <x v="51"/>
  </r>
  <r>
    <x v="1148"/>
    <x v="346"/>
    <x v="408"/>
    <x v="2"/>
    <x v="1"/>
    <x v="0"/>
    <x v="58"/>
  </r>
  <r>
    <x v="1149"/>
    <x v="347"/>
    <x v="218"/>
    <x v="15"/>
    <x v="1"/>
    <x v="0"/>
    <x v="57"/>
  </r>
  <r>
    <x v="1150"/>
    <x v="348"/>
    <x v="401"/>
    <x v="0"/>
    <x v="1"/>
    <x v="0"/>
    <x v="39"/>
  </r>
  <r>
    <x v="1151"/>
    <x v="349"/>
    <x v="402"/>
    <x v="8"/>
    <x v="1"/>
    <x v="2"/>
    <x v="33"/>
  </r>
  <r>
    <x v="1152"/>
    <x v="349"/>
    <x v="407"/>
    <x v="12"/>
    <x v="1"/>
    <x v="0"/>
    <x v="230"/>
  </r>
  <r>
    <x v="1153"/>
    <x v="349"/>
    <x v="388"/>
    <x v="14"/>
    <x v="1"/>
    <x v="0"/>
    <x v="231"/>
  </r>
  <r>
    <x v="1154"/>
    <x v="349"/>
    <x v="401"/>
    <x v="0"/>
    <x v="1"/>
    <x v="0"/>
    <x v="65"/>
  </r>
  <r>
    <x v="1155"/>
    <x v="349"/>
    <x v="409"/>
    <x v="1"/>
    <x v="1"/>
    <x v="0"/>
    <x v="83"/>
  </r>
  <r>
    <x v="1156"/>
    <x v="349"/>
    <x v="410"/>
    <x v="9"/>
    <x v="1"/>
    <x v="0"/>
    <x v="34"/>
  </r>
  <r>
    <x v="1157"/>
    <x v="349"/>
    <x v="186"/>
    <x v="13"/>
    <x v="1"/>
    <x v="0"/>
    <x v="160"/>
  </r>
  <r>
    <x v="1158"/>
    <x v="349"/>
    <x v="395"/>
    <x v="13"/>
    <x v="1"/>
    <x v="0"/>
    <x v="50"/>
  </r>
  <r>
    <x v="1159"/>
    <x v="349"/>
    <x v="218"/>
    <x v="15"/>
    <x v="1"/>
    <x v="0"/>
    <x v="45"/>
  </r>
  <r>
    <x v="1160"/>
    <x v="350"/>
    <x v="411"/>
    <x v="0"/>
    <x v="1"/>
    <x v="0"/>
    <x v="2"/>
  </r>
  <r>
    <x v="1161"/>
    <x v="351"/>
    <x v="412"/>
    <x v="8"/>
    <x v="0"/>
    <x v="2"/>
    <x v="36"/>
  </r>
  <r>
    <x v="1162"/>
    <x v="352"/>
    <x v="413"/>
    <x v="14"/>
    <x v="1"/>
    <x v="0"/>
    <x v="232"/>
  </r>
  <r>
    <x v="1163"/>
    <x v="352"/>
    <x v="218"/>
    <x v="15"/>
    <x v="1"/>
    <x v="0"/>
    <x v="65"/>
  </r>
  <r>
    <x v="1164"/>
    <x v="353"/>
    <x v="414"/>
    <x v="8"/>
    <x v="0"/>
    <x v="2"/>
    <x v="36"/>
  </r>
  <r>
    <x v="1165"/>
    <x v="353"/>
    <x v="402"/>
    <x v="8"/>
    <x v="1"/>
    <x v="2"/>
    <x v="76"/>
  </r>
  <r>
    <x v="1166"/>
    <x v="353"/>
    <x v="415"/>
    <x v="12"/>
    <x v="1"/>
    <x v="0"/>
    <x v="52"/>
  </r>
  <r>
    <x v="1167"/>
    <x v="353"/>
    <x v="416"/>
    <x v="14"/>
    <x v="1"/>
    <x v="0"/>
    <x v="51"/>
  </r>
  <r>
    <x v="1168"/>
    <x v="353"/>
    <x v="417"/>
    <x v="0"/>
    <x v="1"/>
    <x v="0"/>
    <x v="41"/>
  </r>
  <r>
    <x v="1169"/>
    <x v="354"/>
    <x v="418"/>
    <x v="0"/>
    <x v="1"/>
    <x v="0"/>
    <x v="57"/>
  </r>
  <r>
    <x v="1170"/>
    <x v="355"/>
    <x v="415"/>
    <x v="12"/>
    <x v="1"/>
    <x v="0"/>
    <x v="57"/>
  </r>
  <r>
    <x v="1171"/>
    <x v="355"/>
    <x v="416"/>
    <x v="14"/>
    <x v="1"/>
    <x v="0"/>
    <x v="2"/>
  </r>
  <r>
    <x v="1172"/>
    <x v="355"/>
    <x v="419"/>
    <x v="2"/>
    <x v="1"/>
    <x v="0"/>
    <x v="233"/>
  </r>
  <r>
    <x v="1173"/>
    <x v="356"/>
    <x v="420"/>
    <x v="9"/>
    <x v="1"/>
    <x v="0"/>
    <x v="34"/>
  </r>
  <r>
    <x v="1174"/>
    <x v="356"/>
    <x v="421"/>
    <x v="2"/>
    <x v="1"/>
    <x v="0"/>
    <x v="124"/>
  </r>
  <r>
    <x v="1175"/>
    <x v="356"/>
    <x v="186"/>
    <x v="2"/>
    <x v="1"/>
    <x v="0"/>
    <x v="8"/>
  </r>
  <r>
    <x v="1176"/>
    <x v="356"/>
    <x v="422"/>
    <x v="10"/>
    <x v="1"/>
    <x v="0"/>
    <x v="45"/>
  </r>
  <r>
    <x v="1177"/>
    <x v="357"/>
    <x v="423"/>
    <x v="8"/>
    <x v="1"/>
    <x v="2"/>
    <x v="81"/>
  </r>
  <r>
    <x v="1178"/>
    <x v="357"/>
    <x v="424"/>
    <x v="12"/>
    <x v="1"/>
    <x v="0"/>
    <x v="69"/>
  </r>
  <r>
    <x v="1179"/>
    <x v="357"/>
    <x v="418"/>
    <x v="0"/>
    <x v="1"/>
    <x v="0"/>
    <x v="234"/>
  </r>
  <r>
    <x v="1180"/>
    <x v="357"/>
    <x v="416"/>
    <x v="14"/>
    <x v="1"/>
    <x v="0"/>
    <x v="7"/>
  </r>
  <r>
    <x v="1181"/>
    <x v="357"/>
    <x v="417"/>
    <x v="0"/>
    <x v="1"/>
    <x v="0"/>
    <x v="39"/>
  </r>
  <r>
    <x v="1182"/>
    <x v="358"/>
    <x v="425"/>
    <x v="2"/>
    <x v="1"/>
    <x v="0"/>
    <x v="119"/>
  </r>
  <r>
    <x v="1183"/>
    <x v="358"/>
    <x v="426"/>
    <x v="2"/>
    <x v="1"/>
    <x v="0"/>
    <x v="129"/>
  </r>
  <r>
    <x v="1184"/>
    <x v="359"/>
    <x v="106"/>
    <x v="0"/>
    <x v="1"/>
    <x v="0"/>
    <x v="184"/>
  </r>
  <r>
    <x v="1185"/>
    <x v="359"/>
    <x v="416"/>
    <x v="14"/>
    <x v="1"/>
    <x v="0"/>
    <x v="2"/>
  </r>
  <r>
    <x v="1186"/>
    <x v="360"/>
    <x v="112"/>
    <x v="11"/>
    <x v="2"/>
    <x v="3"/>
    <x v="43"/>
  </r>
  <r>
    <x v="1187"/>
    <x v="361"/>
    <x v="427"/>
    <x v="8"/>
    <x v="1"/>
    <x v="2"/>
    <x v="144"/>
  </r>
  <r>
    <x v="1188"/>
    <x v="362"/>
    <x v="427"/>
    <x v="8"/>
    <x v="1"/>
    <x v="2"/>
    <x v="144"/>
  </r>
  <r>
    <x v="1189"/>
    <x v="362"/>
    <x v="424"/>
    <x v="12"/>
    <x v="1"/>
    <x v="0"/>
    <x v="206"/>
  </r>
  <r>
    <x v="1190"/>
    <x v="363"/>
    <x v="416"/>
    <x v="14"/>
    <x v="1"/>
    <x v="0"/>
    <x v="207"/>
  </r>
  <r>
    <x v="1191"/>
    <x v="363"/>
    <x v="417"/>
    <x v="0"/>
    <x v="1"/>
    <x v="0"/>
    <x v="2"/>
  </r>
  <r>
    <x v="1192"/>
    <x v="364"/>
    <x v="427"/>
    <x v="8"/>
    <x v="1"/>
    <x v="2"/>
    <x v="81"/>
  </r>
  <r>
    <x v="1193"/>
    <x v="364"/>
    <x v="424"/>
    <x v="12"/>
    <x v="1"/>
    <x v="0"/>
    <x v="57"/>
  </r>
  <r>
    <x v="1194"/>
    <x v="364"/>
    <x v="428"/>
    <x v="0"/>
    <x v="1"/>
    <x v="0"/>
    <x v="89"/>
  </r>
  <r>
    <x v="1195"/>
    <x v="364"/>
    <x v="218"/>
    <x v="15"/>
    <x v="1"/>
    <x v="0"/>
    <x v="51"/>
  </r>
  <r>
    <x v="1196"/>
    <x v="364"/>
    <x v="429"/>
    <x v="0"/>
    <x v="1"/>
    <x v="0"/>
    <x v="235"/>
  </r>
  <r>
    <x v="1197"/>
    <x v="364"/>
    <x v="417"/>
    <x v="0"/>
    <x v="1"/>
    <x v="0"/>
    <x v="20"/>
  </r>
  <r>
    <x v="1198"/>
    <x v="364"/>
    <x v="427"/>
    <x v="8"/>
    <x v="1"/>
    <x v="2"/>
    <x v="78"/>
  </r>
  <r>
    <x v="1199"/>
    <x v="364"/>
    <x v="424"/>
    <x v="12"/>
    <x v="1"/>
    <x v="0"/>
    <x v="83"/>
  </r>
  <r>
    <x v="1200"/>
    <x v="364"/>
    <x v="416"/>
    <x v="14"/>
    <x v="1"/>
    <x v="0"/>
    <x v="52"/>
  </r>
  <r>
    <x v="1201"/>
    <x v="365"/>
    <x v="427"/>
    <x v="8"/>
    <x v="1"/>
    <x v="2"/>
    <x v="120"/>
  </r>
  <r>
    <x v="1202"/>
    <x v="365"/>
    <x v="424"/>
    <x v="12"/>
    <x v="1"/>
    <x v="0"/>
    <x v="52"/>
  </r>
  <r>
    <x v="1203"/>
    <x v="366"/>
    <x v="218"/>
    <x v="15"/>
    <x v="1"/>
    <x v="0"/>
    <x v="51"/>
  </r>
  <r>
    <x v="1204"/>
    <x v="366"/>
    <x v="430"/>
    <x v="1"/>
    <x v="1"/>
    <x v="0"/>
    <x v="83"/>
  </r>
  <r>
    <x v="1205"/>
    <x v="366"/>
    <x v="431"/>
    <x v="2"/>
    <x v="1"/>
    <x v="0"/>
    <x v="40"/>
  </r>
  <r>
    <x v="1206"/>
    <x v="366"/>
    <x v="123"/>
    <x v="2"/>
    <x v="1"/>
    <x v="0"/>
    <x v="47"/>
  </r>
  <r>
    <x v="1207"/>
    <x v="367"/>
    <x v="427"/>
    <x v="8"/>
    <x v="1"/>
    <x v="2"/>
    <x v="136"/>
  </r>
  <r>
    <x v="1208"/>
    <x v="367"/>
    <x v="424"/>
    <x v="12"/>
    <x v="1"/>
    <x v="0"/>
    <x v="34"/>
  </r>
  <r>
    <x v="1209"/>
    <x v="367"/>
    <x v="417"/>
    <x v="0"/>
    <x v="1"/>
    <x v="0"/>
    <x v="41"/>
  </r>
  <r>
    <x v="1210"/>
    <x v="367"/>
    <x v="416"/>
    <x v="14"/>
    <x v="1"/>
    <x v="0"/>
    <x v="121"/>
  </r>
  <r>
    <x v="1211"/>
    <x v="368"/>
    <x v="432"/>
    <x v="9"/>
    <x v="1"/>
    <x v="0"/>
    <x v="83"/>
  </r>
  <r>
    <x v="1212"/>
    <x v="368"/>
    <x v="427"/>
    <x v="8"/>
    <x v="1"/>
    <x v="2"/>
    <x v="81"/>
  </r>
  <r>
    <x v="1213"/>
    <x v="368"/>
    <x v="424"/>
    <x v="12"/>
    <x v="1"/>
    <x v="0"/>
    <x v="52"/>
  </r>
  <r>
    <x v="1214"/>
    <x v="368"/>
    <x v="416"/>
    <x v="14"/>
    <x v="1"/>
    <x v="0"/>
    <x v="65"/>
  </r>
  <r>
    <x v="1215"/>
    <x v="369"/>
    <x v="427"/>
    <x v="8"/>
    <x v="1"/>
    <x v="2"/>
    <x v="95"/>
  </r>
  <r>
    <x v="1216"/>
    <x v="369"/>
    <x v="424"/>
    <x v="12"/>
    <x v="1"/>
    <x v="0"/>
    <x v="34"/>
  </r>
  <r>
    <x v="1217"/>
    <x v="369"/>
    <x v="218"/>
    <x v="15"/>
    <x v="1"/>
    <x v="0"/>
    <x v="89"/>
  </r>
  <r>
    <x v="1218"/>
    <x v="370"/>
    <x v="416"/>
    <x v="14"/>
    <x v="1"/>
    <x v="0"/>
    <x v="201"/>
  </r>
  <r>
    <x v="1219"/>
    <x v="370"/>
    <x v="433"/>
    <x v="0"/>
    <x v="1"/>
    <x v="0"/>
    <x v="236"/>
  </r>
  <r>
    <x v="1220"/>
    <x v="370"/>
    <x v="417"/>
    <x v="0"/>
    <x v="1"/>
    <x v="0"/>
    <x v="39"/>
  </r>
  <r>
    <x v="1221"/>
    <x v="371"/>
    <x v="434"/>
    <x v="10"/>
    <x v="1"/>
    <x v="0"/>
    <x v="45"/>
  </r>
  <r>
    <x v="1222"/>
    <x v="371"/>
    <x v="416"/>
    <x v="14"/>
    <x v="1"/>
    <x v="0"/>
    <x v="2"/>
  </r>
  <r>
    <x v="1223"/>
    <x v="371"/>
    <x v="123"/>
    <x v="2"/>
    <x v="1"/>
    <x v="0"/>
    <x v="40"/>
  </r>
  <r>
    <x v="1224"/>
    <x v="372"/>
    <x v="427"/>
    <x v="8"/>
    <x v="1"/>
    <x v="2"/>
    <x v="81"/>
  </r>
  <r>
    <x v="1225"/>
    <x v="372"/>
    <x v="424"/>
    <x v="12"/>
    <x v="1"/>
    <x v="0"/>
    <x v="52"/>
  </r>
  <r>
    <x v="1226"/>
    <x v="372"/>
    <x v="123"/>
    <x v="2"/>
    <x v="1"/>
    <x v="0"/>
    <x v="40"/>
  </r>
  <r>
    <x v="1227"/>
    <x v="372"/>
    <x v="435"/>
    <x v="2"/>
    <x v="1"/>
    <x v="0"/>
    <x v="19"/>
  </r>
  <r>
    <x v="1228"/>
    <x v="373"/>
    <x v="123"/>
    <x v="2"/>
    <x v="1"/>
    <x v="0"/>
    <x v="40"/>
  </r>
  <r>
    <x v="1229"/>
    <x v="374"/>
    <x v="416"/>
    <x v="14"/>
    <x v="1"/>
    <x v="0"/>
    <x v="57"/>
  </r>
  <r>
    <x v="1230"/>
    <x v="374"/>
    <x v="436"/>
    <x v="0"/>
    <x v="1"/>
    <x v="0"/>
    <x v="225"/>
  </r>
  <r>
    <x v="1231"/>
    <x v="375"/>
    <x v="427"/>
    <x v="8"/>
    <x v="1"/>
    <x v="2"/>
    <x v="78"/>
  </r>
  <r>
    <x v="1232"/>
    <x v="376"/>
    <x v="424"/>
    <x v="12"/>
    <x v="1"/>
    <x v="0"/>
    <x v="206"/>
  </r>
  <r>
    <x v="1233"/>
    <x v="376"/>
    <x v="416"/>
    <x v="14"/>
    <x v="1"/>
    <x v="0"/>
    <x v="237"/>
  </r>
  <r>
    <x v="1234"/>
    <x v="377"/>
    <x v="417"/>
    <x v="0"/>
    <x v="1"/>
    <x v="0"/>
    <x v="39"/>
  </r>
  <r>
    <x v="1235"/>
    <x v="378"/>
    <x v="218"/>
    <x v="15"/>
    <x v="1"/>
    <x v="0"/>
    <x v="57"/>
  </r>
  <r>
    <x v="1236"/>
    <x v="379"/>
    <x v="416"/>
    <x v="14"/>
    <x v="1"/>
    <x v="0"/>
    <x v="41"/>
  </r>
  <r>
    <x v="1237"/>
    <x v="377"/>
    <x v="427"/>
    <x v="8"/>
    <x v="1"/>
    <x v="2"/>
    <x v="76"/>
  </r>
  <r>
    <x v="1238"/>
    <x v="377"/>
    <x v="437"/>
    <x v="1"/>
    <x v="1"/>
    <x v="0"/>
    <x v="83"/>
  </r>
  <r>
    <x v="1239"/>
    <x v="377"/>
    <x v="424"/>
    <x v="12"/>
    <x v="1"/>
    <x v="0"/>
    <x v="34"/>
  </r>
  <r>
    <x v="1240"/>
    <x v="377"/>
    <x v="417"/>
    <x v="0"/>
    <x v="1"/>
    <x v="0"/>
    <x v="41"/>
  </r>
  <r>
    <x v="1241"/>
    <x v="377"/>
    <x v="416"/>
    <x v="14"/>
    <x v="1"/>
    <x v="0"/>
    <x v="2"/>
  </r>
  <r>
    <x v="1242"/>
    <x v="380"/>
    <x v="420"/>
    <x v="9"/>
    <x v="1"/>
    <x v="0"/>
    <x v="234"/>
  </r>
  <r>
    <x v="1243"/>
    <x v="380"/>
    <x v="427"/>
    <x v="8"/>
    <x v="1"/>
    <x v="2"/>
    <x v="120"/>
  </r>
  <r>
    <x v="1244"/>
    <x v="381"/>
    <x v="424"/>
    <x v="12"/>
    <x v="1"/>
    <x v="0"/>
    <x v="52"/>
  </r>
  <r>
    <x v="1245"/>
    <x v="382"/>
    <x v="427"/>
    <x v="8"/>
    <x v="1"/>
    <x v="2"/>
    <x v="120"/>
  </r>
  <r>
    <x v="1246"/>
    <x v="382"/>
    <x v="438"/>
    <x v="0"/>
    <x v="1"/>
    <x v="0"/>
    <x v="13"/>
  </r>
  <r>
    <x v="1247"/>
    <x v="382"/>
    <x v="416"/>
    <x v="14"/>
    <x v="1"/>
    <x v="0"/>
    <x v="121"/>
  </r>
  <r>
    <x v="1248"/>
    <x v="382"/>
    <x v="218"/>
    <x v="15"/>
    <x v="1"/>
    <x v="0"/>
    <x v="65"/>
  </r>
  <r>
    <x v="1249"/>
    <x v="382"/>
    <x v="416"/>
    <x v="14"/>
    <x v="1"/>
    <x v="0"/>
    <x v="2"/>
  </r>
  <r>
    <x v="1250"/>
    <x v="383"/>
    <x v="123"/>
    <x v="2"/>
    <x v="1"/>
    <x v="0"/>
    <x v="40"/>
  </r>
  <r>
    <x v="1251"/>
    <x v="383"/>
    <x v="424"/>
    <x v="12"/>
    <x v="1"/>
    <x v="0"/>
    <x v="41"/>
  </r>
  <r>
    <x v="1252"/>
    <x v="383"/>
    <x v="417"/>
    <x v="0"/>
    <x v="1"/>
    <x v="0"/>
    <x v="41"/>
  </r>
  <r>
    <x v="1253"/>
    <x v="384"/>
    <x v="416"/>
    <x v="14"/>
    <x v="1"/>
    <x v="0"/>
    <x v="2"/>
  </r>
  <r>
    <x v="1254"/>
    <x v="385"/>
    <x v="427"/>
    <x v="8"/>
    <x v="1"/>
    <x v="2"/>
    <x v="120"/>
  </r>
  <r>
    <x v="1255"/>
    <x v="385"/>
    <x v="424"/>
    <x v="12"/>
    <x v="1"/>
    <x v="0"/>
    <x v="52"/>
  </r>
  <r>
    <x v="1256"/>
    <x v="386"/>
    <x v="137"/>
    <x v="7"/>
    <x v="1"/>
    <x v="0"/>
    <x v="41"/>
  </r>
  <r>
    <x v="1257"/>
    <x v="386"/>
    <x v="416"/>
    <x v="14"/>
    <x v="1"/>
    <x v="0"/>
    <x v="41"/>
  </r>
  <r>
    <x v="1258"/>
    <x v="386"/>
    <x v="123"/>
    <x v="2"/>
    <x v="1"/>
    <x v="0"/>
    <x v="47"/>
  </r>
  <r>
    <x v="1259"/>
    <x v="386"/>
    <x v="427"/>
    <x v="8"/>
    <x v="1"/>
    <x v="2"/>
    <x v="81"/>
  </r>
  <r>
    <x v="1260"/>
    <x v="386"/>
    <x v="424"/>
    <x v="12"/>
    <x v="1"/>
    <x v="0"/>
    <x v="34"/>
  </r>
  <r>
    <x v="1261"/>
    <x v="387"/>
    <x v="434"/>
    <x v="10"/>
    <x v="1"/>
    <x v="0"/>
    <x v="65"/>
  </r>
  <r>
    <x v="1262"/>
    <x v="387"/>
    <x v="137"/>
    <x v="7"/>
    <x v="1"/>
    <x v="0"/>
    <x v="41"/>
  </r>
  <r>
    <x v="1263"/>
    <x v="387"/>
    <x v="439"/>
    <x v="0"/>
    <x v="1"/>
    <x v="0"/>
    <x v="82"/>
  </r>
  <r>
    <x v="1264"/>
    <x v="387"/>
    <x v="427"/>
    <x v="8"/>
    <x v="1"/>
    <x v="2"/>
    <x v="81"/>
  </r>
  <r>
    <x v="1265"/>
    <x v="388"/>
    <x v="416"/>
    <x v="14"/>
    <x v="1"/>
    <x v="0"/>
    <x v="2"/>
  </r>
  <r>
    <x v="1266"/>
    <x v="389"/>
    <x v="424"/>
    <x v="12"/>
    <x v="1"/>
    <x v="0"/>
    <x v="57"/>
  </r>
  <r>
    <x v="1267"/>
    <x v="389"/>
    <x v="416"/>
    <x v="14"/>
    <x v="1"/>
    <x v="0"/>
    <x v="65"/>
  </r>
  <r>
    <x v="1268"/>
    <x v="390"/>
    <x v="427"/>
    <x v="8"/>
    <x v="1"/>
    <x v="2"/>
    <x v="238"/>
  </r>
  <r>
    <x v="1269"/>
    <x v="390"/>
    <x v="434"/>
    <x v="10"/>
    <x v="1"/>
    <x v="0"/>
    <x v="34"/>
  </r>
  <r>
    <x v="1270"/>
    <x v="390"/>
    <x v="424"/>
    <x v="12"/>
    <x v="1"/>
    <x v="0"/>
    <x v="34"/>
  </r>
  <r>
    <x v="1271"/>
    <x v="391"/>
    <x v="416"/>
    <x v="14"/>
    <x v="1"/>
    <x v="0"/>
    <x v="2"/>
  </r>
  <r>
    <x v="1272"/>
    <x v="392"/>
    <x v="428"/>
    <x v="0"/>
    <x v="1"/>
    <x v="0"/>
    <x v="160"/>
  </r>
  <r>
    <x v="1273"/>
    <x v="393"/>
    <x v="440"/>
    <x v="0"/>
    <x v="1"/>
    <x v="0"/>
    <x v="16"/>
  </r>
  <r>
    <x v="1274"/>
    <x v="393"/>
    <x v="427"/>
    <x v="8"/>
    <x v="1"/>
    <x v="2"/>
    <x v="81"/>
  </r>
  <r>
    <x v="1275"/>
    <x v="394"/>
    <x v="427"/>
    <x v="8"/>
    <x v="1"/>
    <x v="2"/>
    <x v="76"/>
  </r>
  <r>
    <x v="1276"/>
    <x v="394"/>
    <x v="434"/>
    <x v="10"/>
    <x v="1"/>
    <x v="0"/>
    <x v="52"/>
  </r>
  <r>
    <x v="1277"/>
    <x v="394"/>
    <x v="424"/>
    <x v="12"/>
    <x v="1"/>
    <x v="0"/>
    <x v="34"/>
  </r>
  <r>
    <x v="1278"/>
    <x v="394"/>
    <x v="441"/>
    <x v="1"/>
    <x v="1"/>
    <x v="0"/>
    <x v="83"/>
  </r>
  <r>
    <x v="1279"/>
    <x v="395"/>
    <x v="442"/>
    <x v="0"/>
    <x v="1"/>
    <x v="0"/>
    <x v="199"/>
  </r>
  <r>
    <x v="1280"/>
    <x v="395"/>
    <x v="416"/>
    <x v="14"/>
    <x v="1"/>
    <x v="0"/>
    <x v="2"/>
  </r>
  <r>
    <x v="1281"/>
    <x v="395"/>
    <x v="443"/>
    <x v="0"/>
    <x v="1"/>
    <x v="0"/>
    <x v="12"/>
  </r>
  <r>
    <x v="1282"/>
    <x v="396"/>
    <x v="427"/>
    <x v="8"/>
    <x v="1"/>
    <x v="2"/>
    <x v="144"/>
  </r>
  <r>
    <x v="1283"/>
    <x v="396"/>
    <x v="434"/>
    <x v="10"/>
    <x v="1"/>
    <x v="0"/>
    <x v="65"/>
  </r>
  <r>
    <x v="1284"/>
    <x v="396"/>
    <x v="416"/>
    <x v="14"/>
    <x v="1"/>
    <x v="0"/>
    <x v="57"/>
  </r>
  <r>
    <x v="1285"/>
    <x v="396"/>
    <x v="424"/>
    <x v="12"/>
    <x v="1"/>
    <x v="0"/>
    <x v="128"/>
  </r>
  <r>
    <x v="1286"/>
    <x v="397"/>
    <x v="427"/>
    <x v="8"/>
    <x v="1"/>
    <x v="2"/>
    <x v="81"/>
  </r>
  <r>
    <x v="1287"/>
    <x v="397"/>
    <x v="424"/>
    <x v="12"/>
    <x v="1"/>
    <x v="0"/>
    <x v="34"/>
  </r>
  <r>
    <x v="1288"/>
    <x v="398"/>
    <x v="444"/>
    <x v="0"/>
    <x v="1"/>
    <x v="0"/>
    <x v="239"/>
  </r>
  <r>
    <x v="1289"/>
    <x v="399"/>
    <x v="416"/>
    <x v="14"/>
    <x v="1"/>
    <x v="0"/>
    <x v="57"/>
  </r>
  <r>
    <x v="1290"/>
    <x v="400"/>
    <x v="445"/>
    <x v="1"/>
    <x v="1"/>
    <x v="0"/>
    <x v="83"/>
  </r>
  <r>
    <x v="1291"/>
    <x v="401"/>
    <x v="417"/>
    <x v="0"/>
    <x v="1"/>
    <x v="0"/>
    <x v="39"/>
  </r>
  <r>
    <x v="1292"/>
    <x v="401"/>
    <x v="417"/>
    <x v="0"/>
    <x v="1"/>
    <x v="0"/>
    <x v="2"/>
  </r>
  <r>
    <x v="1293"/>
    <x v="401"/>
    <x v="446"/>
    <x v="0"/>
    <x v="1"/>
    <x v="0"/>
    <x v="240"/>
  </r>
  <r>
    <x v="1294"/>
    <x v="402"/>
    <x v="427"/>
    <x v="8"/>
    <x v="1"/>
    <x v="2"/>
    <x v="144"/>
  </r>
  <r>
    <x v="1295"/>
    <x v="402"/>
    <x v="447"/>
    <x v="0"/>
    <x v="1"/>
    <x v="0"/>
    <x v="143"/>
  </r>
  <r>
    <x v="1296"/>
    <x v="402"/>
    <x v="416"/>
    <x v="14"/>
    <x v="1"/>
    <x v="0"/>
    <x v="41"/>
  </r>
  <r>
    <x v="1297"/>
    <x v="403"/>
    <x v="417"/>
    <x v="0"/>
    <x v="1"/>
    <x v="0"/>
    <x v="39"/>
  </r>
  <r>
    <x v="1298"/>
    <x v="404"/>
    <x v="417"/>
    <x v="0"/>
    <x v="1"/>
    <x v="0"/>
    <x v="39"/>
  </r>
  <r>
    <x v="1299"/>
    <x v="405"/>
    <x v="427"/>
    <x v="8"/>
    <x v="1"/>
    <x v="2"/>
    <x v="76"/>
  </r>
  <r>
    <x v="1300"/>
    <x v="406"/>
    <x v="448"/>
    <x v="6"/>
    <x v="1"/>
    <x v="0"/>
    <x v="174"/>
  </r>
  <r>
    <x v="1301"/>
    <x v="406"/>
    <x v="449"/>
    <x v="0"/>
    <x v="1"/>
    <x v="0"/>
    <x v="241"/>
  </r>
  <r>
    <x v="1302"/>
    <x v="406"/>
    <x v="450"/>
    <x v="2"/>
    <x v="1"/>
    <x v="0"/>
    <x v="20"/>
  </r>
  <r>
    <x v="1303"/>
    <x v="406"/>
    <x v="451"/>
    <x v="0"/>
    <x v="1"/>
    <x v="0"/>
    <x v="151"/>
  </r>
  <r>
    <x v="1304"/>
    <x v="406"/>
    <x v="416"/>
    <x v="14"/>
    <x v="1"/>
    <x v="0"/>
    <x v="2"/>
  </r>
  <r>
    <x v="1305"/>
    <x v="407"/>
    <x v="452"/>
    <x v="0"/>
    <x v="1"/>
    <x v="0"/>
    <x v="89"/>
  </r>
  <r>
    <x v="1306"/>
    <x v="407"/>
    <x v="416"/>
    <x v="14"/>
    <x v="1"/>
    <x v="0"/>
    <x v="2"/>
  </r>
  <r>
    <x v="1307"/>
    <x v="408"/>
    <x v="453"/>
    <x v="2"/>
    <x v="1"/>
    <x v="0"/>
    <x v="242"/>
  </r>
  <r>
    <x v="1308"/>
    <x v="408"/>
    <x v="427"/>
    <x v="8"/>
    <x v="1"/>
    <x v="2"/>
    <x v="243"/>
  </r>
  <r>
    <x v="1309"/>
    <x v="408"/>
    <x v="218"/>
    <x v="15"/>
    <x v="1"/>
    <x v="0"/>
    <x v="57"/>
  </r>
  <r>
    <x v="1310"/>
    <x v="409"/>
    <x v="454"/>
    <x v="0"/>
    <x v="1"/>
    <x v="0"/>
    <x v="244"/>
  </r>
  <r>
    <x v="1311"/>
    <x v="409"/>
    <x v="417"/>
    <x v="0"/>
    <x v="1"/>
    <x v="0"/>
    <x v="2"/>
  </r>
  <r>
    <x v="1312"/>
    <x v="410"/>
    <x v="417"/>
    <x v="0"/>
    <x v="1"/>
    <x v="0"/>
    <x v="39"/>
  </r>
  <r>
    <x v="1313"/>
    <x v="411"/>
    <x v="427"/>
    <x v="8"/>
    <x v="1"/>
    <x v="2"/>
    <x v="192"/>
  </r>
  <r>
    <x v="1314"/>
    <x v="412"/>
    <x v="424"/>
    <x v="12"/>
    <x v="1"/>
    <x v="0"/>
    <x v="5"/>
  </r>
  <r>
    <x v="1315"/>
    <x v="412"/>
    <x v="218"/>
    <x v="15"/>
    <x v="1"/>
    <x v="0"/>
    <x v="57"/>
  </r>
  <r>
    <x v="1316"/>
    <x v="413"/>
    <x v="416"/>
    <x v="14"/>
    <x v="1"/>
    <x v="0"/>
    <x v="51"/>
  </r>
  <r>
    <x v="1317"/>
    <x v="413"/>
    <x v="417"/>
    <x v="0"/>
    <x v="1"/>
    <x v="0"/>
    <x v="57"/>
  </r>
  <r>
    <x v="1318"/>
    <x v="413"/>
    <x v="455"/>
    <x v="1"/>
    <x v="1"/>
    <x v="0"/>
    <x v="57"/>
  </r>
  <r>
    <x v="1319"/>
    <x v="414"/>
    <x v="456"/>
    <x v="0"/>
    <x v="1"/>
    <x v="0"/>
    <x v="2"/>
  </r>
  <r>
    <x v="1320"/>
    <x v="414"/>
    <x v="416"/>
    <x v="14"/>
    <x v="1"/>
    <x v="0"/>
    <x v="39"/>
  </r>
  <r>
    <x v="1321"/>
    <x v="414"/>
    <x v="457"/>
    <x v="0"/>
    <x v="1"/>
    <x v="0"/>
    <x v="82"/>
  </r>
  <r>
    <x v="1322"/>
    <x v="415"/>
    <x v="458"/>
    <x v="0"/>
    <x v="1"/>
    <x v="0"/>
    <x v="7"/>
  </r>
  <r>
    <x v="1323"/>
    <x v="415"/>
    <x v="459"/>
    <x v="8"/>
    <x v="1"/>
    <x v="2"/>
    <x v="95"/>
  </r>
  <r>
    <x v="1324"/>
    <x v="416"/>
    <x v="417"/>
    <x v="0"/>
    <x v="1"/>
    <x v="0"/>
    <x v="41"/>
  </r>
  <r>
    <x v="1325"/>
    <x v="416"/>
    <x v="460"/>
    <x v="0"/>
    <x v="1"/>
    <x v="0"/>
    <x v="184"/>
  </r>
  <r>
    <x v="1326"/>
    <x v="417"/>
    <x v="424"/>
    <x v="12"/>
    <x v="1"/>
    <x v="0"/>
    <x v="34"/>
  </r>
  <r>
    <x v="1327"/>
    <x v="418"/>
    <x v="458"/>
    <x v="0"/>
    <x v="1"/>
    <x v="0"/>
    <x v="2"/>
  </r>
  <r>
    <x v="1328"/>
    <x v="418"/>
    <x v="417"/>
    <x v="0"/>
    <x v="1"/>
    <x v="0"/>
    <x v="39"/>
  </r>
  <r>
    <x v="1329"/>
    <x v="418"/>
    <x v="461"/>
    <x v="2"/>
    <x v="1"/>
    <x v="0"/>
    <x v="11"/>
  </r>
  <r>
    <x v="1330"/>
    <x v="418"/>
    <x v="417"/>
    <x v="0"/>
    <x v="1"/>
    <x v="0"/>
    <x v="89"/>
  </r>
  <r>
    <x v="1331"/>
    <x v="418"/>
    <x v="461"/>
    <x v="2"/>
    <x v="1"/>
    <x v="0"/>
    <x v="11"/>
  </r>
  <r>
    <x v="1332"/>
    <x v="418"/>
    <x v="123"/>
    <x v="2"/>
    <x v="1"/>
    <x v="0"/>
    <x v="40"/>
  </r>
  <r>
    <x v="1333"/>
    <x v="419"/>
    <x v="462"/>
    <x v="2"/>
    <x v="1"/>
    <x v="0"/>
    <x v="79"/>
  </r>
  <r>
    <x v="1334"/>
    <x v="419"/>
    <x v="137"/>
    <x v="7"/>
    <x v="1"/>
    <x v="0"/>
    <x v="9"/>
  </r>
  <r>
    <x v="1335"/>
    <x v="419"/>
    <x v="463"/>
    <x v="1"/>
    <x v="1"/>
    <x v="0"/>
    <x v="83"/>
  </r>
  <r>
    <x v="1336"/>
    <x v="420"/>
    <x v="464"/>
    <x v="8"/>
    <x v="1"/>
    <x v="2"/>
    <x v="78"/>
  </r>
  <r>
    <x v="1337"/>
    <x v="420"/>
    <x v="465"/>
    <x v="9"/>
    <x v="1"/>
    <x v="0"/>
    <x v="34"/>
  </r>
  <r>
    <x v="1338"/>
    <x v="421"/>
    <x v="424"/>
    <x v="12"/>
    <x v="1"/>
    <x v="0"/>
    <x v="37"/>
  </r>
  <r>
    <x v="1339"/>
    <x v="421"/>
    <x v="428"/>
    <x v="0"/>
    <x v="1"/>
    <x v="0"/>
    <x v="191"/>
  </r>
  <r>
    <x v="1340"/>
    <x v="421"/>
    <x v="123"/>
    <x v="2"/>
    <x v="1"/>
    <x v="0"/>
    <x v="40"/>
  </r>
  <r>
    <x v="1341"/>
    <x v="421"/>
    <x v="466"/>
    <x v="4"/>
    <x v="1"/>
    <x v="0"/>
    <x v="57"/>
  </r>
  <r>
    <x v="1342"/>
    <x v="421"/>
    <x v="417"/>
    <x v="0"/>
    <x v="1"/>
    <x v="0"/>
    <x v="39"/>
  </r>
  <r>
    <x v="1343"/>
    <x v="421"/>
    <x v="467"/>
    <x v="2"/>
    <x v="1"/>
    <x v="0"/>
    <x v="152"/>
  </r>
  <r>
    <x v="1344"/>
    <x v="421"/>
    <x v="468"/>
    <x v="2"/>
    <x v="1"/>
    <x v="0"/>
    <x v="165"/>
  </r>
  <r>
    <x v="1345"/>
    <x v="421"/>
    <x v="428"/>
    <x v="0"/>
    <x v="1"/>
    <x v="0"/>
    <x v="191"/>
  </r>
  <r>
    <x v="1346"/>
    <x v="421"/>
    <x v="461"/>
    <x v="2"/>
    <x v="1"/>
    <x v="0"/>
    <x v="40"/>
  </r>
  <r>
    <x v="1347"/>
    <x v="422"/>
    <x v="417"/>
    <x v="0"/>
    <x v="1"/>
    <x v="0"/>
    <x v="39"/>
  </r>
  <r>
    <x v="1348"/>
    <x v="423"/>
    <x v="417"/>
    <x v="0"/>
    <x v="1"/>
    <x v="0"/>
    <x v="39"/>
  </r>
  <r>
    <x v="1349"/>
    <x v="424"/>
    <x v="417"/>
    <x v="0"/>
    <x v="1"/>
    <x v="0"/>
    <x v="39"/>
  </r>
  <r>
    <x v="1350"/>
    <x v="425"/>
    <x v="469"/>
    <x v="0"/>
    <x v="1"/>
    <x v="0"/>
    <x v="245"/>
  </r>
  <r>
    <x v="1351"/>
    <x v="426"/>
    <x v="466"/>
    <x v="4"/>
    <x v="1"/>
    <x v="0"/>
    <x v="89"/>
  </r>
  <r>
    <x v="1352"/>
    <x v="427"/>
    <x v="417"/>
    <x v="0"/>
    <x v="1"/>
    <x v="0"/>
    <x v="2"/>
  </r>
  <r>
    <x v="1353"/>
    <x v="428"/>
    <x v="470"/>
    <x v="8"/>
    <x v="1"/>
    <x v="2"/>
    <x v="81"/>
  </r>
  <r>
    <x v="1354"/>
    <x v="429"/>
    <x v="417"/>
    <x v="0"/>
    <x v="1"/>
    <x v="0"/>
    <x v="39"/>
  </r>
  <r>
    <x v="1355"/>
    <x v="430"/>
    <x v="417"/>
    <x v="0"/>
    <x v="1"/>
    <x v="0"/>
    <x v="39"/>
  </r>
  <r>
    <x v="1356"/>
    <x v="430"/>
    <x v="471"/>
    <x v="1"/>
    <x v="1"/>
    <x v="0"/>
    <x v="83"/>
  </r>
  <r>
    <x v="1357"/>
    <x v="430"/>
    <x v="472"/>
    <x v="0"/>
    <x v="1"/>
    <x v="0"/>
    <x v="2"/>
  </r>
  <r>
    <x v="1358"/>
    <x v="431"/>
    <x v="473"/>
    <x v="16"/>
    <x v="1"/>
    <x v="0"/>
    <x v="41"/>
  </r>
  <r>
    <x v="1359"/>
    <x v="431"/>
    <x v="474"/>
    <x v="0"/>
    <x v="1"/>
    <x v="0"/>
    <x v="184"/>
  </r>
  <r>
    <x v="1360"/>
    <x v="432"/>
    <x v="473"/>
    <x v="16"/>
    <x v="1"/>
    <x v="0"/>
    <x v="41"/>
  </r>
  <r>
    <x v="1361"/>
    <x v="432"/>
    <x v="123"/>
    <x v="2"/>
    <x v="1"/>
    <x v="0"/>
    <x v="40"/>
  </r>
  <r>
    <x v="1362"/>
    <x v="432"/>
    <x v="475"/>
    <x v="2"/>
    <x v="1"/>
    <x v="0"/>
    <x v="20"/>
  </r>
  <r>
    <x v="1363"/>
    <x v="432"/>
    <x v="476"/>
    <x v="2"/>
    <x v="1"/>
    <x v="0"/>
    <x v="127"/>
  </r>
  <r>
    <x v="1364"/>
    <x v="432"/>
    <x v="417"/>
    <x v="0"/>
    <x v="1"/>
    <x v="0"/>
    <x v="184"/>
  </r>
  <r>
    <x v="1365"/>
    <x v="432"/>
    <x v="473"/>
    <x v="16"/>
    <x v="1"/>
    <x v="0"/>
    <x v="39"/>
  </r>
  <r>
    <x v="1366"/>
    <x v="433"/>
    <x v="470"/>
    <x v="8"/>
    <x v="1"/>
    <x v="2"/>
    <x v="246"/>
  </r>
  <r>
    <x v="1367"/>
    <x v="433"/>
    <x v="477"/>
    <x v="2"/>
    <x v="1"/>
    <x v="0"/>
    <x v="247"/>
  </r>
  <r>
    <x v="1368"/>
    <x v="433"/>
    <x v="218"/>
    <x v="15"/>
    <x v="1"/>
    <x v="0"/>
    <x v="52"/>
  </r>
  <r>
    <x v="1369"/>
    <x v="433"/>
    <x v="123"/>
    <x v="2"/>
    <x v="1"/>
    <x v="0"/>
    <x v="40"/>
  </r>
  <r>
    <x v="1370"/>
    <x v="434"/>
    <x v="466"/>
    <x v="4"/>
    <x v="1"/>
    <x v="0"/>
    <x v="57"/>
  </r>
  <r>
    <x v="1371"/>
    <x v="434"/>
    <x v="434"/>
    <x v="10"/>
    <x v="1"/>
    <x v="0"/>
    <x v="52"/>
  </r>
  <r>
    <x v="1372"/>
    <x v="434"/>
    <x v="123"/>
    <x v="2"/>
    <x v="1"/>
    <x v="0"/>
    <x v="40"/>
  </r>
  <r>
    <x v="1373"/>
    <x v="434"/>
    <x v="424"/>
    <x v="12"/>
    <x v="1"/>
    <x v="0"/>
    <x v="52"/>
  </r>
  <r>
    <x v="1374"/>
    <x v="434"/>
    <x v="478"/>
    <x v="0"/>
    <x v="1"/>
    <x v="0"/>
    <x v="191"/>
  </r>
  <r>
    <x v="1375"/>
    <x v="434"/>
    <x v="473"/>
    <x v="16"/>
    <x v="1"/>
    <x v="0"/>
    <x v="41"/>
  </r>
  <r>
    <x v="1376"/>
    <x v="434"/>
    <x v="417"/>
    <x v="0"/>
    <x v="1"/>
    <x v="0"/>
    <x v="201"/>
  </r>
  <r>
    <x v="1377"/>
    <x v="435"/>
    <x v="473"/>
    <x v="16"/>
    <x v="1"/>
    <x v="0"/>
    <x v="79"/>
  </r>
  <r>
    <x v="1378"/>
    <x v="435"/>
    <x v="476"/>
    <x v="2"/>
    <x v="1"/>
    <x v="0"/>
    <x v="127"/>
  </r>
  <r>
    <x v="1379"/>
    <x v="436"/>
    <x v="416"/>
    <x v="14"/>
    <x v="1"/>
    <x v="0"/>
    <x v="41"/>
  </r>
  <r>
    <x v="1380"/>
    <x v="437"/>
    <x v="416"/>
    <x v="14"/>
    <x v="1"/>
    <x v="0"/>
    <x v="39"/>
  </r>
  <r>
    <x v="1381"/>
    <x v="437"/>
    <x v="479"/>
    <x v="0"/>
    <x v="1"/>
    <x v="0"/>
    <x v="94"/>
  </r>
  <r>
    <x v="1382"/>
    <x v="437"/>
    <x v="470"/>
    <x v="8"/>
    <x v="1"/>
    <x v="2"/>
    <x v="76"/>
  </r>
  <r>
    <x v="1383"/>
    <x v="437"/>
    <x v="424"/>
    <x v="12"/>
    <x v="1"/>
    <x v="0"/>
    <x v="65"/>
  </r>
  <r>
    <x v="1384"/>
    <x v="438"/>
    <x v="424"/>
    <x v="12"/>
    <x v="1"/>
    <x v="0"/>
    <x v="57"/>
  </r>
  <r>
    <x v="1385"/>
    <x v="438"/>
    <x v="416"/>
    <x v="14"/>
    <x v="1"/>
    <x v="0"/>
    <x v="2"/>
  </r>
  <r>
    <x v="1386"/>
    <x v="439"/>
    <x v="417"/>
    <x v="0"/>
    <x v="1"/>
    <x v="0"/>
    <x v="39"/>
  </r>
  <r>
    <x v="1387"/>
    <x v="440"/>
    <x v="416"/>
    <x v="14"/>
    <x v="1"/>
    <x v="0"/>
    <x v="41"/>
  </r>
  <r>
    <x v="1388"/>
    <x v="440"/>
    <x v="480"/>
    <x v="0"/>
    <x v="1"/>
    <x v="0"/>
    <x v="240"/>
  </r>
  <r>
    <x v="1389"/>
    <x v="440"/>
    <x v="481"/>
    <x v="1"/>
    <x v="1"/>
    <x v="0"/>
    <x v="83"/>
  </r>
  <r>
    <x v="1390"/>
    <x v="441"/>
    <x v="434"/>
    <x v="10"/>
    <x v="1"/>
    <x v="0"/>
    <x v="57"/>
  </r>
  <r>
    <x v="1391"/>
    <x v="442"/>
    <x v="218"/>
    <x v="15"/>
    <x v="1"/>
    <x v="0"/>
    <x v="57"/>
  </r>
  <r>
    <x v="1392"/>
    <x v="443"/>
    <x v="417"/>
    <x v="0"/>
    <x v="1"/>
    <x v="0"/>
    <x v="41"/>
  </r>
  <r>
    <x v="1393"/>
    <x v="444"/>
    <x v="424"/>
    <x v="12"/>
    <x v="1"/>
    <x v="0"/>
    <x v="57"/>
  </r>
  <r>
    <x v="1394"/>
    <x v="444"/>
    <x v="416"/>
    <x v="14"/>
    <x v="1"/>
    <x v="0"/>
    <x v="2"/>
  </r>
  <r>
    <x v="1395"/>
    <x v="445"/>
    <x v="416"/>
    <x v="14"/>
    <x v="1"/>
    <x v="0"/>
    <x v="2"/>
  </r>
  <r>
    <x v="1396"/>
    <x v="445"/>
    <x v="346"/>
    <x v="2"/>
    <x v="1"/>
    <x v="0"/>
    <x v="79"/>
  </r>
  <r>
    <x v="1397"/>
    <x v="446"/>
    <x v="470"/>
    <x v="8"/>
    <x v="1"/>
    <x v="2"/>
    <x v="81"/>
  </r>
  <r>
    <x v="1398"/>
    <x v="446"/>
    <x v="424"/>
    <x v="12"/>
    <x v="1"/>
    <x v="0"/>
    <x v="65"/>
  </r>
  <r>
    <x v="1399"/>
    <x v="447"/>
    <x v="123"/>
    <x v="2"/>
    <x v="1"/>
    <x v="0"/>
    <x v="40"/>
  </r>
  <r>
    <x v="1400"/>
    <x v="447"/>
    <x v="482"/>
    <x v="2"/>
    <x v="1"/>
    <x v="0"/>
    <x v="2"/>
  </r>
  <r>
    <x v="1401"/>
    <x v="448"/>
    <x v="218"/>
    <x v="15"/>
    <x v="1"/>
    <x v="0"/>
    <x v="57"/>
  </r>
  <r>
    <x v="1402"/>
    <x v="449"/>
    <x v="417"/>
    <x v="0"/>
    <x v="1"/>
    <x v="0"/>
    <x v="39"/>
  </r>
  <r>
    <x v="1403"/>
    <x v="450"/>
    <x v="417"/>
    <x v="0"/>
    <x v="1"/>
    <x v="0"/>
    <x v="39"/>
  </r>
  <r>
    <x v="1404"/>
    <x v="450"/>
    <x v="424"/>
    <x v="12"/>
    <x v="1"/>
    <x v="0"/>
    <x v="57"/>
  </r>
  <r>
    <x v="1405"/>
    <x v="451"/>
    <x v="473"/>
    <x v="16"/>
    <x v="1"/>
    <x v="0"/>
    <x v="52"/>
  </r>
  <r>
    <x v="1406"/>
    <x v="451"/>
    <x v="434"/>
    <x v="10"/>
    <x v="1"/>
    <x v="0"/>
    <x v="45"/>
  </r>
  <r>
    <x v="1407"/>
    <x v="451"/>
    <x v="482"/>
    <x v="2"/>
    <x v="1"/>
    <x v="0"/>
    <x v="2"/>
  </r>
  <r>
    <x v="1408"/>
    <x v="451"/>
    <x v="424"/>
    <x v="12"/>
    <x v="1"/>
    <x v="0"/>
    <x v="65"/>
  </r>
  <r>
    <x v="1409"/>
    <x v="451"/>
    <x v="470"/>
    <x v="8"/>
    <x v="1"/>
    <x v="2"/>
    <x v="136"/>
  </r>
  <r>
    <x v="1410"/>
    <x v="452"/>
    <x v="434"/>
    <x v="10"/>
    <x v="1"/>
    <x v="0"/>
    <x v="247"/>
  </r>
  <r>
    <x v="1411"/>
    <x v="452"/>
    <x v="417"/>
    <x v="0"/>
    <x v="1"/>
    <x v="0"/>
    <x v="2"/>
  </r>
  <r>
    <x v="1412"/>
    <x v="452"/>
    <x v="416"/>
    <x v="14"/>
    <x v="1"/>
    <x v="0"/>
    <x v="39"/>
  </r>
  <r>
    <x v="1413"/>
    <x v="453"/>
    <x v="475"/>
    <x v="2"/>
    <x v="1"/>
    <x v="0"/>
    <x v="11"/>
  </r>
  <r>
    <x v="1414"/>
    <x v="453"/>
    <x v="416"/>
    <x v="14"/>
    <x v="1"/>
    <x v="0"/>
    <x v="2"/>
  </r>
  <r>
    <x v="1415"/>
    <x v="453"/>
    <x v="476"/>
    <x v="2"/>
    <x v="1"/>
    <x v="0"/>
    <x v="40"/>
  </r>
  <r>
    <x v="1416"/>
    <x v="454"/>
    <x v="416"/>
    <x v="14"/>
    <x v="1"/>
    <x v="0"/>
    <x v="57"/>
  </r>
  <r>
    <x v="1417"/>
    <x v="454"/>
    <x v="480"/>
    <x v="0"/>
    <x v="1"/>
    <x v="0"/>
    <x v="248"/>
  </r>
  <r>
    <x v="1418"/>
    <x v="455"/>
    <x v="417"/>
    <x v="0"/>
    <x v="1"/>
    <x v="0"/>
    <x v="2"/>
  </r>
  <r>
    <x v="1419"/>
    <x v="455"/>
    <x v="434"/>
    <x v="10"/>
    <x v="1"/>
    <x v="0"/>
    <x v="13"/>
  </r>
  <r>
    <x v="1420"/>
    <x v="456"/>
    <x v="417"/>
    <x v="0"/>
    <x v="1"/>
    <x v="0"/>
    <x v="2"/>
  </r>
  <r>
    <x v="1421"/>
    <x v="456"/>
    <x v="123"/>
    <x v="2"/>
    <x v="1"/>
    <x v="0"/>
    <x v="40"/>
  </r>
  <r>
    <x v="1422"/>
    <x v="456"/>
    <x v="470"/>
    <x v="8"/>
    <x v="1"/>
    <x v="2"/>
    <x v="78"/>
  </r>
  <r>
    <x v="1423"/>
    <x v="456"/>
    <x v="424"/>
    <x v="12"/>
    <x v="1"/>
    <x v="0"/>
    <x v="51"/>
  </r>
  <r>
    <x v="1424"/>
    <x v="456"/>
    <x v="434"/>
    <x v="10"/>
    <x v="1"/>
    <x v="0"/>
    <x v="65"/>
  </r>
  <r>
    <x v="1425"/>
    <x v="456"/>
    <x v="483"/>
    <x v="0"/>
    <x v="1"/>
    <x v="0"/>
    <x v="249"/>
  </r>
  <r>
    <x v="1426"/>
    <x v="456"/>
    <x v="417"/>
    <x v="0"/>
    <x v="1"/>
    <x v="0"/>
    <x v="89"/>
  </r>
  <r>
    <x v="1427"/>
    <x v="456"/>
    <x v="416"/>
    <x v="14"/>
    <x v="1"/>
    <x v="0"/>
    <x v="2"/>
  </r>
  <r>
    <x v="1428"/>
    <x v="457"/>
    <x v="416"/>
    <x v="14"/>
    <x v="1"/>
    <x v="0"/>
    <x v="89"/>
  </r>
  <r>
    <x v="1429"/>
    <x v="458"/>
    <x v="218"/>
    <x v="15"/>
    <x v="1"/>
    <x v="0"/>
    <x v="2"/>
  </r>
  <r>
    <x v="1430"/>
    <x v="458"/>
    <x v="470"/>
    <x v="8"/>
    <x v="1"/>
    <x v="2"/>
    <x v="81"/>
  </r>
  <r>
    <x v="1431"/>
    <x v="459"/>
    <x v="473"/>
    <x v="16"/>
    <x v="1"/>
    <x v="0"/>
    <x v="51"/>
  </r>
  <r>
    <x v="1432"/>
    <x v="459"/>
    <x v="416"/>
    <x v="14"/>
    <x v="1"/>
    <x v="0"/>
    <x v="2"/>
  </r>
  <r>
    <x v="1433"/>
    <x v="459"/>
    <x v="424"/>
    <x v="12"/>
    <x v="1"/>
    <x v="0"/>
    <x v="45"/>
  </r>
  <r>
    <x v="1434"/>
    <x v="460"/>
    <x v="416"/>
    <x v="14"/>
    <x v="1"/>
    <x v="0"/>
    <x v="57"/>
  </r>
  <r>
    <x v="1435"/>
    <x v="460"/>
    <x v="417"/>
    <x v="0"/>
    <x v="1"/>
    <x v="0"/>
    <x v="39"/>
  </r>
  <r>
    <x v="1436"/>
    <x v="461"/>
    <x v="416"/>
    <x v="14"/>
    <x v="1"/>
    <x v="0"/>
    <x v="209"/>
  </r>
  <r>
    <x v="1437"/>
    <x v="461"/>
    <x v="470"/>
    <x v="8"/>
    <x v="1"/>
    <x v="2"/>
    <x v="238"/>
  </r>
  <r>
    <x v="1438"/>
    <x v="461"/>
    <x v="470"/>
    <x v="8"/>
    <x v="1"/>
    <x v="2"/>
    <x v="81"/>
  </r>
  <r>
    <x v="1439"/>
    <x v="461"/>
    <x v="434"/>
    <x v="10"/>
    <x v="1"/>
    <x v="0"/>
    <x v="34"/>
  </r>
  <r>
    <x v="1440"/>
    <x v="461"/>
    <x v="424"/>
    <x v="12"/>
    <x v="1"/>
    <x v="0"/>
    <x v="37"/>
  </r>
  <r>
    <x v="1441"/>
    <x v="461"/>
    <x v="484"/>
    <x v="0"/>
    <x v="1"/>
    <x v="0"/>
    <x v="184"/>
  </r>
  <r>
    <x v="1442"/>
    <x v="462"/>
    <x v="123"/>
    <x v="2"/>
    <x v="1"/>
    <x v="0"/>
    <x v="40"/>
  </r>
  <r>
    <x v="1443"/>
    <x v="462"/>
    <x v="468"/>
    <x v="2"/>
    <x v="1"/>
    <x v="0"/>
    <x v="40"/>
  </r>
  <r>
    <x v="1444"/>
    <x v="463"/>
    <x v="416"/>
    <x v="14"/>
    <x v="1"/>
    <x v="0"/>
    <x v="89"/>
  </r>
  <r>
    <x v="1445"/>
    <x v="464"/>
    <x v="218"/>
    <x v="15"/>
    <x v="1"/>
    <x v="0"/>
    <x v="45"/>
  </r>
  <r>
    <x v="1446"/>
    <x v="465"/>
    <x v="485"/>
    <x v="1"/>
    <x v="1"/>
    <x v="0"/>
    <x v="83"/>
  </r>
  <r>
    <x v="1447"/>
    <x v="466"/>
    <x v="470"/>
    <x v="8"/>
    <x v="1"/>
    <x v="2"/>
    <x v="81"/>
  </r>
  <r>
    <x v="1448"/>
    <x v="466"/>
    <x v="424"/>
    <x v="12"/>
    <x v="1"/>
    <x v="0"/>
    <x v="65"/>
  </r>
  <r>
    <x v="1449"/>
    <x v="466"/>
    <x v="416"/>
    <x v="14"/>
    <x v="1"/>
    <x v="0"/>
    <x v="2"/>
  </r>
  <r>
    <x v="1450"/>
    <x v="467"/>
    <x v="473"/>
    <x v="16"/>
    <x v="1"/>
    <x v="0"/>
    <x v="65"/>
  </r>
  <r>
    <x v="1451"/>
    <x v="467"/>
    <x v="416"/>
    <x v="14"/>
    <x v="1"/>
    <x v="0"/>
    <x v="39"/>
  </r>
  <r>
    <x v="1452"/>
    <x v="468"/>
    <x v="424"/>
    <x v="12"/>
    <x v="1"/>
    <x v="0"/>
    <x v="121"/>
  </r>
  <r>
    <x v="1453"/>
    <x v="468"/>
    <x v="416"/>
    <x v="14"/>
    <x v="1"/>
    <x v="0"/>
    <x v="2"/>
  </r>
  <r>
    <x v="1454"/>
    <x v="468"/>
    <x v="480"/>
    <x v="0"/>
    <x v="1"/>
    <x v="0"/>
    <x v="248"/>
  </r>
  <r>
    <x v="1455"/>
    <x v="468"/>
    <x v="468"/>
    <x v="2"/>
    <x v="1"/>
    <x v="0"/>
    <x v="56"/>
  </r>
  <r>
    <x v="1456"/>
    <x v="468"/>
    <x v="123"/>
    <x v="2"/>
    <x v="1"/>
    <x v="0"/>
    <x v="40"/>
  </r>
  <r>
    <x v="1457"/>
    <x v="469"/>
    <x v="486"/>
    <x v="0"/>
    <x v="1"/>
    <x v="0"/>
    <x v="88"/>
  </r>
  <r>
    <x v="1458"/>
    <x v="469"/>
    <x v="470"/>
    <x v="8"/>
    <x v="1"/>
    <x v="2"/>
    <x v="250"/>
  </r>
  <r>
    <x v="1459"/>
    <x v="469"/>
    <x v="123"/>
    <x v="2"/>
    <x v="1"/>
    <x v="0"/>
    <x v="40"/>
  </r>
  <r>
    <x v="1460"/>
    <x v="470"/>
    <x v="470"/>
    <x v="8"/>
    <x v="1"/>
    <x v="2"/>
    <x v="81"/>
  </r>
  <r>
    <x v="1461"/>
    <x v="470"/>
    <x v="424"/>
    <x v="12"/>
    <x v="1"/>
    <x v="0"/>
    <x v="57"/>
  </r>
  <r>
    <x v="1462"/>
    <x v="471"/>
    <x v="416"/>
    <x v="14"/>
    <x v="1"/>
    <x v="0"/>
    <x v="2"/>
  </r>
  <r>
    <x v="1463"/>
    <x v="472"/>
    <x v="416"/>
    <x v="14"/>
    <x v="1"/>
    <x v="0"/>
    <x v="2"/>
  </r>
  <r>
    <x v="1464"/>
    <x v="472"/>
    <x v="424"/>
    <x v="12"/>
    <x v="1"/>
    <x v="0"/>
    <x v="41"/>
  </r>
  <r>
    <x v="1465"/>
    <x v="473"/>
    <x v="416"/>
    <x v="14"/>
    <x v="1"/>
    <x v="0"/>
    <x v="10"/>
  </r>
  <r>
    <x v="1466"/>
    <x v="474"/>
    <x v="424"/>
    <x v="12"/>
    <x v="1"/>
    <x v="0"/>
    <x v="57"/>
  </r>
  <r>
    <x v="1467"/>
    <x v="475"/>
    <x v="416"/>
    <x v="14"/>
    <x v="1"/>
    <x v="0"/>
    <x v="118"/>
  </r>
  <r>
    <x v="1468"/>
    <x v="475"/>
    <x v="487"/>
    <x v="2"/>
    <x v="1"/>
    <x v="0"/>
    <x v="168"/>
  </r>
  <r>
    <x v="1469"/>
    <x v="476"/>
    <x v="470"/>
    <x v="8"/>
    <x v="1"/>
    <x v="2"/>
    <x v="95"/>
  </r>
  <r>
    <x v="1470"/>
    <x v="476"/>
    <x v="488"/>
    <x v="8"/>
    <x v="1"/>
    <x v="2"/>
    <x v="91"/>
  </r>
  <r>
    <x v="1471"/>
    <x v="476"/>
    <x v="424"/>
    <x v="12"/>
    <x v="1"/>
    <x v="0"/>
    <x v="52"/>
  </r>
  <r>
    <x v="1472"/>
    <x v="477"/>
    <x v="416"/>
    <x v="14"/>
    <x v="1"/>
    <x v="0"/>
    <x v="9"/>
  </r>
  <r>
    <x v="1473"/>
    <x v="478"/>
    <x v="434"/>
    <x v="10"/>
    <x v="1"/>
    <x v="0"/>
    <x v="65"/>
  </r>
  <r>
    <x v="1474"/>
    <x v="478"/>
    <x v="416"/>
    <x v="14"/>
    <x v="1"/>
    <x v="0"/>
    <x v="9"/>
  </r>
  <r>
    <x v="1475"/>
    <x v="479"/>
    <x v="470"/>
    <x v="8"/>
    <x v="1"/>
    <x v="2"/>
    <x v="217"/>
  </r>
  <r>
    <x v="1476"/>
    <x v="479"/>
    <x v="424"/>
    <x v="12"/>
    <x v="1"/>
    <x v="0"/>
    <x v="51"/>
  </r>
  <r>
    <x v="1477"/>
    <x v="479"/>
    <x v="416"/>
    <x v="14"/>
    <x v="1"/>
    <x v="0"/>
    <x v="2"/>
  </r>
  <r>
    <x v="1478"/>
    <x v="480"/>
    <x v="416"/>
    <x v="14"/>
    <x v="1"/>
    <x v="0"/>
    <x v="2"/>
  </r>
  <r>
    <x v="1479"/>
    <x v="480"/>
    <x v="464"/>
    <x v="8"/>
    <x v="1"/>
    <x v="2"/>
    <x v="95"/>
  </r>
  <r>
    <x v="1480"/>
    <x v="480"/>
    <x v="464"/>
    <x v="8"/>
    <x v="1"/>
    <x v="2"/>
    <x v="76"/>
  </r>
  <r>
    <x v="1481"/>
    <x v="480"/>
    <x v="489"/>
    <x v="11"/>
    <x v="2"/>
    <x v="3"/>
    <x v="4"/>
  </r>
  <r>
    <x v="1482"/>
    <x v="481"/>
    <x v="416"/>
    <x v="14"/>
    <x v="1"/>
    <x v="0"/>
    <x v="41"/>
  </r>
  <r>
    <x v="1483"/>
    <x v="482"/>
    <x v="416"/>
    <x v="14"/>
    <x v="1"/>
    <x v="0"/>
    <x v="45"/>
  </r>
  <r>
    <x v="1484"/>
    <x v="482"/>
    <x v="218"/>
    <x v="15"/>
    <x v="1"/>
    <x v="0"/>
    <x v="51"/>
  </r>
  <r>
    <x v="1485"/>
    <x v="483"/>
    <x v="424"/>
    <x v="12"/>
    <x v="1"/>
    <x v="0"/>
    <x v="38"/>
  </r>
  <r>
    <x v="1486"/>
    <x v="483"/>
    <x v="490"/>
    <x v="0"/>
    <x v="1"/>
    <x v="0"/>
    <x v="251"/>
  </r>
  <r>
    <x v="1487"/>
    <x v="483"/>
    <x v="475"/>
    <x v="2"/>
    <x v="1"/>
    <x v="0"/>
    <x v="20"/>
  </r>
  <r>
    <x v="1488"/>
    <x v="483"/>
    <x v="123"/>
    <x v="2"/>
    <x v="1"/>
    <x v="0"/>
    <x v="11"/>
  </r>
  <r>
    <x v="1489"/>
    <x v="483"/>
    <x v="416"/>
    <x v="14"/>
    <x v="1"/>
    <x v="0"/>
    <x v="89"/>
  </r>
  <r>
    <x v="1490"/>
    <x v="484"/>
    <x v="416"/>
    <x v="14"/>
    <x v="1"/>
    <x v="0"/>
    <x v="2"/>
  </r>
  <r>
    <x v="1491"/>
    <x v="485"/>
    <x v="416"/>
    <x v="14"/>
    <x v="1"/>
    <x v="0"/>
    <x v="9"/>
  </r>
  <r>
    <x v="1492"/>
    <x v="485"/>
    <x v="395"/>
    <x v="13"/>
    <x v="1"/>
    <x v="0"/>
    <x v="70"/>
  </r>
  <r>
    <x v="1493"/>
    <x v="486"/>
    <x v="416"/>
    <x v="14"/>
    <x v="1"/>
    <x v="0"/>
    <x v="82"/>
  </r>
  <r>
    <x v="1494"/>
    <x v="487"/>
    <x v="416"/>
    <x v="14"/>
    <x v="1"/>
    <x v="0"/>
    <x v="2"/>
  </r>
  <r>
    <x v="1495"/>
    <x v="487"/>
    <x v="491"/>
    <x v="2"/>
    <x v="1"/>
    <x v="0"/>
    <x v="40"/>
  </r>
  <r>
    <x v="1496"/>
    <x v="487"/>
    <x v="492"/>
    <x v="0"/>
    <x v="1"/>
    <x v="0"/>
    <x v="2"/>
  </r>
  <r>
    <x v="1497"/>
    <x v="487"/>
    <x v="493"/>
    <x v="8"/>
    <x v="1"/>
    <x v="2"/>
    <x v="81"/>
  </r>
  <r>
    <x v="1498"/>
    <x v="487"/>
    <x v="494"/>
    <x v="1"/>
    <x v="1"/>
    <x v="0"/>
    <x v="83"/>
  </r>
  <r>
    <x v="1499"/>
    <x v="488"/>
    <x v="424"/>
    <x v="12"/>
    <x v="1"/>
    <x v="0"/>
    <x v="41"/>
  </r>
  <r>
    <x v="1500"/>
    <x v="488"/>
    <x v="416"/>
    <x v="14"/>
    <x v="1"/>
    <x v="0"/>
    <x v="65"/>
  </r>
  <r>
    <x v="1501"/>
    <x v="489"/>
    <x v="434"/>
    <x v="10"/>
    <x v="1"/>
    <x v="0"/>
    <x v="57"/>
  </r>
  <r>
    <x v="1502"/>
    <x v="490"/>
    <x v="493"/>
    <x v="8"/>
    <x v="1"/>
    <x v="2"/>
    <x v="252"/>
  </r>
  <r>
    <x v="1503"/>
    <x v="490"/>
    <x v="424"/>
    <x v="12"/>
    <x v="1"/>
    <x v="0"/>
    <x v="65"/>
  </r>
  <r>
    <x v="1504"/>
    <x v="490"/>
    <x v="495"/>
    <x v="2"/>
    <x v="1"/>
    <x v="0"/>
    <x v="46"/>
  </r>
  <r>
    <x v="1505"/>
    <x v="490"/>
    <x v="496"/>
    <x v="2"/>
    <x v="1"/>
    <x v="0"/>
    <x v="8"/>
  </r>
  <r>
    <x v="1506"/>
    <x v="491"/>
    <x v="473"/>
    <x v="16"/>
    <x v="1"/>
    <x v="0"/>
    <x v="151"/>
  </r>
  <r>
    <x v="1507"/>
    <x v="491"/>
    <x v="123"/>
    <x v="2"/>
    <x v="1"/>
    <x v="0"/>
    <x v="46"/>
  </r>
  <r>
    <x v="1508"/>
    <x v="492"/>
    <x v="497"/>
    <x v="0"/>
    <x v="1"/>
    <x v="0"/>
    <x v="82"/>
  </r>
  <r>
    <x v="1509"/>
    <x v="493"/>
    <x v="416"/>
    <x v="14"/>
    <x v="1"/>
    <x v="0"/>
    <x v="15"/>
  </r>
  <r>
    <x v="1510"/>
    <x v="493"/>
    <x v="464"/>
    <x v="8"/>
    <x v="1"/>
    <x v="2"/>
    <x v="76"/>
  </r>
  <r>
    <x v="1511"/>
    <x v="494"/>
    <x v="424"/>
    <x v="12"/>
    <x v="1"/>
    <x v="0"/>
    <x v="65"/>
  </r>
  <r>
    <x v="1512"/>
    <x v="494"/>
    <x v="490"/>
    <x v="0"/>
    <x v="1"/>
    <x v="0"/>
    <x v="240"/>
  </r>
  <r>
    <x v="1513"/>
    <x v="494"/>
    <x v="417"/>
    <x v="0"/>
    <x v="1"/>
    <x v="0"/>
    <x v="82"/>
  </r>
  <r>
    <x v="1514"/>
    <x v="494"/>
    <x v="416"/>
    <x v="14"/>
    <x v="1"/>
    <x v="0"/>
    <x v="2"/>
  </r>
  <r>
    <x v="1515"/>
    <x v="494"/>
    <x v="177"/>
    <x v="9"/>
    <x v="1"/>
    <x v="0"/>
    <x v="65"/>
  </r>
  <r>
    <x v="1516"/>
    <x v="495"/>
    <x v="416"/>
    <x v="14"/>
    <x v="1"/>
    <x v="0"/>
    <x v="2"/>
  </r>
  <r>
    <x v="1517"/>
    <x v="496"/>
    <x v="416"/>
    <x v="14"/>
    <x v="1"/>
    <x v="0"/>
    <x v="2"/>
  </r>
  <r>
    <x v="1518"/>
    <x v="497"/>
    <x v="416"/>
    <x v="14"/>
    <x v="1"/>
    <x v="0"/>
    <x v="9"/>
  </r>
  <r>
    <x v="1519"/>
    <x v="498"/>
    <x v="434"/>
    <x v="10"/>
    <x v="1"/>
    <x v="0"/>
    <x v="57"/>
  </r>
  <r>
    <x v="1520"/>
    <x v="498"/>
    <x v="416"/>
    <x v="14"/>
    <x v="1"/>
    <x v="0"/>
    <x v="41"/>
  </r>
  <r>
    <x v="1521"/>
    <x v="499"/>
    <x v="470"/>
    <x v="8"/>
    <x v="1"/>
    <x v="2"/>
    <x v="117"/>
  </r>
  <r>
    <x v="1522"/>
    <x v="499"/>
    <x v="424"/>
    <x v="12"/>
    <x v="1"/>
    <x v="0"/>
    <x v="65"/>
  </r>
  <r>
    <x v="1523"/>
    <x v="500"/>
    <x v="417"/>
    <x v="0"/>
    <x v="1"/>
    <x v="0"/>
    <x v="39"/>
  </r>
  <r>
    <x v="1524"/>
    <x v="500"/>
    <x v="218"/>
    <x v="15"/>
    <x v="1"/>
    <x v="0"/>
    <x v="39"/>
  </r>
  <r>
    <x v="1525"/>
    <x v="501"/>
    <x v="434"/>
    <x v="10"/>
    <x v="1"/>
    <x v="0"/>
    <x v="57"/>
  </r>
  <r>
    <x v="1526"/>
    <x v="502"/>
    <x v="496"/>
    <x v="2"/>
    <x v="1"/>
    <x v="0"/>
    <x v="7"/>
  </r>
  <r>
    <x v="1527"/>
    <x v="503"/>
    <x v="417"/>
    <x v="0"/>
    <x v="1"/>
    <x v="0"/>
    <x v="39"/>
  </r>
  <r>
    <x v="1528"/>
    <x v="503"/>
    <x v="416"/>
    <x v="14"/>
    <x v="1"/>
    <x v="0"/>
    <x v="39"/>
  </r>
  <r>
    <x v="1529"/>
    <x v="503"/>
    <x v="498"/>
    <x v="2"/>
    <x v="1"/>
    <x v="0"/>
    <x v="40"/>
  </r>
  <r>
    <x v="1530"/>
    <x v="504"/>
    <x v="416"/>
    <x v="14"/>
    <x v="1"/>
    <x v="0"/>
    <x v="39"/>
  </r>
  <r>
    <x v="1531"/>
    <x v="504"/>
    <x v="470"/>
    <x v="8"/>
    <x v="1"/>
    <x v="2"/>
    <x v="144"/>
  </r>
  <r>
    <x v="1532"/>
    <x v="504"/>
    <x v="439"/>
    <x v="0"/>
    <x v="1"/>
    <x v="0"/>
    <x v="39"/>
  </r>
  <r>
    <x v="1533"/>
    <x v="504"/>
    <x v="490"/>
    <x v="0"/>
    <x v="1"/>
    <x v="0"/>
    <x v="253"/>
  </r>
  <r>
    <x v="1534"/>
    <x v="504"/>
    <x v="417"/>
    <x v="0"/>
    <x v="1"/>
    <x v="0"/>
    <x v="39"/>
  </r>
  <r>
    <x v="1535"/>
    <x v="505"/>
    <x v="424"/>
    <x v="12"/>
    <x v="1"/>
    <x v="0"/>
    <x v="65"/>
  </r>
  <r>
    <x v="1536"/>
    <x v="505"/>
    <x v="417"/>
    <x v="0"/>
    <x v="1"/>
    <x v="0"/>
    <x v="39"/>
  </r>
  <r>
    <x v="1537"/>
    <x v="505"/>
    <x v="416"/>
    <x v="14"/>
    <x v="1"/>
    <x v="0"/>
    <x v="2"/>
  </r>
  <r>
    <x v="1538"/>
    <x v="505"/>
    <x v="123"/>
    <x v="2"/>
    <x v="1"/>
    <x v="0"/>
    <x v="40"/>
  </r>
  <r>
    <x v="1539"/>
    <x v="506"/>
    <x v="416"/>
    <x v="14"/>
    <x v="1"/>
    <x v="0"/>
    <x v="89"/>
  </r>
  <r>
    <x v="1540"/>
    <x v="507"/>
    <x v="499"/>
    <x v="1"/>
    <x v="1"/>
    <x v="0"/>
    <x v="83"/>
  </r>
  <r>
    <x v="1541"/>
    <x v="508"/>
    <x v="470"/>
    <x v="8"/>
    <x v="1"/>
    <x v="2"/>
    <x v="117"/>
  </r>
  <r>
    <x v="1542"/>
    <x v="508"/>
    <x v="424"/>
    <x v="12"/>
    <x v="1"/>
    <x v="0"/>
    <x v="65"/>
  </r>
  <r>
    <x v="1543"/>
    <x v="509"/>
    <x v="416"/>
    <x v="14"/>
    <x v="1"/>
    <x v="0"/>
    <x v="2"/>
  </r>
  <r>
    <x v="1544"/>
    <x v="510"/>
    <x v="416"/>
    <x v="14"/>
    <x v="1"/>
    <x v="0"/>
    <x v="39"/>
  </r>
  <r>
    <x v="1545"/>
    <x v="511"/>
    <x v="470"/>
    <x v="8"/>
    <x v="1"/>
    <x v="2"/>
    <x v="144"/>
  </r>
  <r>
    <x v="1546"/>
    <x v="511"/>
    <x v="416"/>
    <x v="14"/>
    <x v="1"/>
    <x v="0"/>
    <x v="57"/>
  </r>
  <r>
    <x v="1547"/>
    <x v="511"/>
    <x v="218"/>
    <x v="15"/>
    <x v="1"/>
    <x v="0"/>
    <x v="65"/>
  </r>
  <r>
    <x v="1548"/>
    <x v="511"/>
    <x v="434"/>
    <x v="10"/>
    <x v="1"/>
    <x v="0"/>
    <x v="65"/>
  </r>
  <r>
    <x v="1549"/>
    <x v="512"/>
    <x v="424"/>
    <x v="12"/>
    <x v="1"/>
    <x v="0"/>
    <x v="57"/>
  </r>
  <r>
    <x v="1550"/>
    <x v="513"/>
    <x v="416"/>
    <x v="14"/>
    <x v="1"/>
    <x v="0"/>
    <x v="2"/>
  </r>
  <r>
    <x v="1551"/>
    <x v="514"/>
    <x v="470"/>
    <x v="8"/>
    <x v="1"/>
    <x v="2"/>
    <x v="117"/>
  </r>
  <r>
    <x v="1552"/>
    <x v="514"/>
    <x v="416"/>
    <x v="14"/>
    <x v="1"/>
    <x v="0"/>
    <x v="89"/>
  </r>
  <r>
    <x v="1553"/>
    <x v="514"/>
    <x v="500"/>
    <x v="0"/>
    <x v="1"/>
    <x v="0"/>
    <x v="45"/>
  </r>
  <r>
    <x v="1554"/>
    <x v="515"/>
    <x v="417"/>
    <x v="0"/>
    <x v="1"/>
    <x v="0"/>
    <x v="2"/>
  </r>
  <r>
    <x v="1555"/>
    <x v="516"/>
    <x v="470"/>
    <x v="8"/>
    <x v="1"/>
    <x v="2"/>
    <x v="144"/>
  </r>
  <r>
    <x v="1556"/>
    <x v="516"/>
    <x v="417"/>
    <x v="0"/>
    <x v="1"/>
    <x v="0"/>
    <x v="2"/>
  </r>
  <r>
    <x v="1557"/>
    <x v="516"/>
    <x v="416"/>
    <x v="14"/>
    <x v="1"/>
    <x v="0"/>
    <x v="41"/>
  </r>
  <r>
    <x v="1558"/>
    <x v="517"/>
    <x v="416"/>
    <x v="14"/>
    <x v="1"/>
    <x v="0"/>
    <x v="2"/>
  </r>
  <r>
    <x v="1559"/>
    <x v="518"/>
    <x v="416"/>
    <x v="14"/>
    <x v="1"/>
    <x v="0"/>
    <x v="39"/>
  </r>
  <r>
    <x v="1560"/>
    <x v="519"/>
    <x v="416"/>
    <x v="14"/>
    <x v="1"/>
    <x v="0"/>
    <x v="2"/>
  </r>
  <r>
    <x v="1561"/>
    <x v="519"/>
    <x v="417"/>
    <x v="0"/>
    <x v="1"/>
    <x v="0"/>
    <x v="41"/>
  </r>
  <r>
    <x v="1562"/>
    <x v="520"/>
    <x v="501"/>
    <x v="1"/>
    <x v="1"/>
    <x v="0"/>
    <x v="83"/>
  </r>
  <r>
    <x v="1563"/>
    <x v="521"/>
    <x v="470"/>
    <x v="8"/>
    <x v="1"/>
    <x v="2"/>
    <x v="136"/>
  </r>
  <r>
    <x v="1564"/>
    <x v="521"/>
    <x v="424"/>
    <x v="12"/>
    <x v="1"/>
    <x v="0"/>
    <x v="207"/>
  </r>
  <r>
    <x v="1565"/>
    <x v="522"/>
    <x v="470"/>
    <x v="8"/>
    <x v="1"/>
    <x v="2"/>
    <x v="254"/>
  </r>
  <r>
    <x v="1566"/>
    <x v="522"/>
    <x v="416"/>
    <x v="14"/>
    <x v="1"/>
    <x v="0"/>
    <x v="57"/>
  </r>
  <r>
    <x v="1567"/>
    <x v="523"/>
    <x v="470"/>
    <x v="8"/>
    <x v="1"/>
    <x v="2"/>
    <x v="76"/>
  </r>
  <r>
    <x v="1568"/>
    <x v="523"/>
    <x v="416"/>
    <x v="14"/>
    <x v="1"/>
    <x v="0"/>
    <x v="57"/>
  </r>
  <r>
    <x v="1569"/>
    <x v="524"/>
    <x v="502"/>
    <x v="9"/>
    <x v="1"/>
    <x v="0"/>
    <x v="65"/>
  </r>
  <r>
    <x v="1570"/>
    <x v="524"/>
    <x v="177"/>
    <x v="9"/>
    <x v="1"/>
    <x v="0"/>
    <x v="52"/>
  </r>
  <r>
    <x v="1571"/>
    <x v="525"/>
    <x v="424"/>
    <x v="12"/>
    <x v="1"/>
    <x v="0"/>
    <x v="52"/>
  </r>
  <r>
    <x v="1572"/>
    <x v="526"/>
    <x v="503"/>
    <x v="0"/>
    <x v="1"/>
    <x v="0"/>
    <x v="128"/>
  </r>
  <r>
    <x v="1573"/>
    <x v="527"/>
    <x v="218"/>
    <x v="15"/>
    <x v="1"/>
    <x v="0"/>
    <x v="45"/>
  </r>
  <r>
    <x v="1574"/>
    <x v="528"/>
    <x v="470"/>
    <x v="8"/>
    <x v="0"/>
    <x v="2"/>
    <x v="3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504"/>
    <x v="11"/>
    <x v="2"/>
    <x v="4"/>
    <x v="43"/>
  </r>
  <r>
    <x v="1186"/>
    <x v="360"/>
    <x v="112"/>
    <x v="11"/>
    <x v="2"/>
    <x v="3"/>
    <x v="43"/>
  </r>
  <r>
    <x v="1186"/>
    <x v="360"/>
    <x v="505"/>
    <x v="11"/>
    <x v="2"/>
    <x v="1"/>
    <x v="43"/>
  </r>
  <r>
    <x v="1186"/>
    <x v="360"/>
    <x v="112"/>
    <x v="11"/>
    <x v="2"/>
    <x v="3"/>
    <x v="43"/>
  </r>
  <r>
    <x v="1186"/>
    <x v="360"/>
    <x v="506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  <r>
    <x v="1186"/>
    <x v="360"/>
    <x v="112"/>
    <x v="11"/>
    <x v="2"/>
    <x v="3"/>
    <x v="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77">
  <r>
    <x v="0"/>
    <d v="2018-03-01T00:00:00"/>
    <s v="Billal (Masson)"/>
    <x v="0"/>
    <x v="0"/>
    <s v="Payment"/>
    <n v="0"/>
  </r>
  <r>
    <x v="1"/>
    <d v="2018-03-01T00:00:00"/>
    <s v="Samandar (Masson)"/>
    <x v="0"/>
    <x v="0"/>
    <s v="Payment"/>
    <n v="0"/>
  </r>
  <r>
    <x v="2"/>
    <d v="2018-03-01T00:00:00"/>
    <s v="Rehmat (Labour)"/>
    <x v="0"/>
    <x v="0"/>
    <s v="Payment"/>
    <n v="0"/>
  </r>
  <r>
    <x v="3"/>
    <d v="2018-03-01T00:00:00"/>
    <s v="Farooq (Supervisor)"/>
    <x v="1"/>
    <x v="0"/>
    <s v="Payment"/>
    <n v="0"/>
  </r>
  <r>
    <x v="4"/>
    <d v="2018-03-01T00:00:00"/>
    <s v="Labour and Supervisor Payment"/>
    <x v="0"/>
    <x v="0"/>
    <s v="Payment"/>
    <n v="-43050"/>
  </r>
  <r>
    <x v="5"/>
    <d v="2018-03-21T00:00:00"/>
    <s v="Meethai (Sweets)"/>
    <x v="2"/>
    <x v="1"/>
    <s v="Payment"/>
    <n v="-2000"/>
  </r>
  <r>
    <x v="6"/>
    <d v="2018-03-21T00:00:00"/>
    <s v="Excavated Earth Sellout"/>
    <x v="3"/>
    <x v="0"/>
    <s v="Other Receipt"/>
    <n v="134700"/>
  </r>
  <r>
    <x v="7"/>
    <d v="2018-03-30T00:00:00"/>
    <s v="00552961 Shuttering"/>
    <x v="4"/>
    <x v="0"/>
    <s v="Payment"/>
    <n v="-200000"/>
  </r>
  <r>
    <x v="8"/>
    <d v="2018-04-01T00:00:00"/>
    <s v="Excavator (Nawaz)         50x2000"/>
    <x v="5"/>
    <x v="0"/>
    <s v="Payment"/>
    <n v="-100000"/>
  </r>
  <r>
    <x v="9"/>
    <d v="2018-04-01T00:00:00"/>
    <s v="Laatri Walay Ko"/>
    <x v="5"/>
    <x v="0"/>
    <s v="Payment"/>
    <n v="-54800"/>
  </r>
  <r>
    <x v="10"/>
    <d v="2018-04-01T00:00:00"/>
    <s v="Excavator Bhaata"/>
    <x v="5"/>
    <x v="0"/>
    <s v="Payment"/>
    <n v="-8000"/>
  </r>
  <r>
    <x v="11"/>
    <d v="2018-04-01T00:00:00"/>
    <s v="Excavator Bhaata"/>
    <x v="5"/>
    <x v="0"/>
    <s v="Payment"/>
    <n v="-1500"/>
  </r>
  <r>
    <x v="12"/>
    <d v="2018-04-01T00:00:00"/>
    <s v="Excavator Bhaata"/>
    <x v="5"/>
    <x v="0"/>
    <s v="Payment"/>
    <n v="-2500"/>
  </r>
  <r>
    <x v="13"/>
    <d v="2018-04-01T00:00:00"/>
    <s v="Dumper 2 Wages"/>
    <x v="5"/>
    <x v="0"/>
    <s v="Payment"/>
    <n v="-22000"/>
  </r>
  <r>
    <x v="14"/>
    <d v="2018-04-01T00:00:00"/>
    <s v="Compactor Rent"/>
    <x v="2"/>
    <x v="0"/>
    <s v="Payment"/>
    <n v="-2500"/>
  </r>
  <r>
    <x v="15"/>
    <d v="2018-04-01T00:00:00"/>
    <s v="Petrol"/>
    <x v="2"/>
    <x v="0"/>
    <s v="Payment"/>
    <n v="-200"/>
  </r>
  <r>
    <x v="16"/>
    <d v="2018-04-01T00:00:00"/>
    <s v="Trolly"/>
    <x v="2"/>
    <x v="0"/>
    <s v="Payment"/>
    <n v="-4500"/>
  </r>
  <r>
    <x v="17"/>
    <d v="2018-04-01T00:00:00"/>
    <s v="Rang+Doori+Keel"/>
    <x v="2"/>
    <x v="0"/>
    <s v="Payment"/>
    <n v="-500"/>
  </r>
  <r>
    <x v="18"/>
    <d v="2018-04-01T00:00:00"/>
    <s v="Juice+Chaai"/>
    <x v="2"/>
    <x v="0"/>
    <s v="Payment"/>
    <n v="-500"/>
  </r>
  <r>
    <x v="19"/>
    <d v="2018-04-01T00:00:00"/>
    <s v="Drum+Balcha+Geeti"/>
    <x v="2"/>
    <x v="0"/>
    <s v="Payment"/>
    <n v="-3380"/>
  </r>
  <r>
    <x v="20"/>
    <d v="2018-04-01T00:00:00"/>
    <s v="Phatay Karaya"/>
    <x v="2"/>
    <x v="0"/>
    <s v="Payment"/>
    <n v="-200"/>
  </r>
  <r>
    <x v="21"/>
    <d v="2018-04-01T00:00:00"/>
    <s v="Rawksha Karaya+Labour Mistiri Paisay"/>
    <x v="2"/>
    <x v="0"/>
    <s v="Payment"/>
    <n v="-2200"/>
  </r>
  <r>
    <x v="22"/>
    <d v="2018-04-01T00:00:00"/>
    <s v="Petrol"/>
    <x v="2"/>
    <x v="0"/>
    <s v="Payment"/>
    <n v="-300"/>
  </r>
  <r>
    <x v="23"/>
    <d v="2018-04-01T00:00:00"/>
    <s v="Long Boot+Dastanay"/>
    <x v="2"/>
    <x v="0"/>
    <s v="Payment"/>
    <n v="-1210"/>
  </r>
  <r>
    <x v="24"/>
    <d v="2018-04-01T00:00:00"/>
    <s v="Pipe Level"/>
    <x v="2"/>
    <x v="0"/>
    <s v="Payment"/>
    <n v="-300"/>
  </r>
  <r>
    <x v="25"/>
    <d v="2018-04-01T00:00:00"/>
    <s v="Inch Tape"/>
    <x v="2"/>
    <x v="0"/>
    <s v="Payment"/>
    <n v="-85"/>
  </r>
  <r>
    <x v="26"/>
    <d v="2018-04-01T00:00:00"/>
    <s v="Solution Tape"/>
    <x v="2"/>
    <x v="0"/>
    <s v="Payment"/>
    <n v="-30"/>
  </r>
  <r>
    <x v="27"/>
    <d v="2018-04-01T00:00:00"/>
    <s v="Petrol Gallon Rent"/>
    <x v="2"/>
    <x v="0"/>
    <s v="Payment"/>
    <n v="-450"/>
  </r>
  <r>
    <x v="28"/>
    <d v="2018-04-01T00:00:00"/>
    <s v="Petrol for Vibrator"/>
    <x v="2"/>
    <x v="0"/>
    <s v="Payment"/>
    <n v="-300"/>
  </r>
  <r>
    <x v="29"/>
    <d v="2018-04-01T00:00:00"/>
    <s v="Reeti Chaan"/>
    <x v="2"/>
    <x v="0"/>
    <s v="Payment"/>
    <n v="-600"/>
  </r>
  <r>
    <x v="30"/>
    <d v="2018-04-01T00:00:00"/>
    <s v="Hand Level"/>
    <x v="2"/>
    <x v="0"/>
    <s v="Payment"/>
    <n v="-340"/>
  </r>
  <r>
    <x v="31"/>
    <d v="2018-04-01T00:00:00"/>
    <s v="Redoxide"/>
    <x v="2"/>
    <x v="0"/>
    <s v="Payment"/>
    <n v="-60"/>
  </r>
  <r>
    <x v="32"/>
    <d v="2018-04-01T00:00:00"/>
    <s v="Drawing Photocopy+Coating"/>
    <x v="2"/>
    <x v="0"/>
    <s v="Payment"/>
    <n v="-510"/>
  </r>
  <r>
    <x v="33"/>
    <d v="2018-04-01T00:00:00"/>
    <s v="Haatora 2Nos."/>
    <x v="2"/>
    <x v="0"/>
    <s v="Payment"/>
    <n v="-340"/>
  </r>
  <r>
    <x v="34"/>
    <d v="2018-04-01T00:00:00"/>
    <s v="Cheni 2Nos."/>
    <x v="2"/>
    <x v="0"/>
    <s v="Payment"/>
    <n v="-330"/>
  </r>
  <r>
    <x v="35"/>
    <d v="2018-04-01T00:00:00"/>
    <s v="Samandar (Masson)"/>
    <x v="0"/>
    <x v="0"/>
    <s v="Payment"/>
    <n v="0"/>
  </r>
  <r>
    <x v="36"/>
    <d v="2018-04-01T00:00:00"/>
    <s v="Shah Dost"/>
    <x v="0"/>
    <x v="0"/>
    <s v="Payment"/>
    <n v="0"/>
  </r>
  <r>
    <x v="37"/>
    <d v="2018-04-01T00:00:00"/>
    <s v="Billal (Masson)"/>
    <x v="0"/>
    <x v="0"/>
    <s v="Payment"/>
    <n v="0"/>
  </r>
  <r>
    <x v="38"/>
    <d v="2018-04-01T00:00:00"/>
    <s v="Rehmat (Labour)"/>
    <x v="0"/>
    <x v="0"/>
    <s v="Payment"/>
    <n v="0"/>
  </r>
  <r>
    <x v="39"/>
    <d v="2018-04-01T00:00:00"/>
    <s v="Nawaz"/>
    <x v="0"/>
    <x v="0"/>
    <s v="Payment"/>
    <n v="0"/>
  </r>
  <r>
    <x v="40"/>
    <d v="2018-04-01T00:00:00"/>
    <s v="Masood (Labour)"/>
    <x v="0"/>
    <x v="0"/>
    <s v="Payment"/>
    <n v="0"/>
  </r>
  <r>
    <x v="41"/>
    <d v="2018-04-01T00:00:00"/>
    <s v="Qaari (Masson)"/>
    <x v="0"/>
    <x v="0"/>
    <s v="Payment"/>
    <n v="0"/>
  </r>
  <r>
    <x v="42"/>
    <d v="2018-04-01T00:00:00"/>
    <s v="Kashif Kay Aadmi"/>
    <x v="0"/>
    <x v="0"/>
    <s v="Payment"/>
    <n v="0"/>
  </r>
  <r>
    <x v="43"/>
    <d v="2018-04-01T00:00:00"/>
    <s v="Bharai Walay Kay Aadmi"/>
    <x v="0"/>
    <x v="0"/>
    <s v="Payment"/>
    <n v="0"/>
  </r>
  <r>
    <x v="44"/>
    <d v="2018-04-01T00:00:00"/>
    <s v="Farooq (Labour)"/>
    <x v="0"/>
    <x v="0"/>
    <s v="Payment"/>
    <n v="0"/>
  </r>
  <r>
    <x v="45"/>
    <d v="2018-04-01T00:00:00"/>
    <s v="Ramzaan (Labour)"/>
    <x v="0"/>
    <x v="0"/>
    <s v="Payment"/>
    <n v="0"/>
  </r>
  <r>
    <x v="46"/>
    <d v="2018-04-01T00:00:00"/>
    <s v="Farooq (Supervisor)"/>
    <x v="1"/>
    <x v="0"/>
    <s v="Payment"/>
    <n v="0"/>
  </r>
  <r>
    <x v="47"/>
    <d v="2018-04-01T00:00:00"/>
    <s v="Nawaz (Labour)"/>
    <x v="0"/>
    <x v="0"/>
    <s v="Payment"/>
    <n v="0"/>
  </r>
  <r>
    <x v="48"/>
    <d v="2018-04-01T00:00:00"/>
    <s v="Labour and Supervisor Payment"/>
    <x v="0"/>
    <x v="0"/>
    <s v="Payment"/>
    <n v="-135649"/>
  </r>
  <r>
    <x v="49"/>
    <d v="2018-04-01T00:00:00"/>
    <s v="PCC 1:4:8 - Poaring"/>
    <x v="6"/>
    <x v="0"/>
    <s v="Payment"/>
    <n v="-22000"/>
  </r>
  <r>
    <x v="50"/>
    <d v="2018-04-06T00:00:00"/>
    <s v="00552968 - Asif Pasta"/>
    <x v="4"/>
    <x v="0"/>
    <s v="Payment"/>
    <n v="-400000"/>
  </r>
  <r>
    <x v="51"/>
    <d v="2018-04-06T00:00:00"/>
    <s v="00552969 Kashif"/>
    <x v="7"/>
    <x v="0"/>
    <s v="Payment"/>
    <n v="-100000"/>
  </r>
  <r>
    <x v="52"/>
    <d v="2018-04-11T00:00:00"/>
    <s v="Amount Received"/>
    <x v="8"/>
    <x v="1"/>
    <s v="Receipt"/>
    <n v="0"/>
  </r>
  <r>
    <x v="53"/>
    <d v="2018-04-11T00:00:00"/>
    <s v="ARIF CONTRACTOR (at state agency Ali Raza)"/>
    <x v="8"/>
    <x v="0"/>
    <s v="Receipt"/>
    <n v="500000"/>
  </r>
  <r>
    <x v="54"/>
    <d v="2018-04-14T00:00:00"/>
    <s v="ARIF CONTRACTOR (Raft Pouring)"/>
    <x v="8"/>
    <x v="0"/>
    <s v="Receipt"/>
    <n v="250000"/>
  </r>
  <r>
    <x v="55"/>
    <d v="2018-04-14T00:00:00"/>
    <s v="Vibrator+Petrol"/>
    <x v="2"/>
    <x v="0"/>
    <s v="Payment"/>
    <n v="-2000"/>
  </r>
  <r>
    <x v="56"/>
    <d v="2018-04-14T00:00:00"/>
    <s v="00552987"/>
    <x v="4"/>
    <x v="0"/>
    <s v="Payment"/>
    <n v="-150000"/>
  </r>
  <r>
    <x v="57"/>
    <d v="2018-04-14T00:00:00"/>
    <s v="Cash Badast Arif"/>
    <x v="9"/>
    <x v="0"/>
    <s v="Payment"/>
    <n v="-23000"/>
  </r>
  <r>
    <x v="58"/>
    <d v="2018-04-14T00:00:00"/>
    <s v="Raft Poaring Gul Nawaz"/>
    <x v="6"/>
    <x v="0"/>
    <s v="Payment"/>
    <n v="-120000"/>
  </r>
  <r>
    <x v="59"/>
    <d v="2018-04-16T00:00:00"/>
    <s v="Askari Cheque"/>
    <x v="7"/>
    <x v="0"/>
    <s v="Payment"/>
    <n v="-100000"/>
  </r>
  <r>
    <x v="60"/>
    <d v="2018-04-18T00:00:00"/>
    <s v="Paid to Arif Contractor for (Rafting)"/>
    <x v="8"/>
    <x v="0"/>
    <s v="Receipt"/>
    <n v="400000"/>
  </r>
  <r>
    <x v="61"/>
    <d v="2018-04-18T00:00:00"/>
    <s v="00552990"/>
    <x v="4"/>
    <x v="0"/>
    <s v="Payment"/>
    <n v="-150000"/>
  </r>
  <r>
    <x v="62"/>
    <d v="2018-04-18T00:00:00"/>
    <s v="00552999 Asif Pasta"/>
    <x v="4"/>
    <x v="0"/>
    <s v="Payment"/>
    <n v="-150000"/>
  </r>
  <r>
    <x v="63"/>
    <d v="2018-04-18T00:00:00"/>
    <s v="Cash - Badast Farooq"/>
    <x v="4"/>
    <x v="0"/>
    <s v="Payment"/>
    <n v="-50000"/>
  </r>
  <r>
    <x v="64"/>
    <d v="2018-04-19T00:00:00"/>
    <s v="Arif Contractor Cash by Ali's Hand Received by Mohammad Zada"/>
    <x v="8"/>
    <x v="0"/>
    <s v="Receipt"/>
    <n v="500000"/>
  </r>
  <r>
    <x v="65"/>
    <d v="2018-04-19T00:00:00"/>
    <s v="Cash Badast Arif"/>
    <x v="9"/>
    <x v="0"/>
    <s v="Payment"/>
    <n v="-200000"/>
  </r>
  <r>
    <x v="66"/>
    <d v="2018-04-20T00:00:00"/>
    <s v="2989"/>
    <x v="9"/>
    <x v="0"/>
    <s v="Payment"/>
    <n v="-300000"/>
  </r>
  <r>
    <x v="67"/>
    <d v="2018-04-20T00:00:00"/>
    <s v="Cheque"/>
    <x v="7"/>
    <x v="0"/>
    <s v="Payment"/>
    <n v="-50000"/>
  </r>
  <r>
    <x v="68"/>
    <d v="2018-04-23T00:00:00"/>
    <s v="Ali) Arif Contractor"/>
    <x v="8"/>
    <x v="0"/>
    <s v="Receipt"/>
    <n v="300000"/>
  </r>
  <r>
    <x v="69"/>
    <d v="2018-04-23T00:00:00"/>
    <s v="2992"/>
    <x v="9"/>
    <x v="0"/>
    <s v="Payment"/>
    <n v="-200000"/>
  </r>
  <r>
    <x v="70"/>
    <d v="2018-04-23T00:00:00"/>
    <s v="Mushtaq Purdy + Column- Poaring"/>
    <x v="6"/>
    <x v="0"/>
    <s v="Payment"/>
    <n v="-35000"/>
  </r>
  <r>
    <x v="71"/>
    <d v="2018-04-26T00:00:00"/>
    <s v="00553001"/>
    <x v="4"/>
    <x v="0"/>
    <s v="Payment"/>
    <n v="-50000"/>
  </r>
  <r>
    <x v="72"/>
    <d v="2018-04-26T00:00:00"/>
    <s v="Asif Pasta"/>
    <x v="4"/>
    <x v="0"/>
    <s v="Payment"/>
    <n v="-150000"/>
  </r>
  <r>
    <x v="73"/>
    <d v="2018-04-29T00:00:00"/>
    <s v="For Rafting"/>
    <x v="8"/>
    <x v="0"/>
    <s v="Receipt"/>
    <n v="300000"/>
  </r>
  <r>
    <x v="74"/>
    <d v="2018-04-30T00:00:00"/>
    <s v="00553006"/>
    <x v="4"/>
    <x v="0"/>
    <s v="Payment"/>
    <n v="-150000"/>
  </r>
  <r>
    <x v="75"/>
    <d v="2018-04-30T00:00:00"/>
    <s v="00553007"/>
    <x v="7"/>
    <x v="0"/>
    <s v="Payment"/>
    <n v="-50000"/>
  </r>
  <r>
    <x v="76"/>
    <d v="2018-05-01T00:00:00"/>
    <s v="Phatay"/>
    <x v="2"/>
    <x v="0"/>
    <s v="Payment"/>
    <n v="-8000"/>
  </r>
  <r>
    <x v="77"/>
    <d v="2018-05-01T00:00:00"/>
    <s v="Ghoori Banwai"/>
    <x v="2"/>
    <x v="0"/>
    <s v="Payment"/>
    <n v="-5500"/>
  </r>
  <r>
    <x v="78"/>
    <d v="2018-05-01T00:00:00"/>
    <s v="Labour"/>
    <x v="0"/>
    <x v="0"/>
    <s v="Payment"/>
    <n v="0"/>
  </r>
  <r>
    <x v="79"/>
    <d v="2018-05-01T00:00:00"/>
    <s v="Petrol"/>
    <x v="2"/>
    <x v="0"/>
    <s v="Payment"/>
    <n v="-1000"/>
  </r>
  <r>
    <x v="80"/>
    <d v="2018-05-01T00:00:00"/>
    <s v="Petrol"/>
    <x v="2"/>
    <x v="0"/>
    <s v="Payment"/>
    <n v="-300"/>
  </r>
  <r>
    <x v="81"/>
    <d v="2018-05-01T00:00:00"/>
    <s v="Petrol"/>
    <x v="2"/>
    <x v="0"/>
    <s v="Payment"/>
    <n v="-100"/>
  </r>
  <r>
    <x v="82"/>
    <d v="2018-05-01T00:00:00"/>
    <s v="Channa Moota Karaya"/>
    <x v="2"/>
    <x v="0"/>
    <s v="Payment"/>
    <n v="-300"/>
  </r>
  <r>
    <x v="83"/>
    <d v="2018-05-01T00:00:00"/>
    <s v="Eidi Chokidaar+Labour"/>
    <x v="2"/>
    <x v="0"/>
    <s v="Payment"/>
    <n v="-5000"/>
  </r>
  <r>
    <x v="84"/>
    <d v="2018-05-01T00:00:00"/>
    <s v="Pranch Phattay Karaya"/>
    <x v="2"/>
    <x v="0"/>
    <s v="Payment"/>
    <n v="-5500"/>
  </r>
  <r>
    <x v="85"/>
    <d v="2018-05-01T00:00:00"/>
    <s v="Hillti Karaya"/>
    <x v="2"/>
    <x v="0"/>
    <s v="Payment"/>
    <n v="-9000"/>
  </r>
  <r>
    <x v="86"/>
    <d v="2018-05-01T00:00:00"/>
    <s v="Chani+Haatora"/>
    <x v="2"/>
    <x v="0"/>
    <s v="Payment"/>
    <n v="-340"/>
  </r>
  <r>
    <x v="87"/>
    <d v="2018-05-01T00:00:00"/>
    <s v="Masood (Labour)"/>
    <x v="0"/>
    <x v="0"/>
    <s v="Payment"/>
    <m/>
  </r>
  <r>
    <x v="88"/>
    <d v="2018-05-01T00:00:00"/>
    <s v="Farooq (Labour)"/>
    <x v="0"/>
    <x v="0"/>
    <s v="Payment"/>
    <m/>
  </r>
  <r>
    <x v="89"/>
    <d v="2018-05-01T00:00:00"/>
    <s v="Billal (Masson)"/>
    <x v="0"/>
    <x v="0"/>
    <s v="Payment"/>
    <m/>
  </r>
  <r>
    <x v="90"/>
    <d v="2018-05-01T00:00:00"/>
    <s v="Farooq (Supervisor)"/>
    <x v="1"/>
    <x v="0"/>
    <s v="Payment"/>
    <m/>
  </r>
  <r>
    <x v="91"/>
    <d v="2018-05-01T00:00:00"/>
    <s v="Rehmat (Labour)"/>
    <x v="0"/>
    <x v="0"/>
    <s v="Payment"/>
    <m/>
  </r>
  <r>
    <x v="92"/>
    <d v="2018-05-01T00:00:00"/>
    <s v="Chacha Latif (Labour)"/>
    <x v="0"/>
    <x v="0"/>
    <s v="Payment"/>
    <m/>
  </r>
  <r>
    <x v="93"/>
    <d v="2018-05-01T00:00:00"/>
    <s v="Ammanullah (Labour)"/>
    <x v="0"/>
    <x v="0"/>
    <s v="Payment"/>
    <m/>
  </r>
  <r>
    <x v="94"/>
    <d v="2018-05-01T00:00:00"/>
    <s v="Labour and Supervisor Payment"/>
    <x v="0"/>
    <x v="0"/>
    <s v="Payment"/>
    <n v="-68600"/>
  </r>
  <r>
    <x v="95"/>
    <d v="2018-05-01T00:00:00"/>
    <s v="Advance + Payment"/>
    <x v="0"/>
    <x v="1"/>
    <s v="Payment"/>
    <n v="-15000"/>
  </r>
  <r>
    <x v="96"/>
    <d v="2018-05-04T00:00:00"/>
    <s v="Chaai Baraf"/>
    <x v="2"/>
    <x v="0"/>
    <s v="Payment"/>
    <n v="-150"/>
  </r>
  <r>
    <x v="97"/>
    <d v="2018-05-07T00:00:00"/>
    <s v="Chaai"/>
    <x v="2"/>
    <x v="0"/>
    <s v="Payment"/>
    <n v="-100"/>
  </r>
  <r>
    <x v="98"/>
    <d v="2018-05-09T00:00:00"/>
    <s v="Pranch Phattay Karaya"/>
    <x v="2"/>
    <x v="0"/>
    <s v="Payment"/>
    <n v="-300"/>
  </r>
  <r>
    <x v="99"/>
    <d v="2018-05-10T00:00:00"/>
    <s v="Chaai"/>
    <x v="2"/>
    <x v="0"/>
    <s v="Payment"/>
    <n v="-50"/>
  </r>
  <r>
    <x v="100"/>
    <d v="2018-05-11T00:00:00"/>
    <s v="019"/>
    <x v="7"/>
    <x v="0"/>
    <s v="Payment"/>
    <n v="-50000"/>
  </r>
  <r>
    <x v="101"/>
    <d v="2018-05-15T00:00:00"/>
    <s v="021"/>
    <x v="7"/>
    <x v="0"/>
    <s v="Payment"/>
    <n v="-50000"/>
  </r>
  <r>
    <x v="102"/>
    <d v="2018-05-16T00:00:00"/>
    <s v="Nawaz (Labour)"/>
    <x v="0"/>
    <x v="1"/>
    <s v="Payment"/>
    <n v="0"/>
  </r>
  <r>
    <x v="103"/>
    <d v="2018-05-16T00:00:00"/>
    <s v="Billal (Masson)"/>
    <x v="0"/>
    <x v="1"/>
    <s v="Payment"/>
    <n v="0"/>
  </r>
  <r>
    <x v="104"/>
    <d v="2018-05-16T00:00:00"/>
    <s v="Masood (Labour)"/>
    <x v="0"/>
    <x v="1"/>
    <s v="Payment"/>
    <n v="0"/>
  </r>
  <r>
    <x v="105"/>
    <d v="2018-05-16T00:00:00"/>
    <s v="Amman-Ullah (Labour)"/>
    <x v="0"/>
    <x v="1"/>
    <s v="Payment"/>
    <n v="0"/>
  </r>
  <r>
    <x v="106"/>
    <d v="2018-05-16T00:00:00"/>
    <s v="Rehmat (Labour)"/>
    <x v="0"/>
    <x v="1"/>
    <s v="Payment"/>
    <n v="0"/>
  </r>
  <r>
    <x v="107"/>
    <d v="2018-05-16T00:00:00"/>
    <s v="Farooq (Labour)"/>
    <x v="0"/>
    <x v="1"/>
    <s v="Payment"/>
    <n v="0"/>
  </r>
  <r>
    <x v="108"/>
    <d v="2018-05-16T00:00:00"/>
    <s v="Gull Nawaz (Pouring)             Basement Slab"/>
    <x v="6"/>
    <x v="0"/>
    <s v="Payment"/>
    <n v="-48000"/>
  </r>
  <r>
    <x v="109"/>
    <d v="2018-05-16T00:00:00"/>
    <s v="Gull Nawaz (Pouring)             Basement Slab"/>
    <x v="6"/>
    <x v="1"/>
    <s v="Payment"/>
    <n v="-2000"/>
  </r>
  <r>
    <x v="110"/>
    <d v="2018-05-16T00:00:00"/>
    <s v="Refreshment"/>
    <x v="2"/>
    <x v="1"/>
    <s v="Payment"/>
    <n v="-627"/>
  </r>
  <r>
    <x v="111"/>
    <d v="2018-05-16T00:00:00"/>
    <s v="Measurment Tape"/>
    <x v="2"/>
    <x v="1"/>
    <s v="Payment"/>
    <n v="-650"/>
  </r>
  <r>
    <x v="112"/>
    <d v="2018-05-16T00:00:00"/>
    <s v="Basement Slab"/>
    <x v="8"/>
    <x v="0"/>
    <s v="Receipt"/>
    <n v="500000"/>
  </r>
  <r>
    <x v="113"/>
    <d v="2018-05-21T00:00:00"/>
    <s v="00553022"/>
    <x v="4"/>
    <x v="0"/>
    <s v="Payment"/>
    <n v="-100000"/>
  </r>
  <r>
    <x v="114"/>
    <d v="2018-05-21T00:00:00"/>
    <s v="00553023"/>
    <x v="7"/>
    <x v="0"/>
    <s v="Payment"/>
    <n v="-25000"/>
  </r>
  <r>
    <x v="115"/>
    <d v="2018-05-29T00:00:00"/>
    <s v="00553028"/>
    <x v="4"/>
    <x v="0"/>
    <s v="Payment"/>
    <n v="-50000"/>
  </r>
  <r>
    <x v="116"/>
    <d v="2018-05-30T00:00:00"/>
    <s v="Loader"/>
    <x v="5"/>
    <x v="0"/>
    <s v="Payment"/>
    <n v="-30000"/>
  </r>
  <r>
    <x v="117"/>
    <d v="2018-05-30T00:00:00"/>
    <s v="Loader "/>
    <x v="5"/>
    <x v="1"/>
    <s v="Payment"/>
    <n v="-2500"/>
  </r>
  <r>
    <x v="118"/>
    <d v="2018-06-01T00:00:00"/>
    <s v="Masood (Labour)"/>
    <x v="0"/>
    <x v="0"/>
    <s v="Payment"/>
    <n v="0"/>
  </r>
  <r>
    <x v="119"/>
    <d v="2018-06-01T00:00:00"/>
    <s v="Billal (Masson)"/>
    <x v="0"/>
    <x v="0"/>
    <s v="Payment"/>
    <n v="0"/>
  </r>
  <r>
    <x v="120"/>
    <d v="2018-06-01T00:00:00"/>
    <s v="Nawaz (Labour)"/>
    <x v="0"/>
    <x v="0"/>
    <s v="Payment"/>
    <n v="0"/>
  </r>
  <r>
    <x v="121"/>
    <d v="2018-06-01T00:00:00"/>
    <s v="Farooq (Labour)"/>
    <x v="0"/>
    <x v="0"/>
    <s v="Payment"/>
    <n v="0"/>
  </r>
  <r>
    <x v="122"/>
    <d v="2018-06-01T00:00:00"/>
    <s v="Rehmat (Labour)"/>
    <x v="0"/>
    <x v="0"/>
    <s v="Payment"/>
    <n v="0"/>
  </r>
  <r>
    <x v="123"/>
    <d v="2018-06-01T00:00:00"/>
    <s v="Ammanullah (Labour)"/>
    <x v="0"/>
    <x v="0"/>
    <s v="Payment"/>
    <n v="0"/>
  </r>
  <r>
    <x v="124"/>
    <d v="2018-06-01T00:00:00"/>
    <s v="Haatim Khan"/>
    <x v="0"/>
    <x v="0"/>
    <s v="Payment"/>
    <n v="0"/>
  </r>
  <r>
    <x v="125"/>
    <d v="2018-06-01T00:00:00"/>
    <s v="Bharai Walay Kay Aadmi"/>
    <x v="0"/>
    <x v="0"/>
    <s v="Payment"/>
    <n v="0"/>
  </r>
  <r>
    <x v="126"/>
    <d v="2018-06-01T00:00:00"/>
    <s v="Nawaz ki Labour"/>
    <x v="0"/>
    <x v="0"/>
    <s v="Payment"/>
    <n v="0"/>
  </r>
  <r>
    <x v="127"/>
    <d v="2018-06-01T00:00:00"/>
    <s v="Tahir (Labour)"/>
    <x v="0"/>
    <x v="0"/>
    <s v="Payment"/>
    <n v="0"/>
  </r>
  <r>
    <x v="128"/>
    <d v="2018-06-01T00:00:00"/>
    <s v="Masood Kay Banday"/>
    <x v="0"/>
    <x v="0"/>
    <s v="Payment"/>
    <n v="0"/>
  </r>
  <r>
    <x v="129"/>
    <d v="2018-06-01T00:00:00"/>
    <s v="Abdull Samad (Baloch Labour)"/>
    <x v="0"/>
    <x v="0"/>
    <s v="Payment"/>
    <n v="0"/>
  </r>
  <r>
    <x v="130"/>
    <d v="2018-06-01T00:00:00"/>
    <s v="Labour and Supervisor Payment"/>
    <x v="0"/>
    <x v="0"/>
    <s v="Payment"/>
    <n v="-51350"/>
  </r>
  <r>
    <x v="131"/>
    <d v="2018-06-01T00:00:00"/>
    <s v="9 Wages @ 1200 Steel Fixer"/>
    <x v="7"/>
    <x v="0"/>
    <s v="Payment"/>
    <n v="-10800"/>
  </r>
  <r>
    <x v="132"/>
    <d v="2018-06-05T00:00:00"/>
    <s v="Column Poaring Gul Nawaz"/>
    <x v="6"/>
    <x v="0"/>
    <s v="Payment"/>
    <n v="-26000"/>
  </r>
  <r>
    <x v="133"/>
    <d v="2018-06-07T00:00:00"/>
    <s v="Masood (Labour)"/>
    <x v="0"/>
    <x v="0"/>
    <s v="Payment"/>
    <n v="0"/>
  </r>
  <r>
    <x v="134"/>
    <d v="2018-06-07T00:00:00"/>
    <s v="Rehmat (Labour)"/>
    <x v="0"/>
    <x v="0"/>
    <s v="Payment"/>
    <n v="0"/>
  </r>
  <r>
    <x v="135"/>
    <d v="2018-06-08T00:00:00"/>
    <s v="Red Oxide"/>
    <x v="2"/>
    <x v="1"/>
    <s v="Payment"/>
    <n v="-120"/>
  </r>
  <r>
    <x v="136"/>
    <d v="2018-06-09T00:00:00"/>
    <s v="Cash-Mushtaq"/>
    <x v="4"/>
    <x v="0"/>
    <s v="Payment"/>
    <n v="-10000"/>
  </r>
  <r>
    <x v="137"/>
    <d v="2018-06-11T00:00:00"/>
    <s v="00553040"/>
    <x v="4"/>
    <x v="0"/>
    <s v="Payment"/>
    <n v="-50000"/>
  </r>
  <r>
    <x v="138"/>
    <d v="2018-06-11T00:00:00"/>
    <s v="Column Poaring Gul Nawaz"/>
    <x v="6"/>
    <x v="0"/>
    <s v="Payment"/>
    <n v="-25000"/>
  </r>
  <r>
    <x v="139"/>
    <d v="2018-06-13T00:00:00"/>
    <s v="Arif Contractor (27 Columns)"/>
    <x v="8"/>
    <x v="0"/>
    <s v="Receipt"/>
    <n v="300000"/>
  </r>
  <r>
    <x v="140"/>
    <d v="2018-06-14T00:00:00"/>
    <s v="Cash- Ibrahim"/>
    <x v="4"/>
    <x v="0"/>
    <s v="Payment"/>
    <n v="-25000"/>
  </r>
  <r>
    <x v="141"/>
    <d v="2018-06-14T00:00:00"/>
    <s v="Cash Badast Habib Electrician"/>
    <x v="10"/>
    <x v="0"/>
    <s v="Payment"/>
    <n v="-10000"/>
  </r>
  <r>
    <x v="142"/>
    <d v="2018-06-27T00:00:00"/>
    <s v="Cash- Ibrahim"/>
    <x v="4"/>
    <x v="0"/>
    <s v="Payment"/>
    <n v="-25000"/>
  </r>
  <r>
    <x v="143"/>
    <d v="2018-06-29T00:00:00"/>
    <s v="Site Expense"/>
    <x v="2"/>
    <x v="1"/>
    <s v="Payment"/>
    <n v="-240"/>
  </r>
  <r>
    <x v="144"/>
    <d v="2018-07-01T00:00:00"/>
    <s v="Haq Nawaz"/>
    <x v="0"/>
    <x v="0"/>
    <s v="Payment"/>
    <n v="0"/>
  </r>
  <r>
    <x v="145"/>
    <d v="2018-07-01T00:00:00"/>
    <s v="Masood"/>
    <x v="0"/>
    <x v="0"/>
    <s v="Payment"/>
    <n v="0"/>
  </r>
  <r>
    <x v="146"/>
    <d v="2018-07-01T00:00:00"/>
    <s v="Rahmat"/>
    <x v="0"/>
    <x v="0"/>
    <s v="Payment"/>
    <n v="0"/>
  </r>
  <r>
    <x v="147"/>
    <d v="2018-07-01T00:00:00"/>
    <s v="Chacha Latif"/>
    <x v="0"/>
    <x v="0"/>
    <s v="Payment"/>
    <n v="0"/>
  </r>
  <r>
    <x v="148"/>
    <d v="2018-07-01T00:00:00"/>
    <s v="Farooq"/>
    <x v="0"/>
    <x v="0"/>
    <s v="Payment"/>
    <n v="0"/>
  </r>
  <r>
    <x v="149"/>
    <d v="2018-07-01T00:00:00"/>
    <s v="Namoos (Masson)"/>
    <x v="0"/>
    <x v="0"/>
    <s v="Payment"/>
    <n v="0"/>
  </r>
  <r>
    <x v="150"/>
    <d v="2018-07-01T00:00:00"/>
    <s v="Labour and Supervisor Payment"/>
    <x v="0"/>
    <x v="0"/>
    <s v="Payment"/>
    <n v="-31262"/>
  </r>
  <r>
    <x v="151"/>
    <d v="2018-07-01T00:00:00"/>
    <s v="Advance + Payment"/>
    <x v="0"/>
    <x v="1"/>
    <s v="Payment"/>
    <n v="-13800"/>
  </r>
  <r>
    <x v="152"/>
    <d v="2018-07-01T00:00:00"/>
    <m/>
    <x v="11"/>
    <x v="2"/>
    <m/>
    <m/>
  </r>
  <r>
    <x v="153"/>
    <d v="2018-07-01T00:00:00"/>
    <s v="Rehmat (Labour)        Kharcha"/>
    <x v="0"/>
    <x v="0"/>
    <s v="Payment"/>
    <n v="0"/>
  </r>
  <r>
    <x v="154"/>
    <d v="2018-07-06T00:00:00"/>
    <s v="Cash -Ibrahim"/>
    <x v="4"/>
    <x v="0"/>
    <s v="Payment"/>
    <n v="-10000"/>
  </r>
  <r>
    <x v="155"/>
    <d v="2018-07-08T00:00:00"/>
    <s v="Asif Bhai                          Month July-18 Payment"/>
    <x v="1"/>
    <x v="1"/>
    <s v="Payment"/>
    <n v="0"/>
  </r>
  <r>
    <x v="156"/>
    <d v="2018-07-17T00:00:00"/>
    <s v="Nawaz (Labour)"/>
    <x v="0"/>
    <x v="0"/>
    <s v="Payment"/>
    <n v="0"/>
  </r>
  <r>
    <x v="157"/>
    <d v="2018-07-18T00:00:00"/>
    <s v="Amount Received"/>
    <x v="8"/>
    <x v="0"/>
    <s v="Receipt"/>
    <n v="400000"/>
  </r>
  <r>
    <x v="158"/>
    <d v="2018-07-18T00:00:00"/>
    <s v="Liaqat (Contractor)"/>
    <x v="9"/>
    <x v="1"/>
    <s v="Payment"/>
    <n v="-50000"/>
  </r>
  <r>
    <x v="159"/>
    <d v="2018-07-18T00:00:00"/>
    <s v="Papu (Pouring)                              1st.F.Column"/>
    <x v="6"/>
    <x v="1"/>
    <s v="Payment"/>
    <n v="-38000"/>
  </r>
  <r>
    <x v="160"/>
    <d v="2018-07-18T00:00:00"/>
    <s v="Nawaz (Labour)"/>
    <x v="0"/>
    <x v="1"/>
    <s v="Payment"/>
    <n v="0"/>
  </r>
  <r>
    <x v="161"/>
    <d v="2018-07-18T00:00:00"/>
    <s v="Billal (Masson)"/>
    <x v="0"/>
    <x v="1"/>
    <s v="Payment"/>
    <n v="0"/>
  </r>
  <r>
    <x v="162"/>
    <d v="2018-07-18T00:00:00"/>
    <s v="Masood (Labour)"/>
    <x v="0"/>
    <x v="1"/>
    <s v="Payment"/>
    <n v="0"/>
  </r>
  <r>
    <x v="163"/>
    <d v="2018-07-19T00:00:00"/>
    <s v="Nawaz (Labour)"/>
    <x v="0"/>
    <x v="0"/>
    <s v="Payment"/>
    <n v="0"/>
  </r>
  <r>
    <x v="164"/>
    <d v="2018-07-21T00:00:00"/>
    <s v="Ibraheem (Shuttring)                       CASH"/>
    <x v="4"/>
    <x v="1"/>
    <s v="Payment"/>
    <n v="-100000"/>
  </r>
  <r>
    <x v="165"/>
    <d v="2018-07-21T00:00:00"/>
    <s v="Photo Copy"/>
    <x v="2"/>
    <x v="1"/>
    <s v="Payment"/>
    <n v="-490"/>
  </r>
  <r>
    <x v="166"/>
    <d v="2018-07-21T00:00:00"/>
    <s v="Petrol"/>
    <x v="2"/>
    <x v="1"/>
    <s v="Payment"/>
    <n v="-1000"/>
  </r>
  <r>
    <x v="167"/>
    <d v="2018-07-24T00:00:00"/>
    <s v="Papu (Pouring)                               Short Coll."/>
    <x v="6"/>
    <x v="1"/>
    <s v="Payment"/>
    <n v="-21000"/>
  </r>
  <r>
    <x v="168"/>
    <d v="2018-07-24T00:00:00"/>
    <s v="Mushtaaq (Shuttring)                       CASH"/>
    <x v="4"/>
    <x v="1"/>
    <s v="Payment"/>
    <n v="-25000"/>
  </r>
  <r>
    <x v="169"/>
    <d v="2018-07-24T00:00:00"/>
    <s v="Namoos (Masson)"/>
    <x v="4"/>
    <x v="1"/>
    <s v="Payment"/>
    <n v="-2000"/>
  </r>
  <r>
    <x v="170"/>
    <d v="2018-07-24T00:00:00"/>
    <s v="Farooq (Labour)"/>
    <x v="4"/>
    <x v="1"/>
    <s v="Payment"/>
    <n v="-2000"/>
  </r>
  <r>
    <x v="171"/>
    <d v="2018-07-24T00:00:00"/>
    <s v="Hilti Repairing"/>
    <x v="2"/>
    <x v="0"/>
    <s v="Payment"/>
    <n v="-500"/>
  </r>
  <r>
    <x v="172"/>
    <d v="2018-07-24T00:00:00"/>
    <s v="Petrol"/>
    <x v="2"/>
    <x v="0"/>
    <s v="Payment"/>
    <n v="-100"/>
  </r>
  <r>
    <x v="173"/>
    <d v="2018-07-24T00:00:00"/>
    <s v="Tea for Labour"/>
    <x v="2"/>
    <x v="0"/>
    <s v="Payment"/>
    <n v="-60"/>
  </r>
  <r>
    <x v="174"/>
    <d v="2018-07-24T00:00:00"/>
    <s v="Hillti Karaya"/>
    <x v="2"/>
    <x v="0"/>
    <s v="Payment"/>
    <n v="-5000"/>
  </r>
  <r>
    <x v="175"/>
    <d v="2018-07-24T00:00:00"/>
    <s v="Grander"/>
    <x v="2"/>
    <x v="0"/>
    <s v="Payment"/>
    <n v="-3200"/>
  </r>
  <r>
    <x v="176"/>
    <d v="2018-07-24T00:00:00"/>
    <s v="Repairing"/>
    <x v="2"/>
    <x v="0"/>
    <s v="Payment"/>
    <n v="-200"/>
  </r>
  <r>
    <x v="177"/>
    <d v="2018-07-24T00:00:00"/>
    <s v="Cylinder Test"/>
    <x v="2"/>
    <x v="0"/>
    <s v="Payment"/>
    <n v="-1500"/>
  </r>
  <r>
    <x v="178"/>
    <d v="2018-07-31T00:00:00"/>
    <s v="Chacha Latif (Labour)"/>
    <x v="0"/>
    <x v="0"/>
    <s v="Payment"/>
    <n v="0"/>
  </r>
  <r>
    <x v="179"/>
    <d v="2018-07-31T00:00:00"/>
    <s v="Curing (Hashim &amp; Majid)"/>
    <x v="0"/>
    <x v="0"/>
    <s v="Payment"/>
    <n v="0"/>
  </r>
  <r>
    <x v="180"/>
    <d v="2018-07-31T00:00:00"/>
    <s v=" Kashif Steel"/>
    <x v="7"/>
    <x v="0"/>
    <s v="Payment"/>
    <n v="-20000"/>
  </r>
  <r>
    <x v="181"/>
    <d v="2018-08-01T00:00:00"/>
    <s v="Chacha Latif"/>
    <x v="0"/>
    <x v="0"/>
    <s v="Payment"/>
    <n v="0"/>
  </r>
  <r>
    <x v="182"/>
    <d v="2018-08-01T00:00:00"/>
    <s v="Haq Nawaz"/>
    <x v="0"/>
    <x v="0"/>
    <s v="Payment"/>
    <n v="0"/>
  </r>
  <r>
    <x v="183"/>
    <d v="2018-08-01T00:00:00"/>
    <s v="Masood "/>
    <x v="0"/>
    <x v="0"/>
    <s v="Payment"/>
    <n v="0"/>
  </r>
  <r>
    <x v="184"/>
    <d v="2018-08-01T00:00:00"/>
    <s v="Qari"/>
    <x v="0"/>
    <x v="0"/>
    <s v="Payment"/>
    <n v="0"/>
  </r>
  <r>
    <x v="185"/>
    <d v="2018-08-01T00:00:00"/>
    <s v="Namoos (Masson)"/>
    <x v="0"/>
    <x v="0"/>
    <s v="Payment"/>
    <n v="0"/>
  </r>
  <r>
    <x v="186"/>
    <d v="2018-08-01T00:00:00"/>
    <s v="Haji Nazaqaut"/>
    <x v="0"/>
    <x v="0"/>
    <s v="Payment"/>
    <n v="0"/>
  </r>
  <r>
    <x v="187"/>
    <d v="2018-08-01T00:00:00"/>
    <s v="Farooq"/>
    <x v="0"/>
    <x v="0"/>
    <s v="Payment"/>
    <n v="0"/>
  </r>
  <r>
    <x v="188"/>
    <d v="2018-08-01T00:00:00"/>
    <s v="Labour and Supervisor Payment"/>
    <x v="0"/>
    <x v="0"/>
    <s v="Payment"/>
    <n v="-42750"/>
  </r>
  <r>
    <x v="189"/>
    <d v="2018-08-01T00:00:00"/>
    <s v="Advance + Payment"/>
    <x v="0"/>
    <x v="1"/>
    <s v="Payment"/>
    <n v="-83700"/>
  </r>
  <r>
    <x v="190"/>
    <d v="2018-08-06T00:00:00"/>
    <s v="Redoxide (for layout)"/>
    <x v="2"/>
    <x v="1"/>
    <s v="Payment"/>
    <n v="-120"/>
  </r>
  <r>
    <x v="191"/>
    <d v="2018-08-08T00:00:00"/>
    <s v="Ibraheem (Shuttring)         HBL Chq.00000036"/>
    <x v="4"/>
    <x v="1"/>
    <s v="Payment"/>
    <n v="-100000"/>
  </r>
  <r>
    <x v="192"/>
    <d v="2018-08-08T00:00:00"/>
    <s v="Chacha Latif (Labour)"/>
    <x v="0"/>
    <x v="1"/>
    <s v="Payment"/>
    <n v="0"/>
  </r>
  <r>
    <x v="193"/>
    <d v="2018-08-11T00:00:00"/>
    <s v="Chacha Latif (Labour)"/>
    <x v="0"/>
    <x v="1"/>
    <s v="Payment"/>
    <n v="0"/>
  </r>
  <r>
    <x v="194"/>
    <d v="2018-08-13T00:00:00"/>
    <s v="Nawaz (Labour) Month July"/>
    <x v="0"/>
    <x v="1"/>
    <s v="Payment"/>
    <n v="0"/>
  </r>
  <r>
    <x v="195"/>
    <d v="2018-08-13T00:00:00"/>
    <s v="Chacha Latif (Labour)"/>
    <x v="0"/>
    <x v="1"/>
    <s v="Payment"/>
    <n v="0"/>
  </r>
  <r>
    <x v="196"/>
    <d v="2018-08-13T00:00:00"/>
    <s v="Masood (Labour) July 18"/>
    <x v="0"/>
    <x v="1"/>
    <s v="Payment"/>
    <n v="0"/>
  </r>
  <r>
    <x v="197"/>
    <d v="2018-08-13T00:00:00"/>
    <s v="Masood (Labour) Advance"/>
    <x v="0"/>
    <x v="1"/>
    <s v="Payment"/>
    <n v="0"/>
  </r>
  <r>
    <x v="198"/>
    <d v="2018-08-13T00:00:00"/>
    <s v="Kashif (Steel)"/>
    <x v="7"/>
    <x v="1"/>
    <s v="Payment"/>
    <n v="-20000"/>
  </r>
  <r>
    <x v="199"/>
    <d v="2018-08-13T00:00:00"/>
    <s v="Ibraheem (Shuttring)    HBL Chq. Agnst Matrl"/>
    <x v="4"/>
    <x v="1"/>
    <s v="Payment"/>
    <n v="-118000"/>
  </r>
  <r>
    <x v="200"/>
    <d v="2018-08-15T00:00:00"/>
    <s v="Kashif (Steel)"/>
    <x v="7"/>
    <x v="1"/>
    <s v="Payment"/>
    <n v="-30000"/>
  </r>
  <r>
    <x v="201"/>
    <d v="2018-08-16T00:00:00"/>
    <s v="Nawaz (Labour)"/>
    <x v="0"/>
    <x v="1"/>
    <s v="Payment"/>
    <n v="0"/>
  </r>
  <r>
    <x v="202"/>
    <d v="2018-08-16T00:00:00"/>
    <s v="Masood (Labour)"/>
    <x v="0"/>
    <x v="1"/>
    <s v="Payment"/>
    <n v="0"/>
  </r>
  <r>
    <x v="203"/>
    <d v="2018-08-16T00:00:00"/>
    <s v="Chacha Latif (Labour)"/>
    <x v="0"/>
    <x v="1"/>
    <s v="Payment"/>
    <n v="0"/>
  </r>
  <r>
    <x v="204"/>
    <d v="2018-08-16T00:00:00"/>
    <s v="Chacha Latif (Labour) July 18"/>
    <x v="0"/>
    <x v="1"/>
    <s v="Payment"/>
    <n v="0"/>
  </r>
  <r>
    <x v="205"/>
    <d v="2018-08-17T00:00:00"/>
    <s v="Masood (Labour)"/>
    <x v="0"/>
    <x v="0"/>
    <s v="Payment"/>
    <n v="0"/>
  </r>
  <r>
    <x v="206"/>
    <d v="2018-08-17T00:00:00"/>
    <s v="Grander Disk"/>
    <x v="2"/>
    <x v="0"/>
    <s v="Payment"/>
    <n v="-200"/>
  </r>
  <r>
    <x v="207"/>
    <d v="2018-08-19T00:00:00"/>
    <s v="Paid for Shop Roof"/>
    <x v="8"/>
    <x v="0"/>
    <s v="Receipt"/>
    <n v="400000"/>
  </r>
  <r>
    <x v="208"/>
    <d v="2018-08-20T00:00:00"/>
    <s v="39794567"/>
    <x v="4"/>
    <x v="0"/>
    <s v="Payment"/>
    <n v="-50000"/>
  </r>
  <r>
    <x v="209"/>
    <d v="2018-08-20T00:00:00"/>
    <s v="Cash- Ibrahim Mushtaq"/>
    <x v="4"/>
    <x v="0"/>
    <s v="Payment"/>
    <n v="-50000"/>
  </r>
  <r>
    <x v="210"/>
    <d v="2018-08-20T00:00:00"/>
    <s v="Nawaz (Labour)"/>
    <x v="0"/>
    <x v="1"/>
    <s v="Payment"/>
    <n v="0"/>
  </r>
  <r>
    <x v="211"/>
    <d v="2018-08-20T00:00:00"/>
    <s v="Chacha Latif (Labour)"/>
    <x v="0"/>
    <x v="1"/>
    <s v="Payment"/>
    <n v="0"/>
  </r>
  <r>
    <x v="212"/>
    <d v="2018-08-20T00:00:00"/>
    <s v="Kashif (Steel)"/>
    <x v="7"/>
    <x v="0"/>
    <s v="Payment"/>
    <n v="-30000"/>
  </r>
  <r>
    <x v="213"/>
    <d v="2018-08-21T00:00:00"/>
    <s v="Cash - Mushtaq"/>
    <x v="4"/>
    <x v="0"/>
    <s v="Payment"/>
    <n v="-40000"/>
  </r>
  <r>
    <x v="214"/>
    <d v="2018-08-21T00:00:00"/>
    <s v="Long Shoes"/>
    <x v="2"/>
    <x v="0"/>
    <s v="Payment"/>
    <n v="-550"/>
  </r>
  <r>
    <x v="215"/>
    <d v="2018-08-21T00:00:00"/>
    <s v="Tea for Labour"/>
    <x v="2"/>
    <x v="0"/>
    <s v="Payment"/>
    <n v="-200"/>
  </r>
  <r>
    <x v="216"/>
    <d v="2018-08-21T00:00:00"/>
    <s v="Qaari Messon"/>
    <x v="0"/>
    <x v="0"/>
    <s v="Payment"/>
    <n v="0"/>
  </r>
  <r>
    <x v="217"/>
    <d v="2018-08-21T00:00:00"/>
    <s v="Masood (Labour)"/>
    <x v="0"/>
    <x v="0"/>
    <s v="Payment"/>
    <n v="0"/>
  </r>
  <r>
    <x v="218"/>
    <d v="2018-08-21T00:00:00"/>
    <s v="Amman-ullah (Labour)"/>
    <x v="0"/>
    <x v="0"/>
    <s v="Payment"/>
    <n v="0"/>
  </r>
  <r>
    <x v="219"/>
    <d v="2018-08-21T00:00:00"/>
    <s v="Farooq (Labour)"/>
    <x v="0"/>
    <x v="0"/>
    <s v="Payment"/>
    <n v="0"/>
  </r>
  <r>
    <x v="220"/>
    <d v="2018-08-21T00:00:00"/>
    <s v="Haji Nazaqat (Labour)"/>
    <x v="0"/>
    <x v="0"/>
    <s v="Payment"/>
    <n v="0"/>
  </r>
  <r>
    <x v="221"/>
    <d v="2018-08-21T00:00:00"/>
    <s v="Asif Bhai Eid Advance August"/>
    <x v="1"/>
    <x v="0"/>
    <s v="Payment"/>
    <n v="0"/>
  </r>
  <r>
    <x v="222"/>
    <d v="2018-08-22T00:00:00"/>
    <s v="First Flour Slab- Poaring"/>
    <x v="6"/>
    <x v="0"/>
    <s v="Payment"/>
    <n v="-100000"/>
  </r>
  <r>
    <x v="223"/>
    <d v="2018-08-23T00:00:00"/>
    <s v="39794565 _ Sher Zada"/>
    <x v="9"/>
    <x v="0"/>
    <s v="Payment"/>
    <n v="-100000"/>
  </r>
  <r>
    <x v="224"/>
    <d v="2018-08-24T00:00:00"/>
    <s v="39794566 _ Sher Zada"/>
    <x v="9"/>
    <x v="0"/>
    <s v="Payment"/>
    <n v="-100000"/>
  </r>
  <r>
    <x v="225"/>
    <d v="2018-08-26T00:00:00"/>
    <s v="Haqq Nawaz (Labour)"/>
    <x v="0"/>
    <x v="0"/>
    <s v="Payment"/>
    <n v="0"/>
  </r>
  <r>
    <x v="226"/>
    <d v="2018-08-26T00:00:00"/>
    <s v="Layout Material"/>
    <x v="2"/>
    <x v="0"/>
    <s v="Payment"/>
    <n v="-270"/>
  </r>
  <r>
    <x v="227"/>
    <d v="2018-08-28T00:00:00"/>
    <s v="Aaari Blade"/>
    <x v="2"/>
    <x v="0"/>
    <s v="Payment"/>
    <n v="-30"/>
  </r>
  <r>
    <x v="228"/>
    <d v="2018-08-30T00:00:00"/>
    <s v="Cash- Ibrahim"/>
    <x v="4"/>
    <x v="0"/>
    <s v="Payment"/>
    <n v="-5000"/>
  </r>
  <r>
    <x v="229"/>
    <d v="2018-08-30T00:00:00"/>
    <s v="Jhaaro and Brush"/>
    <x v="2"/>
    <x v="0"/>
    <s v="Payment"/>
    <n v="-170"/>
  </r>
  <r>
    <x v="230"/>
    <d v="2018-08-30T00:00:00"/>
    <s v="Masood (Labour)"/>
    <x v="0"/>
    <x v="0"/>
    <s v="Payment"/>
    <n v="0"/>
  </r>
  <r>
    <x v="231"/>
    <d v="2018-08-31T00:00:00"/>
    <s v="Masood (Labour)"/>
    <x v="0"/>
    <x v="0"/>
    <s v="Payment"/>
    <n v="0"/>
  </r>
  <r>
    <x v="232"/>
    <d v="2018-08-31T00:00:00"/>
    <s v="Chacha Latif (Labour)"/>
    <x v="0"/>
    <x v="0"/>
    <s v="Payment"/>
    <n v="0"/>
  </r>
  <r>
    <x v="233"/>
    <d v="2018-09-01T00:00:00"/>
    <s v="Haqq Nawaz (Labour)"/>
    <x v="0"/>
    <x v="0"/>
    <s v="Payment"/>
    <n v="0"/>
  </r>
  <r>
    <x v="234"/>
    <d v="2018-09-03T00:00:00"/>
    <s v="Muhammad Zada Electrician"/>
    <x v="10"/>
    <x v="0"/>
    <s v="Payment"/>
    <n v="-10000"/>
  </r>
  <r>
    <x v="235"/>
    <d v="2018-09-05T00:00:00"/>
    <s v="Raasi"/>
    <x v="2"/>
    <x v="0"/>
    <s v="Payment"/>
    <n v="-468"/>
  </r>
  <r>
    <x v="236"/>
    <d v="2018-09-05T00:00:00"/>
    <s v="Masood (Labour)"/>
    <x v="0"/>
    <x v="0"/>
    <s v="Payment"/>
    <n v="0"/>
  </r>
  <r>
    <x v="237"/>
    <d v="2018-09-06T00:00:00"/>
    <s v="Cash Badast Yaser Chuta- Khalil Electrician"/>
    <x v="10"/>
    <x v="0"/>
    <s v="Payment"/>
    <n v="-10000"/>
  </r>
  <r>
    <x v="238"/>
    <d v="2018-09-07T00:00:00"/>
    <s v="Badast Kashif"/>
    <x v="4"/>
    <x v="0"/>
    <s v="Payment"/>
    <n v="-100000"/>
  </r>
  <r>
    <x v="239"/>
    <d v="2018-09-07T00:00:00"/>
    <s v="Vibratour Service"/>
    <x v="2"/>
    <x v="0"/>
    <s v="Payment"/>
    <n v="-350"/>
  </r>
  <r>
    <x v="240"/>
    <d v="2018-09-07T00:00:00"/>
    <s v="Kashif (Steel)"/>
    <x v="7"/>
    <x v="0"/>
    <s v="Payment"/>
    <n v="-25000"/>
  </r>
  <r>
    <x v="241"/>
    <d v="2018-09-10T00:00:00"/>
    <s v="Drawing photocopy and coating"/>
    <x v="2"/>
    <x v="0"/>
    <s v="Payment"/>
    <n v="-500"/>
  </r>
  <r>
    <x v="242"/>
    <d v="2018-09-11T00:00:00"/>
    <s v="Cash - Ibrahim"/>
    <x v="4"/>
    <x v="0"/>
    <s v="Payment"/>
    <n v="-10000"/>
  </r>
  <r>
    <x v="243"/>
    <d v="2018-09-11T00:00:00"/>
    <s v="Masood (Labour)"/>
    <x v="0"/>
    <x v="0"/>
    <s v="Payment"/>
    <n v="0"/>
  </r>
  <r>
    <x v="244"/>
    <d v="2018-09-15T00:00:00"/>
    <s v="Haqq Nawaz (Labour)"/>
    <x v="0"/>
    <x v="1"/>
    <s v="Payment"/>
    <n v="-1000"/>
  </r>
  <r>
    <x v="245"/>
    <d v="2018-09-15T00:00:00"/>
    <s v="Safdar (Labour)"/>
    <x v="4"/>
    <x v="1"/>
    <s v="Payment"/>
    <n v="-800"/>
  </r>
  <r>
    <x v="246"/>
    <d v="2018-09-15T00:00:00"/>
    <s v="Nawab Zada (Chunai Plaster)"/>
    <x v="12"/>
    <x v="1"/>
    <s v="Payment"/>
    <n v="-10000"/>
  </r>
  <r>
    <x v="247"/>
    <d v="2018-09-15T00:00:00"/>
    <s v="Ibraheem (Shuttring)"/>
    <x v="4"/>
    <x v="3"/>
    <s v="Payment"/>
    <n v="-15000"/>
  </r>
  <r>
    <x v="248"/>
    <d v="2018-09-15T00:00:00"/>
    <s v="Asif Bhai                    Payment Month Aug-18"/>
    <x v="1"/>
    <x v="1"/>
    <s v="Payment"/>
    <n v="0"/>
  </r>
  <r>
    <x v="249"/>
    <d v="2018-09-15T00:00:00"/>
    <s v="1st Floor Column Filling (Arif Contractor)"/>
    <x v="8"/>
    <x v="0"/>
    <s v="Receipt"/>
    <n v="100000"/>
  </r>
  <r>
    <x v="250"/>
    <d v="2018-09-15T00:00:00"/>
    <s v="Petrol"/>
    <x v="2"/>
    <x v="0"/>
    <s v="Payment"/>
    <n v="-500"/>
  </r>
  <r>
    <x v="251"/>
    <d v="2018-09-15T00:00:00"/>
    <s v="Masood (Labour)"/>
    <x v="0"/>
    <x v="0"/>
    <s v="Payment"/>
    <n v="0"/>
  </r>
  <r>
    <x v="252"/>
    <d v="2018-09-15T00:00:00"/>
    <s v="Labour Payments "/>
    <x v="0"/>
    <x v="0"/>
    <s v="Payment"/>
    <n v="-4400"/>
  </r>
  <r>
    <x v="253"/>
    <d v="2018-09-15T00:00:00"/>
    <s v="First Flour Column- Poaring"/>
    <x v="6"/>
    <x v="0"/>
    <s v="Payment"/>
    <n v="-23000"/>
  </r>
  <r>
    <x v="254"/>
    <d v="2018-09-17T00:00:00"/>
    <s v="Haqq Nawaz (Labour)"/>
    <x v="0"/>
    <x v="1"/>
    <s v="Payment"/>
    <n v="-1000"/>
  </r>
  <r>
    <x v="255"/>
    <d v="2018-09-23T00:00:00"/>
    <s v="Nawab Zada (Chunai Plaster)"/>
    <x v="12"/>
    <x v="1"/>
    <s v="Payment"/>
    <n v="-10000"/>
  </r>
  <r>
    <x v="256"/>
    <d v="2018-09-23T00:00:00"/>
    <s v="Haqq Nawaz (Labour)"/>
    <x v="0"/>
    <x v="1"/>
    <s v="Payment"/>
    <n v="-2000"/>
  </r>
  <r>
    <x v="257"/>
    <d v="2018-09-24T00:00:00"/>
    <s v="Shawaiz Wages"/>
    <x v="4"/>
    <x v="0"/>
    <s v="Payment"/>
    <n v="-10000"/>
  </r>
  <r>
    <x v="258"/>
    <d v="2018-09-24T00:00:00"/>
    <s v="Dasti to Khan Zada on dated 20/08/2018 Adjustment Entry"/>
    <x v="8"/>
    <x v="0"/>
    <s v="Receipt"/>
    <n v="150000"/>
  </r>
  <r>
    <x v="259"/>
    <d v="2018-09-25T00:00:00"/>
    <s v="Nawab Zada (Chunai Plaster)"/>
    <x v="12"/>
    <x v="1"/>
    <s v="Payment"/>
    <n v="-15000"/>
  </r>
  <r>
    <x v="260"/>
    <d v="2018-09-25T00:00:00"/>
    <s v="Haqq Nawaz (Labour)"/>
    <x v="0"/>
    <x v="1"/>
    <s v="Payment"/>
    <n v="-1000"/>
  </r>
  <r>
    <x v="261"/>
    <d v="2018-09-27T00:00:00"/>
    <s v="Shawaiz Wages"/>
    <x v="4"/>
    <x v="0"/>
    <s v="Payment"/>
    <n v="-7000"/>
  </r>
  <r>
    <x v="262"/>
    <d v="2018-09-29T00:00:00"/>
    <s v="Raasi"/>
    <x v="2"/>
    <x v="1"/>
    <s v="Payment"/>
    <n v="-540"/>
  </r>
  <r>
    <x v="263"/>
    <d v="2018-09-29T00:00:00"/>
    <s v="Trolly Tyre Puncture"/>
    <x v="2"/>
    <x v="1"/>
    <s v="Payment"/>
    <n v="-100"/>
  </r>
  <r>
    <x v="264"/>
    <d v="2018-09-29T00:00:00"/>
    <s v="Nawab Zada (Chunai Plaster)"/>
    <x v="12"/>
    <x v="1"/>
    <s v="Payment"/>
    <n v="-50000"/>
  </r>
  <r>
    <x v="265"/>
    <d v="2018-09-29T00:00:00"/>
    <s v="Haqq Nawaz (Labour)"/>
    <x v="0"/>
    <x v="1"/>
    <s v="Payment"/>
    <n v="-1000"/>
  </r>
  <r>
    <x v="266"/>
    <d v="2018-09-29T00:00:00"/>
    <s v="Amount Received (Asif received from Ahmed)"/>
    <x v="8"/>
    <x v="1"/>
    <s v="Receipt"/>
    <n v="100000"/>
  </r>
  <r>
    <x v="267"/>
    <d v="2018-10-03T00:00:00"/>
    <s v="Shah Waris Khan (Shuttring)"/>
    <x v="4"/>
    <x v="1"/>
    <s v="Payment"/>
    <n v="-10000"/>
  </r>
  <r>
    <x v="268"/>
    <d v="2018-10-03T00:00:00"/>
    <s v="Gullzar (Cutting Labour)"/>
    <x v="0"/>
    <x v="1"/>
    <s v="Payment"/>
    <n v="-1000"/>
  </r>
  <r>
    <x v="269"/>
    <d v="2018-10-04T00:00:00"/>
    <s v="Amount Received (Asif c/o Arif Sb from Ahmed)"/>
    <x v="8"/>
    <x v="1"/>
    <s v="Receipt"/>
    <n v="50000"/>
  </r>
  <r>
    <x v="270"/>
    <d v="2018-10-04T00:00:00"/>
    <s v="Liaqat (Contractor)         HBL Chq: 00000046"/>
    <x v="9"/>
    <x v="1"/>
    <s v="Payment"/>
    <n v="-200000"/>
  </r>
  <r>
    <x v="271"/>
    <d v="2018-10-04T00:00:00"/>
    <s v="Nawab Zada (Chunai Plaster)"/>
    <x v="12"/>
    <x v="1"/>
    <s v="Payment"/>
    <n v="-20000"/>
  </r>
  <r>
    <x v="272"/>
    <d v="2018-10-04T00:00:00"/>
    <s v="Cartage for Pranch from NIP"/>
    <x v="2"/>
    <x v="1"/>
    <s v="Payment"/>
    <n v="-4000"/>
  </r>
  <r>
    <x v="273"/>
    <d v="2018-10-04T00:00:00"/>
    <s v="Tea for labour"/>
    <x v="2"/>
    <x v="1"/>
    <s v="Payment"/>
    <n v="-2000"/>
  </r>
  <r>
    <x v="274"/>
    <d v="2018-10-05T00:00:00"/>
    <s v="Asif Bhai      HBL Chq:0048,Month Sep-18 Payment"/>
    <x v="1"/>
    <x v="1"/>
    <s v="Payment"/>
    <n v="-60000"/>
  </r>
  <r>
    <x v="275"/>
    <d v="2018-10-05T00:00:00"/>
    <s v="Masood (Labour)         Month Aug-Sep-18 Pymt"/>
    <x v="0"/>
    <x v="1"/>
    <s v="Payment"/>
    <n v="-4900"/>
  </r>
  <r>
    <x v="276"/>
    <d v="2018-10-07T00:00:00"/>
    <s v="Balchaa (For Site)"/>
    <x v="2"/>
    <x v="1"/>
    <s v="Payment"/>
    <n v="-520"/>
  </r>
  <r>
    <x v="277"/>
    <d v="2018-10-07T00:00:00"/>
    <s v="Taagari (For Site)"/>
    <x v="2"/>
    <x v="1"/>
    <s v="Payment"/>
    <n v="-550"/>
  </r>
  <r>
    <x v="278"/>
    <d v="2018-10-08T00:00:00"/>
    <s v="Nawaz (Labour)"/>
    <x v="0"/>
    <x v="1"/>
    <s v="Payment"/>
    <n v="-1000"/>
  </r>
  <r>
    <x v="279"/>
    <d v="2018-10-09T00:00:00"/>
    <s v="Trolly Tools"/>
    <x v="2"/>
    <x v="1"/>
    <s v="Payment"/>
    <n v="-20"/>
  </r>
  <r>
    <x v="280"/>
    <d v="2018-10-09T00:00:00"/>
    <s v="Kashif (Steel)"/>
    <x v="7"/>
    <x v="1"/>
    <s v="Payment"/>
    <n v="-15000"/>
  </r>
  <r>
    <x v="281"/>
    <d v="2018-10-09T00:00:00"/>
    <s v="Taagari (For Site)"/>
    <x v="2"/>
    <x v="1"/>
    <s v="Payment"/>
    <n v="-220"/>
  </r>
  <r>
    <x v="282"/>
    <d v="2018-10-09T00:00:00"/>
    <s v="Nawaz (Labour)           Month Sep-18 Payment"/>
    <x v="0"/>
    <x v="1"/>
    <s v="Payment"/>
    <n v="-9850"/>
  </r>
  <r>
    <x v="283"/>
    <d v="2018-10-13T00:00:00"/>
    <s v="Shah Waris Khan (Shuttring)"/>
    <x v="4"/>
    <x v="1"/>
    <s v="Payment"/>
    <n v="-3000"/>
  </r>
  <r>
    <x v="284"/>
    <d v="2018-10-13T00:00:00"/>
    <s v="Trolly Tube"/>
    <x v="2"/>
    <x v="1"/>
    <s v="Payment"/>
    <n v="-150"/>
  </r>
  <r>
    <x v="285"/>
    <d v="2018-10-15T00:00:00"/>
    <s v="Shah Waris Khan (Shuttring)"/>
    <x v="4"/>
    <x v="1"/>
    <s v="Payment"/>
    <n v="-7000"/>
  </r>
  <r>
    <x v="286"/>
    <d v="2018-10-15T00:00:00"/>
    <s v="Nawab Zada (Chunai Plaster)"/>
    <x v="12"/>
    <x v="1"/>
    <s v="Payment"/>
    <n v="-20000"/>
  </r>
  <r>
    <x v="287"/>
    <d v="2018-10-15T00:00:00"/>
    <s v="Masood (Labour)"/>
    <x v="0"/>
    <x v="1"/>
    <s v="Payment"/>
    <n v="-1000"/>
  </r>
  <r>
    <x v="288"/>
    <d v="2018-10-16T00:00:00"/>
    <s v="Kashif (Steel)"/>
    <x v="7"/>
    <x v="1"/>
    <s v="Payment"/>
    <n v="-10000"/>
  </r>
  <r>
    <x v="289"/>
    <d v="2018-10-19T00:00:00"/>
    <s v="Nawab Zada (Chunai Plaster)"/>
    <x v="12"/>
    <x v="1"/>
    <s v="Payment"/>
    <n v="-5000"/>
  </r>
  <r>
    <x v="290"/>
    <d v="2018-10-20T00:00:00"/>
    <s v="Nawaz (Labour)"/>
    <x v="0"/>
    <x v="1"/>
    <s v="Payment"/>
    <n v="-1000"/>
  </r>
  <r>
    <x v="291"/>
    <d v="2018-10-20T00:00:00"/>
    <s v="Tea for labour"/>
    <x v="2"/>
    <x v="1"/>
    <s v="Payment"/>
    <n v="-100"/>
  </r>
  <r>
    <x v="292"/>
    <d v="2018-10-22T00:00:00"/>
    <s v="Waterproofing Chemical"/>
    <x v="13"/>
    <x v="1"/>
    <s v="Payment"/>
    <n v="-2960"/>
  </r>
  <r>
    <x v="293"/>
    <d v="2018-10-23T00:00:00"/>
    <s v="Masood (Labour)"/>
    <x v="0"/>
    <x v="1"/>
    <s v="Payment"/>
    <n v="-1000"/>
  </r>
  <r>
    <x v="294"/>
    <d v="2018-10-23T00:00:00"/>
    <s v="Amount Received (Asif received from Ahmed)"/>
    <x v="8"/>
    <x v="1"/>
    <s v="Receipt"/>
    <n v="60000"/>
  </r>
  <r>
    <x v="295"/>
    <d v="2018-10-23T00:00:00"/>
    <s v="Kashif (Steel)"/>
    <x v="7"/>
    <x v="1"/>
    <s v="Payment"/>
    <n v="-10000"/>
  </r>
  <r>
    <x v="296"/>
    <d v="2018-10-24T00:00:00"/>
    <s v="Nawab Zada (Chunai Plaster) HMP 81431080"/>
    <x v="12"/>
    <x v="1"/>
    <s v="Payment"/>
    <n v="-87000"/>
  </r>
  <r>
    <x v="297"/>
    <d v="2018-10-24T00:00:00"/>
    <s v="Ismail (Labour)"/>
    <x v="0"/>
    <x v="1"/>
    <s v="Payment"/>
    <n v="-3200"/>
  </r>
  <r>
    <x v="298"/>
    <d v="2018-10-24T00:00:00"/>
    <s v="Amount Received (Arif received from Ahmed, Chq# MET-1080 )"/>
    <x v="8"/>
    <x v="1"/>
    <s v="Receipt"/>
    <n v="50000"/>
  </r>
  <r>
    <x v="299"/>
    <d v="2018-10-24T00:00:00"/>
    <s v="Amount Received (Arif received from Ahmed Cash)"/>
    <x v="8"/>
    <x v="1"/>
    <s v="Receipt"/>
    <n v="50000"/>
  </r>
  <r>
    <x v="300"/>
    <d v="2018-10-24T00:00:00"/>
    <s v="Haji Aziz (Shuttring)"/>
    <x v="4"/>
    <x v="1"/>
    <s v="Payment"/>
    <n v="-15000"/>
  </r>
  <r>
    <x v="301"/>
    <d v="2018-10-25T00:00:00"/>
    <s v="Nawaz (Labour)"/>
    <x v="0"/>
    <x v="1"/>
    <s v="Payment"/>
    <n v="-1000"/>
  </r>
  <r>
    <x v="302"/>
    <d v="2018-10-25T00:00:00"/>
    <s v="Masood (Labour)"/>
    <x v="0"/>
    <x v="1"/>
    <s v="Payment"/>
    <n v="-1000"/>
  </r>
  <r>
    <x v="303"/>
    <d v="2018-10-27T00:00:00"/>
    <s v="Nawaz (Labour)"/>
    <x v="0"/>
    <x v="1"/>
    <s v="Payment"/>
    <n v="-1000"/>
  </r>
  <r>
    <x v="304"/>
    <d v="2018-10-27T00:00:00"/>
    <s v="Tea for labour"/>
    <x v="2"/>
    <x v="1"/>
    <s v="Payment"/>
    <n v="-110"/>
  </r>
  <r>
    <x v="305"/>
    <d v="2018-10-27T00:00:00"/>
    <s v="Starter Frame Repair"/>
    <x v="2"/>
    <x v="1"/>
    <s v="Payment"/>
    <n v="-1100"/>
  </r>
  <r>
    <x v="306"/>
    <d v="2018-10-27T00:00:00"/>
    <s v="Nawab Zada (Chunai Plaster)"/>
    <x v="12"/>
    <x v="1"/>
    <s v="Payment"/>
    <n v="-3000"/>
  </r>
  <r>
    <x v="307"/>
    <d v="2018-10-27T00:00:00"/>
    <s v="Vibrator Repair"/>
    <x v="2"/>
    <x v="1"/>
    <s v="Payment"/>
    <n v="-450"/>
  </r>
  <r>
    <x v="308"/>
    <d v="2018-10-29T00:00:00"/>
    <s v="Amount Received"/>
    <x v="8"/>
    <x v="1"/>
    <s v="Receipt"/>
    <n v="200000"/>
  </r>
  <r>
    <x v="309"/>
    <d v="2018-10-29T00:00:00"/>
    <s v="Liaqat (Contractor)"/>
    <x v="9"/>
    <x v="1"/>
    <s v="Payment"/>
    <n v="-50000"/>
  </r>
  <r>
    <x v="310"/>
    <d v="2018-10-29T00:00:00"/>
    <s v="Papu (Pouring)                        2nd Floor Slab"/>
    <x v="6"/>
    <x v="1"/>
    <s v="Payment"/>
    <n v="-68000"/>
  </r>
  <r>
    <x v="311"/>
    <d v="2018-10-29T00:00:00"/>
    <s v="Nawab Zada (Chunai Plaster)"/>
    <x v="12"/>
    <x v="1"/>
    <s v="Payment"/>
    <n v="-10000"/>
  </r>
  <r>
    <x v="312"/>
    <d v="2018-10-29T00:00:00"/>
    <s v="Stop (Adda Labour)"/>
    <x v="0"/>
    <x v="1"/>
    <s v="Payment"/>
    <n v="-850"/>
  </r>
  <r>
    <x v="313"/>
    <d v="2018-10-29T00:00:00"/>
    <s v="Petrol for Vibrator"/>
    <x v="2"/>
    <x v="1"/>
    <s v="Payment"/>
    <n v="-300"/>
  </r>
  <r>
    <x v="314"/>
    <d v="2018-10-29T00:00:00"/>
    <s v="Water Bottols"/>
    <x v="2"/>
    <x v="1"/>
    <s v="Payment"/>
    <n v="-200"/>
  </r>
  <r>
    <x v="315"/>
    <d v="2018-10-29T00:00:00"/>
    <s v="Masood (Labour)              Month Oct-18 Pymt"/>
    <x v="0"/>
    <x v="1"/>
    <s v="Payment"/>
    <n v="-10000"/>
  </r>
  <r>
    <x v="316"/>
    <d v="2018-10-29T00:00:00"/>
    <s v="Kashif (Steel)"/>
    <x v="7"/>
    <x v="1"/>
    <s v="Payment"/>
    <n v="-50000"/>
  </r>
  <r>
    <x v="317"/>
    <d v="2018-10-29T00:00:00"/>
    <s v="Mohammad Hashir (Labour)"/>
    <x v="0"/>
    <x v="1"/>
    <s v="Payment"/>
    <n v="-850"/>
  </r>
  <r>
    <x v="318"/>
    <d v="2018-10-29T00:00:00"/>
    <s v="Nawaz (Labour)"/>
    <x v="0"/>
    <x v="1"/>
    <s v="Payment"/>
    <n v="-1150"/>
  </r>
  <r>
    <x v="319"/>
    <d v="2018-10-29T00:00:00"/>
    <s v="Baalti for site"/>
    <x v="2"/>
    <x v="1"/>
    <s v="Payment"/>
    <n v="-200"/>
  </r>
  <r>
    <x v="320"/>
    <d v="2018-10-29T00:00:00"/>
    <s v="Payment Received M.Habib Chq#31085"/>
    <x v="8"/>
    <x v="0"/>
    <s v="Receipt"/>
    <n v="50000"/>
  </r>
  <r>
    <x v="321"/>
    <d v="2018-10-29T00:00:00"/>
    <s v="Payment Received M.Habib Chq#31085"/>
    <x v="8"/>
    <x v="0"/>
    <s v="Receipt"/>
    <n v="50000"/>
  </r>
  <r>
    <x v="322"/>
    <d v="2018-10-30T00:00:00"/>
    <s v="Shah Waris Khan (Shuttring)"/>
    <x v="4"/>
    <x v="1"/>
    <s v="Payment"/>
    <n v="-5000"/>
  </r>
  <r>
    <x v="323"/>
    <d v="2018-10-30T00:00:00"/>
    <s v="Adday ki Labour"/>
    <x v="0"/>
    <x v="1"/>
    <s v="Payment"/>
    <n v="-1850"/>
  </r>
  <r>
    <x v="324"/>
    <d v="2018-10-30T00:00:00"/>
    <s v="Tea for labour"/>
    <x v="2"/>
    <x v="1"/>
    <s v="Payment"/>
    <n v="-150"/>
  </r>
  <r>
    <x v="325"/>
    <d v="2018-10-30T00:00:00"/>
    <s v="Material for Layout"/>
    <x v="2"/>
    <x v="1"/>
    <s v="Payment"/>
    <n v="-320"/>
  </r>
  <r>
    <x v="326"/>
    <d v="2018-10-31T00:00:00"/>
    <s v="Nawaz (Labour)"/>
    <x v="0"/>
    <x v="1"/>
    <s v="Payment"/>
    <n v="-1000"/>
  </r>
  <r>
    <x v="327"/>
    <d v="2018-11-01T00:00:00"/>
    <s v="Bashir Electric"/>
    <x v="10"/>
    <x v="1"/>
    <s v="Payment"/>
    <n v="-50115"/>
  </r>
  <r>
    <x v="328"/>
    <d v="2018-11-01T00:00:00"/>
    <s v="Shabbir Electrician (Electrician)"/>
    <x v="10"/>
    <x v="0"/>
    <s v="Payment"/>
    <n v="-50000"/>
  </r>
  <r>
    <x v="329"/>
    <d v="2018-11-03T00:00:00"/>
    <s v="Amount Received (Asif received from Ahmed)"/>
    <x v="8"/>
    <x v="1"/>
    <s v="Receipt"/>
    <n v="50000"/>
  </r>
  <r>
    <x v="330"/>
    <d v="2018-11-03T00:00:00"/>
    <s v="Nawab Zada (Chunai Plaster)"/>
    <x v="12"/>
    <x v="1"/>
    <s v="Payment"/>
    <n v="-30000"/>
  </r>
  <r>
    <x v="331"/>
    <d v="2018-11-03T00:00:00"/>
    <s v="Shah Waris Khan (Shuttring)"/>
    <x v="4"/>
    <x v="1"/>
    <s v="Payment"/>
    <n v="-20000"/>
  </r>
  <r>
    <x v="332"/>
    <d v="2018-11-05T00:00:00"/>
    <s v="Asif Bhai                         Month Oct-18 Payment"/>
    <x v="1"/>
    <x v="1"/>
    <s v="Payment"/>
    <n v="-60000"/>
  </r>
  <r>
    <x v="333"/>
    <d v="2018-11-05T00:00:00"/>
    <s v="Nawaz (Labour)             Month Oct-18 Payment"/>
    <x v="0"/>
    <x v="1"/>
    <s v="Payment"/>
    <n v="-7450"/>
  </r>
  <r>
    <x v="334"/>
    <d v="2018-11-05T00:00:00"/>
    <s v="Masood (Labour)  Month remaining Oct-18 Pymt"/>
    <x v="0"/>
    <x v="1"/>
    <s v="Payment"/>
    <n v="-12600"/>
  </r>
  <r>
    <x v="335"/>
    <d v="2018-11-05T00:00:00"/>
    <s v="Massoon+Labour (Nawab)"/>
    <x v="0"/>
    <x v="1"/>
    <s v="Payment"/>
    <n v="-12800"/>
  </r>
  <r>
    <x v="336"/>
    <d v="2018-11-05T00:00:00"/>
    <s v="Amount Received (Asif received from Ahmed)"/>
    <x v="8"/>
    <x v="1"/>
    <s v="Receipt"/>
    <n v="50000"/>
  </r>
  <r>
    <x v="337"/>
    <d v="2018-11-05T00:00:00"/>
    <s v="Liaqat (Contractor)         HBL Chq: 00000058"/>
    <x v="9"/>
    <x v="1"/>
    <s v="Payment"/>
    <n v="-100000"/>
  </r>
  <r>
    <x v="338"/>
    <d v="2018-11-06T00:00:00"/>
    <s v="Kashif (Steel)"/>
    <x v="7"/>
    <x v="1"/>
    <s v="Payment"/>
    <n v="-25000"/>
  </r>
  <r>
    <x v="339"/>
    <d v="2018-11-06T00:00:00"/>
    <s v="Liaqat (Contractor)         HBL Chq: 00000057"/>
    <x v="9"/>
    <x v="1"/>
    <s v="Payment"/>
    <n v="-100000"/>
  </r>
  <r>
    <x v="340"/>
    <d v="2018-11-07T00:00:00"/>
    <s v="Shah Waris Khan (Shuttring)"/>
    <x v="4"/>
    <x v="1"/>
    <s v="Payment"/>
    <n v="-25000"/>
  </r>
  <r>
    <x v="341"/>
    <d v="2018-11-07T00:00:00"/>
    <s v="Nawab Zada (Chunai Plaster)"/>
    <x v="12"/>
    <x v="1"/>
    <s v="Payment"/>
    <n v="-10000"/>
  </r>
  <r>
    <x v="342"/>
    <d v="2018-11-10T00:00:00"/>
    <s v="Amount Received (Asif received from Ahmed)"/>
    <x v="8"/>
    <x v="1"/>
    <s v="Receipt"/>
    <n v="35000"/>
  </r>
  <r>
    <x v="338"/>
    <d v="2018-11-11T00:00:00"/>
    <s v="Amount Received (Asif received from Ahmed)"/>
    <x v="8"/>
    <x v="1"/>
    <s v="Receipt"/>
    <n v="65000"/>
  </r>
  <r>
    <x v="343"/>
    <d v="2018-11-11T00:00:00"/>
    <s v="Shah Waris Khan (Shuttring)"/>
    <x v="4"/>
    <x v="1"/>
    <s v="Payment"/>
    <n v="-50000"/>
  </r>
  <r>
    <x v="344"/>
    <d v="2018-11-11T00:00:00"/>
    <s v="Gull Nawaz (Pouring)             3rd Floor Column"/>
    <x v="6"/>
    <x v="1"/>
    <s v="Payment"/>
    <n v="-23000"/>
  </r>
  <r>
    <x v="345"/>
    <d v="2018-11-11T00:00:00"/>
    <s v="Petrol for Vibrator"/>
    <x v="2"/>
    <x v="1"/>
    <s v="Payment"/>
    <n v="-100"/>
  </r>
  <r>
    <x v="346"/>
    <d v="2018-11-11T00:00:00"/>
    <s v="Nawaz (Labour)"/>
    <x v="0"/>
    <x v="1"/>
    <s v="Payment"/>
    <n v="-2000"/>
  </r>
  <r>
    <x v="347"/>
    <d v="2018-11-11T00:00:00"/>
    <s v="Masood (Labour) "/>
    <x v="0"/>
    <x v="1"/>
    <s v="Payment"/>
    <n v="-1000"/>
  </r>
  <r>
    <x v="348"/>
    <d v="2018-11-11T00:00:00"/>
    <s v="Tea for labour"/>
    <x v="2"/>
    <x v="1"/>
    <s v="Payment"/>
    <n v="-200"/>
  </r>
  <r>
    <x v="349"/>
    <d v="2018-11-12T00:00:00"/>
    <s v="Amount Received (Arif received from Ahmed, Chq# MET-1080 )"/>
    <x v="8"/>
    <x v="1"/>
    <s v="Receipt"/>
    <n v="50000"/>
  </r>
  <r>
    <x v="350"/>
    <d v="2018-11-12T00:00:00"/>
    <s v="Amount Received (Arif received from Ahmed, Chq# MET-1080 )"/>
    <x v="8"/>
    <x v="1"/>
    <s v="Receipt"/>
    <n v="50000"/>
  </r>
  <r>
    <x v="351"/>
    <d v="2018-11-12T00:00:00"/>
    <s v="Nawab Zada (Chunai Plaster)"/>
    <x v="12"/>
    <x v="1"/>
    <s v="Payment"/>
    <n v="-100000"/>
  </r>
  <r>
    <x v="352"/>
    <d v="2018-11-12T00:00:00"/>
    <s v="Tea for labour"/>
    <x v="2"/>
    <x v="1"/>
    <s v="Payment"/>
    <n v="-50"/>
  </r>
  <r>
    <x v="353"/>
    <d v="2018-11-12T00:00:00"/>
    <s v="Core Cutting     (7 Nos)"/>
    <x v="2"/>
    <x v="1"/>
    <s v="Payment"/>
    <n v="-9100"/>
  </r>
  <r>
    <x v="354"/>
    <d v="2018-11-14T00:00:00"/>
    <s v="Nawaz (Labour)"/>
    <x v="0"/>
    <x v="1"/>
    <s v="Payment"/>
    <n v="-1000"/>
  </r>
  <r>
    <x v="355"/>
    <d v="2018-11-16T00:00:00"/>
    <s v="Nawab Zada (Chunai Plaster)"/>
    <x v="12"/>
    <x v="1"/>
    <s v="Payment"/>
    <n v="-10000"/>
  </r>
  <r>
    <x v="356"/>
    <d v="2018-11-16T00:00:00"/>
    <s v="Shah Waris Khan (Shuttring)"/>
    <x v="4"/>
    <x v="1"/>
    <s v="Payment"/>
    <n v="-50000"/>
  </r>
  <r>
    <x v="357"/>
    <d v="2018-11-16T00:00:00"/>
    <s v="Nawaz (Labour)"/>
    <x v="0"/>
    <x v="1"/>
    <s v="Payment"/>
    <n v="-1000"/>
  </r>
  <r>
    <x v="358"/>
    <d v="2018-11-17T00:00:00"/>
    <s v="Painter  (Babar and Farhan)"/>
    <x v="14"/>
    <x v="1"/>
    <s v="Payment"/>
    <n v="-3000"/>
  </r>
  <r>
    <x v="359"/>
    <d v="2018-11-18T00:00:00"/>
    <s v="Nawaz (Labour)"/>
    <x v="0"/>
    <x v="1"/>
    <s v="Payment"/>
    <n v="-1000"/>
  </r>
  <r>
    <x v="360"/>
    <d v="2018-11-18T00:00:00"/>
    <s v="Painter  (Farhan)"/>
    <x v="14"/>
    <x v="1"/>
    <s v="Payment"/>
    <n v="-1000"/>
  </r>
  <r>
    <x v="361"/>
    <d v="2018-11-18T00:00:00"/>
    <s v="Rigester+Nails"/>
    <x v="2"/>
    <x v="1"/>
    <s v="Payment"/>
    <n v="-95"/>
  </r>
  <r>
    <x v="362"/>
    <d v="2018-11-20T00:00:00"/>
    <s v="Nawab Zada (Chunai Plaster)"/>
    <x v="12"/>
    <x v="1"/>
    <s v="Payment"/>
    <n v="-10000"/>
  </r>
  <r>
    <x v="363"/>
    <d v="2018-11-20T00:00:00"/>
    <s v="Tea for labour"/>
    <x v="2"/>
    <x v="1"/>
    <s v="Payment"/>
    <n v="-100"/>
  </r>
  <r>
    <x v="364"/>
    <d v="2018-11-20T00:00:00"/>
    <s v="Nawaz (Labour)"/>
    <x v="0"/>
    <x v="1"/>
    <s v="Payment"/>
    <n v="-500"/>
  </r>
  <r>
    <x v="365"/>
    <d v="2018-11-20T00:00:00"/>
    <s v="Masood (Labour) "/>
    <x v="0"/>
    <x v="1"/>
    <s v="Payment"/>
    <n v="-1000"/>
  </r>
  <r>
    <x v="366"/>
    <d v="2018-11-22T00:00:00"/>
    <s v="Amount Received(Arif received from Ahmed,Chq# MET-81431090 )"/>
    <x v="8"/>
    <x v="1"/>
    <s v="Receipt"/>
    <n v="50000"/>
  </r>
  <r>
    <x v="367"/>
    <d v="2018-11-22T00:00:00"/>
    <s v="Nawab Zada (Chunai Plaster)"/>
    <x v="12"/>
    <x v="1"/>
    <s v="Payment"/>
    <n v="-25000"/>
  </r>
  <r>
    <x v="368"/>
    <d v="2018-11-22T00:00:00"/>
    <s v="Khalil (Plumber)"/>
    <x v="15"/>
    <x v="1"/>
    <s v="Payment"/>
    <n v="-20000"/>
  </r>
  <r>
    <x v="369"/>
    <d v="2018-11-22T00:00:00"/>
    <s v="Painter  (Rab-Nawaz)"/>
    <x v="14"/>
    <x v="1"/>
    <s v="Payment"/>
    <n v="-5000"/>
  </r>
  <r>
    <x v="370"/>
    <d v="2018-11-23T00:00:00"/>
    <s v="Nawaz (Labour)"/>
    <x v="0"/>
    <x v="1"/>
    <s v="Payment"/>
    <n v="-3000"/>
  </r>
  <r>
    <x v="371"/>
    <d v="2018-11-23T00:00:00"/>
    <s v="Nawaz Paymen Haydri MZ"/>
    <x v="3"/>
    <x v="0"/>
    <s v="Other Receipt"/>
    <n v="9000"/>
  </r>
  <r>
    <x v="372"/>
    <d v="2018-11-24T00:00:00"/>
    <s v="Site Material (Balchaa 2 Nos)"/>
    <x v="2"/>
    <x v="1"/>
    <s v="Payment"/>
    <n v="-700"/>
  </r>
  <r>
    <x v="373"/>
    <d v="2018-11-24T00:00:00"/>
    <s v="Chaani Banwai"/>
    <x v="12"/>
    <x v="1"/>
    <s v="Payment"/>
    <n v="-50"/>
  </r>
  <r>
    <x v="374"/>
    <d v="2018-11-24T00:00:00"/>
    <s v="Bashir Electric"/>
    <x v="10"/>
    <x v="1"/>
    <s v="Payment"/>
    <n v="-8000"/>
  </r>
  <r>
    <x v="375"/>
    <d v="2018-11-25T00:00:00"/>
    <s v="Shah Waris Khan (Shuttring)"/>
    <x v="4"/>
    <x v="1"/>
    <s v="Payment"/>
    <n v="-10000"/>
  </r>
  <r>
    <x v="376"/>
    <d v="2018-11-25T00:00:00"/>
    <s v="Painter  (Rab-Nawaz)"/>
    <x v="14"/>
    <x v="1"/>
    <s v="Payment"/>
    <n v="-3000"/>
  </r>
  <r>
    <x v="377"/>
    <d v="2018-11-25T00:00:00"/>
    <s v="Amount Received (Asif received from Ahmed)    Cash"/>
    <x v="8"/>
    <x v="1"/>
    <s v="Receipt"/>
    <n v="50000"/>
  </r>
  <r>
    <x v="378"/>
    <d v="2018-11-26T00:00:00"/>
    <s v="Nawab Zada (Chunai Plaster)"/>
    <x v="12"/>
    <x v="1"/>
    <s v="Payment"/>
    <n v="-10000"/>
  </r>
  <r>
    <x v="379"/>
    <d v="2018-11-26T00:00:00"/>
    <s v="Tea for labour"/>
    <x v="2"/>
    <x v="1"/>
    <s v="Payment"/>
    <n v="-100"/>
  </r>
  <r>
    <x v="380"/>
    <d v="2018-11-27T00:00:00"/>
    <s v="Nawab Zada (Chunai Plaster)"/>
    <x v="12"/>
    <x v="1"/>
    <s v="Payment"/>
    <n v="-5000"/>
  </r>
  <r>
    <x v="381"/>
    <d v="2018-11-28T00:00:00"/>
    <s v="Nails+Patti (Haji Aziz)"/>
    <x v="2"/>
    <x v="1"/>
    <s v="Payment"/>
    <n v="-15560"/>
  </r>
  <r>
    <x v="382"/>
    <d v="2018-11-29T00:00:00"/>
    <s v="Nawab Zada (Chunai Plaster)"/>
    <x v="12"/>
    <x v="1"/>
    <s v="Payment"/>
    <n v="-5000"/>
  </r>
  <r>
    <x v="383"/>
    <d v="2018-11-30T00:00:00"/>
    <s v="Tea for labour"/>
    <x v="2"/>
    <x v="1"/>
    <s v="Payment"/>
    <n v="-500"/>
  </r>
  <r>
    <x v="384"/>
    <d v="2018-11-30T00:00:00"/>
    <s v="Nawaz (Labour)"/>
    <x v="0"/>
    <x v="1"/>
    <s v="Payment"/>
    <n v="-100"/>
  </r>
  <r>
    <x v="385"/>
    <d v="2018-12-01T00:00:00"/>
    <s v="Tea for labour"/>
    <x v="2"/>
    <x v="1"/>
    <s v="Payment"/>
    <n v="-100"/>
  </r>
  <r>
    <x v="386"/>
    <d v="2018-12-01T00:00:00"/>
    <s v="Painter  (Farhan)"/>
    <x v="14"/>
    <x v="1"/>
    <s v="Payment"/>
    <n v="-3000"/>
  </r>
  <r>
    <x v="387"/>
    <d v="2018-12-02T00:00:00"/>
    <s v="Tea for labour"/>
    <x v="2"/>
    <x v="1"/>
    <s v="Payment"/>
    <n v="-200"/>
  </r>
  <r>
    <x v="388"/>
    <d v="2018-12-02T00:00:00"/>
    <s v="Nawaz (Labour)"/>
    <x v="0"/>
    <x v="1"/>
    <s v="Payment"/>
    <n v="-1000"/>
  </r>
  <r>
    <x v="389"/>
    <d v="2018-12-02T00:00:00"/>
    <s v="Amount Received (Asif received from Ahmed)    Cash"/>
    <x v="8"/>
    <x v="1"/>
    <s v="Receipt"/>
    <n v="75000"/>
  </r>
  <r>
    <x v="390"/>
    <d v="2018-12-02T00:00:00"/>
    <s v="Shah Waris Khan (Shuttring)"/>
    <x v="4"/>
    <x v="1"/>
    <s v="Payment"/>
    <n v="-50000"/>
  </r>
  <r>
    <x v="391"/>
    <d v="2018-12-04T00:00:00"/>
    <s v="Labour Payment (Nawab Masson, Manhole)"/>
    <x v="0"/>
    <x v="1"/>
    <s v="Payment"/>
    <n v="-13300"/>
  </r>
  <r>
    <x v="392"/>
    <d v="2018-12-04T00:00:00"/>
    <s v="Nawaz (Labour)             Month Nov-18 Payment"/>
    <x v="0"/>
    <x v="1"/>
    <s v="Payment"/>
    <n v="-16100"/>
  </r>
  <r>
    <x v="393"/>
    <d v="2018-12-04T00:00:00"/>
    <s v="Painter  (Rab-Nawaz)"/>
    <x v="14"/>
    <x v="1"/>
    <s v="Payment"/>
    <n v="-3000"/>
  </r>
  <r>
    <x v="394"/>
    <d v="2018-12-04T00:00:00"/>
    <s v="Kashif Steel"/>
    <x v="7"/>
    <x v="1"/>
    <s v="Payment"/>
    <n v="-2000"/>
  </r>
  <r>
    <x v="395"/>
    <d v="2018-12-04T00:00:00"/>
    <s v="Kashif (Steel)"/>
    <x v="7"/>
    <x v="1"/>
    <s v="Payment"/>
    <n v="-5000"/>
  </r>
  <r>
    <x v="396"/>
    <d v="2018-12-04T00:00:00"/>
    <s v="Amount Received (Asif received from Ahmed)    Cash"/>
    <x v="8"/>
    <x v="1"/>
    <s v="Receipt"/>
    <n v="50000"/>
  </r>
  <r>
    <x v="397"/>
    <d v="2018-12-04T00:00:00"/>
    <s v="Nawab Zada (Chunai Plaster)"/>
    <x v="12"/>
    <x v="1"/>
    <s v="Payment"/>
    <n v="-15000"/>
  </r>
  <r>
    <x v="398"/>
    <d v="2018-12-04T00:00:00"/>
    <s v="Painter  (Rab-Nawaz)"/>
    <x v="14"/>
    <x v="1"/>
    <s v="Payment"/>
    <n v="-5050"/>
  </r>
  <r>
    <x v="399"/>
    <d v="2018-12-04T00:00:00"/>
    <s v="Site Material"/>
    <x v="2"/>
    <x v="1"/>
    <s v="Payment"/>
    <n v="-170"/>
  </r>
  <r>
    <x v="400"/>
    <d v="2018-12-04T00:00:00"/>
    <s v="Khalil (Plumber)"/>
    <x v="15"/>
    <x v="1"/>
    <s v="Payment"/>
    <n v="-30000"/>
  </r>
  <r>
    <x v="401"/>
    <d v="2018-12-05T00:00:00"/>
    <s v="Kashif (Steel)"/>
    <x v="7"/>
    <x v="1"/>
    <s v="Payment"/>
    <n v="-5000"/>
  </r>
  <r>
    <x v="402"/>
    <d v="2018-12-06T00:00:00"/>
    <s v="Tea for labour"/>
    <x v="2"/>
    <x v="1"/>
    <s v="Payment"/>
    <n v="-100"/>
  </r>
  <r>
    <x v="403"/>
    <d v="2018-12-06T00:00:00"/>
    <s v="Masood (Labour)            Month Nov-18 Pymt"/>
    <x v="0"/>
    <x v="1"/>
    <s v="Payment"/>
    <n v="-5650"/>
  </r>
  <r>
    <x v="404"/>
    <d v="2018-12-06T00:00:00"/>
    <s v="Emaan (Labour)"/>
    <x v="0"/>
    <x v="1"/>
    <s v="Payment"/>
    <n v="-850"/>
  </r>
  <r>
    <x v="405"/>
    <d v="2018-12-06T00:00:00"/>
    <s v="Ashiq (Labour)"/>
    <x v="0"/>
    <x v="1"/>
    <s v="Payment"/>
    <n v="-850"/>
  </r>
  <r>
    <x v="406"/>
    <d v="2018-12-06T00:00:00"/>
    <s v="Amount Received (Asif received from Ahmed)    Cash"/>
    <x v="8"/>
    <x v="1"/>
    <s v="Receipt"/>
    <n v="60000"/>
  </r>
  <r>
    <x v="407"/>
    <d v="2018-12-06T00:00:00"/>
    <s v="Nawab Zada (Chunai Plaster)"/>
    <x v="12"/>
    <x v="1"/>
    <s v="Payment"/>
    <n v="-10000"/>
  </r>
  <r>
    <x v="408"/>
    <d v="2018-12-06T00:00:00"/>
    <s v="Kashif (Steel)"/>
    <x v="7"/>
    <x v="1"/>
    <s v="Payment"/>
    <n v="-5000"/>
  </r>
  <r>
    <x v="409"/>
    <d v="2018-12-07T00:00:00"/>
    <s v="Kashif (Steel)"/>
    <x v="7"/>
    <x v="1"/>
    <s v="Payment"/>
    <n v="-10000"/>
  </r>
  <r>
    <x v="410"/>
    <d v="2018-12-09T00:00:00"/>
    <s v="Kashif (Steel)"/>
    <x v="7"/>
    <x v="1"/>
    <s v="Payment"/>
    <n v="-10000"/>
  </r>
  <r>
    <x v="411"/>
    <d v="2018-12-09T00:00:00"/>
    <s v="Masood (Labour)          "/>
    <x v="0"/>
    <x v="1"/>
    <s v="Payment"/>
    <n v="-1000"/>
  </r>
  <r>
    <x v="412"/>
    <d v="2018-12-10T00:00:00"/>
    <s v="Balchaa Dasta+Fixing (For Site)"/>
    <x v="2"/>
    <x v="1"/>
    <s v="Payment"/>
    <n v="-350"/>
  </r>
  <r>
    <x v="413"/>
    <d v="2018-12-11T00:00:00"/>
    <s v="Kashif (Steel)"/>
    <x v="7"/>
    <x v="1"/>
    <s v="Payment"/>
    <n v="-5000"/>
  </r>
  <r>
    <x v="414"/>
    <d v="2018-12-11T00:00:00"/>
    <s v="Nawaz (Labour)"/>
    <x v="0"/>
    <x v="1"/>
    <s v="Payment"/>
    <n v="-1000"/>
  </r>
  <r>
    <x v="415"/>
    <d v="2018-12-12T00:00:00"/>
    <s v="Kashif (Steel)"/>
    <x v="7"/>
    <x v="1"/>
    <s v="Payment"/>
    <n v="-4000"/>
  </r>
  <r>
    <x v="416"/>
    <d v="2018-12-12T00:00:00"/>
    <s v="Tea for labour"/>
    <x v="2"/>
    <x v="1"/>
    <s v="Payment"/>
    <n v="-150"/>
  </r>
  <r>
    <x v="417"/>
    <d v="2018-12-12T00:00:00"/>
    <s v="Amount Received (Asif received from Ahmed)    Cash"/>
    <x v="8"/>
    <x v="1"/>
    <s v="Receipt"/>
    <n v="20000"/>
  </r>
  <r>
    <x v="418"/>
    <d v="2018-12-13T00:00:00"/>
    <s v="Kashif (Steel)"/>
    <x v="7"/>
    <x v="1"/>
    <s v="Payment"/>
    <n v="-6000"/>
  </r>
  <r>
    <x v="419"/>
    <d v="2018-12-13T00:00:00"/>
    <s v="Nawab Zada (Chunai Plaster)"/>
    <x v="12"/>
    <x v="1"/>
    <s v="Payment"/>
    <n v="-5000"/>
  </r>
  <r>
    <x v="420"/>
    <d v="2018-12-13T00:00:00"/>
    <s v="Shah Waris Khan (Shuttring)"/>
    <x v="4"/>
    <x v="1"/>
    <s v="Payment"/>
    <n v="-5000"/>
  </r>
  <r>
    <x v="421"/>
    <d v="2018-12-13T00:00:00"/>
    <s v="Tralley Tyube"/>
    <x v="2"/>
    <x v="1"/>
    <s v="Payment"/>
    <n v="-260"/>
  </r>
  <r>
    <x v="422"/>
    <d v="2018-12-13T00:00:00"/>
    <s v="Tea for labour"/>
    <x v="2"/>
    <x v="1"/>
    <s v="Payment"/>
    <n v="-100"/>
  </r>
  <r>
    <x v="423"/>
    <d v="2018-12-13T00:00:00"/>
    <s v="Amount Received (Asif received from Ahmed)    Cash"/>
    <x v="8"/>
    <x v="1"/>
    <s v="Receipt"/>
    <n v="30000"/>
  </r>
  <r>
    <x v="424"/>
    <d v="2018-12-13T00:00:00"/>
    <s v="Amman-Ullah (Labour)"/>
    <x v="0"/>
    <x v="1"/>
    <s v="Payment"/>
    <n v="-1000"/>
  </r>
  <r>
    <x v="425"/>
    <d v="2018-12-13T00:00:00"/>
    <s v="Muzamil (Labour)"/>
    <x v="0"/>
    <x v="1"/>
    <s v="Payment"/>
    <n v="-1000"/>
  </r>
  <r>
    <x v="426"/>
    <d v="2018-12-14T00:00:00"/>
    <s v="Kashif (Steel)"/>
    <x v="7"/>
    <x v="1"/>
    <s v="Payment"/>
    <n v="-5000"/>
  </r>
  <r>
    <x v="427"/>
    <d v="2018-12-16T00:00:00"/>
    <s v="Tea for labour"/>
    <x v="2"/>
    <x v="1"/>
    <s v="Payment"/>
    <n v="-150"/>
  </r>
  <r>
    <x v="428"/>
    <d v="2018-12-16T00:00:00"/>
    <s v="Tralley Puncture"/>
    <x v="2"/>
    <x v="1"/>
    <s v="Payment"/>
    <n v="-50"/>
  </r>
  <r>
    <x v="429"/>
    <d v="2018-12-16T00:00:00"/>
    <s v="Kashif (Steel)"/>
    <x v="7"/>
    <x v="1"/>
    <s v="Payment"/>
    <n v="-5000"/>
  </r>
  <r>
    <x v="430"/>
    <d v="2018-12-17T00:00:00"/>
    <s v="Amount Received (S.Ibtehaj received from Ahmed)    Cash"/>
    <x v="8"/>
    <x v="1"/>
    <s v="Receipt"/>
    <n v="300000"/>
  </r>
  <r>
    <x v="431"/>
    <d v="2018-12-17T00:00:00"/>
    <s v="Nawab Zada (Chunai Plaster)"/>
    <x v="12"/>
    <x v="1"/>
    <s v="Payment"/>
    <n v="-12000"/>
  </r>
  <r>
    <x v="432"/>
    <d v="2018-12-17T00:00:00"/>
    <s v="Tea for labour"/>
    <x v="2"/>
    <x v="1"/>
    <s v="Payment"/>
    <n v="-350"/>
  </r>
  <r>
    <x v="433"/>
    <d v="2018-12-17T00:00:00"/>
    <s v="Amir (Labour)"/>
    <x v="0"/>
    <x v="1"/>
    <s v="Payment"/>
    <n v="-2000"/>
  </r>
  <r>
    <x v="434"/>
    <d v="2018-12-17T00:00:00"/>
    <s v="Amman-Ullah (Labour)"/>
    <x v="0"/>
    <x v="1"/>
    <s v="Payment"/>
    <n v="-2000"/>
  </r>
  <r>
    <x v="435"/>
    <d v="2018-12-17T00:00:00"/>
    <s v="Nawaz (Labour)"/>
    <x v="0"/>
    <x v="1"/>
    <s v="Payment"/>
    <n v="-2000"/>
  </r>
  <r>
    <x v="436"/>
    <d v="2018-12-17T00:00:00"/>
    <s v="Muzamil (Labour)"/>
    <x v="0"/>
    <x v="1"/>
    <s v="Payment"/>
    <n v="-1000"/>
  </r>
  <r>
    <x v="437"/>
    <d v="2018-12-17T00:00:00"/>
    <s v="Gull Nawaz (Pouring)             3rd Floor Slab"/>
    <x v="6"/>
    <x v="1"/>
    <s v="Payment"/>
    <n v="-66000"/>
  </r>
  <r>
    <x v="438"/>
    <d v="2018-12-17T00:00:00"/>
    <s v="Shah Waris Khan (Shuttring)"/>
    <x v="4"/>
    <x v="1"/>
    <s v="Payment"/>
    <n v="-30000"/>
  </r>
  <r>
    <x v="439"/>
    <d v="2018-12-17T00:00:00"/>
    <s v="Liaqat (Contractor)"/>
    <x v="9"/>
    <x v="1"/>
    <s v="Payment"/>
    <n v="-100000"/>
  </r>
  <r>
    <x v="440"/>
    <d v="2018-12-17T00:00:00"/>
    <s v="Asif Bhai                      Month Nov-18 Payment"/>
    <x v="1"/>
    <x v="1"/>
    <s v="Payment"/>
    <n v="-60000"/>
  </r>
  <r>
    <x v="441"/>
    <d v="2018-12-17T00:00:00"/>
    <s v="Petrol for Vibrator"/>
    <x v="2"/>
    <x v="1"/>
    <s v="Payment"/>
    <n v="-100"/>
  </r>
  <r>
    <x v="442"/>
    <d v="2018-12-18T00:00:00"/>
    <s v="Kashif (Steel)"/>
    <x v="7"/>
    <x v="1"/>
    <s v="Payment"/>
    <n v="-2000"/>
  </r>
  <r>
    <x v="443"/>
    <d v="2018-12-18T00:00:00"/>
    <s v="Nawab Zada (Chunai Plaster)"/>
    <x v="12"/>
    <x v="1"/>
    <s v="Payment"/>
    <n v="-2000"/>
  </r>
  <r>
    <x v="444"/>
    <d v="2018-12-18T00:00:00"/>
    <s v="Tea for labour"/>
    <x v="2"/>
    <x v="1"/>
    <s v="Payment"/>
    <n v="-240"/>
  </r>
  <r>
    <x v="445"/>
    <d v="2018-12-19T00:00:00"/>
    <s v="Painter  (Rab-Nawaz)"/>
    <x v="14"/>
    <x v="1"/>
    <s v="Payment"/>
    <n v="-3750"/>
  </r>
  <r>
    <x v="446"/>
    <d v="2018-12-19T00:00:00"/>
    <s v="Layout Material"/>
    <x v="2"/>
    <x v="1"/>
    <s v="Payment"/>
    <n v="-240"/>
  </r>
  <r>
    <x v="447"/>
    <d v="2018-12-19T00:00:00"/>
    <s v="Nawab Zada (Chunai Plaster)"/>
    <x v="12"/>
    <x v="1"/>
    <s v="Payment"/>
    <n v="-10000"/>
  </r>
  <r>
    <x v="448"/>
    <d v="2018-12-19T00:00:00"/>
    <s v="Kashif (Steel)"/>
    <x v="7"/>
    <x v="1"/>
    <s v="Payment"/>
    <n v="-6000"/>
  </r>
  <r>
    <x v="449"/>
    <d v="2018-12-19T00:00:00"/>
    <s v="Amman-Ullah (Labour)"/>
    <x v="0"/>
    <x v="1"/>
    <s v="Payment"/>
    <n v="-500"/>
  </r>
  <r>
    <x v="450"/>
    <d v="2018-12-20T00:00:00"/>
    <s v="Kashif (Steel)"/>
    <x v="7"/>
    <x v="1"/>
    <s v="Payment"/>
    <n v="-3000"/>
  </r>
  <r>
    <x v="451"/>
    <d v="2018-12-20T00:00:00"/>
    <s v="Trolley Puncture"/>
    <x v="2"/>
    <x v="1"/>
    <s v="Payment"/>
    <n v="-70"/>
  </r>
  <r>
    <x v="452"/>
    <d v="2018-12-21T00:00:00"/>
    <s v="Tea for labour"/>
    <x v="2"/>
    <x v="1"/>
    <s v="Payment"/>
    <n v="-75"/>
  </r>
  <r>
    <x v="453"/>
    <d v="2018-12-21T00:00:00"/>
    <s v="Nawaz (Labour)"/>
    <x v="0"/>
    <x v="1"/>
    <s v="Payment"/>
    <n v="-1000"/>
  </r>
  <r>
    <x v="454"/>
    <d v="2018-12-21T00:00:00"/>
    <s v="Masood (Labour)          "/>
    <x v="0"/>
    <x v="1"/>
    <s v="Payment"/>
    <n v="-1000"/>
  </r>
  <r>
    <x v="455"/>
    <d v="2018-12-21T00:00:00"/>
    <s v="Kashif (Steel)"/>
    <x v="7"/>
    <x v="1"/>
    <s v="Payment"/>
    <n v="-7000"/>
  </r>
  <r>
    <x v="456"/>
    <d v="2018-12-22T00:00:00"/>
    <s v="Nawab Zada (Chunai Plaster)"/>
    <x v="12"/>
    <x v="1"/>
    <s v="Payment"/>
    <n v="-4000"/>
  </r>
  <r>
    <x v="457"/>
    <d v="2018-12-22T00:00:00"/>
    <s v="Kashif (Steel)"/>
    <x v="7"/>
    <x v="1"/>
    <s v="Payment"/>
    <n v="-3000"/>
  </r>
  <r>
    <x v="458"/>
    <d v="2018-12-22T00:00:00"/>
    <s v="Tea for labour"/>
    <x v="2"/>
    <x v="1"/>
    <s v="Payment"/>
    <n v="-100"/>
  </r>
  <r>
    <x v="459"/>
    <d v="2018-12-23T00:00:00"/>
    <s v="Amount Received (Asif received from Ahmed)    Cash"/>
    <x v="8"/>
    <x v="1"/>
    <s v="Receipt"/>
    <n v="49000"/>
  </r>
  <r>
    <x v="460"/>
    <d v="2018-12-23T00:00:00"/>
    <s v="Haji Aziz (Shuttring)"/>
    <x v="4"/>
    <x v="1"/>
    <s v="Payment"/>
    <n v="-850"/>
  </r>
  <r>
    <x v="461"/>
    <d v="2018-12-23T00:00:00"/>
    <s v="Grinder Disc"/>
    <x v="2"/>
    <x v="1"/>
    <s v="Payment"/>
    <n v="-60"/>
  </r>
  <r>
    <x v="462"/>
    <d v="2018-12-23T00:00:00"/>
    <s v="Kashif (Steel)"/>
    <x v="7"/>
    <x v="1"/>
    <s v="Payment"/>
    <n v="-1000"/>
  </r>
  <r>
    <x v="463"/>
    <d v="2018-12-23T00:00:00"/>
    <s v="Shah Waris Khan (Shuttring)"/>
    <x v="4"/>
    <x v="1"/>
    <s v="Payment"/>
    <n v="-30000"/>
  </r>
  <r>
    <x v="464"/>
    <d v="2018-12-23T00:00:00"/>
    <s v="Nawab Zada (Chunai Plaster)"/>
    <x v="12"/>
    <x v="1"/>
    <s v="Payment"/>
    <n v="-10000"/>
  </r>
  <r>
    <x v="465"/>
    <d v="2018-12-25T00:00:00"/>
    <s v="Nawab Zada (Chunai Plaster)"/>
    <x v="12"/>
    <x v="1"/>
    <s v="Payment"/>
    <n v="-5000"/>
  </r>
  <r>
    <x v="466"/>
    <d v="2018-12-25T00:00:00"/>
    <s v="Nawaz (Labour)"/>
    <x v="0"/>
    <x v="1"/>
    <s v="Payment"/>
    <n v="-1000"/>
  </r>
  <r>
    <x v="467"/>
    <d v="2018-12-25T00:00:00"/>
    <s v="Masood (Labour)          "/>
    <x v="0"/>
    <x v="1"/>
    <s v="Payment"/>
    <n v="-1000"/>
  </r>
  <r>
    <x v="468"/>
    <d v="2018-12-25T00:00:00"/>
    <s v="Tea for labour"/>
    <x v="2"/>
    <x v="1"/>
    <s v="Payment"/>
    <n v="-50"/>
  </r>
  <r>
    <x v="469"/>
    <d v="2018-12-26T00:00:00"/>
    <s v="Amount Received (Asif received from Ahmed)    Cash"/>
    <x v="8"/>
    <x v="1"/>
    <s v="Receipt"/>
    <n v="50000"/>
  </r>
  <r>
    <x v="470"/>
    <d v="2018-12-26T00:00:00"/>
    <s v="Nawab Zada (Chunai Plaster)"/>
    <x v="12"/>
    <x v="1"/>
    <s v="Payment"/>
    <n v="-20000"/>
  </r>
  <r>
    <x v="471"/>
    <d v="2018-12-26T00:00:00"/>
    <s v="Nawaz (Labour)"/>
    <x v="0"/>
    <x v="1"/>
    <s v="Payment"/>
    <n v="-1000"/>
  </r>
  <r>
    <x v="472"/>
    <d v="2018-12-26T00:00:00"/>
    <s v="Voucher Book"/>
    <x v="2"/>
    <x v="1"/>
    <s v="Payment"/>
    <n v="-40"/>
  </r>
  <r>
    <x v="473"/>
    <d v="2018-12-27T00:00:00"/>
    <s v="Tea for labour"/>
    <x v="2"/>
    <x v="1"/>
    <s v="Payment"/>
    <n v="-50"/>
  </r>
  <r>
    <x v="474"/>
    <d v="2018-12-29T00:00:00"/>
    <s v="Amount Received (Asif received from Ahmed)    Cash"/>
    <x v="8"/>
    <x v="1"/>
    <s v="Receipt"/>
    <n v="100000"/>
  </r>
  <r>
    <x v="475"/>
    <d v="2018-12-29T00:00:00"/>
    <s v="Shah Waris Khan (Shuttring)"/>
    <x v="4"/>
    <x v="1"/>
    <s v="Payment"/>
    <n v="-30000"/>
  </r>
  <r>
    <x v="476"/>
    <d v="2018-12-29T00:00:00"/>
    <s v="Gull Nawaz (Pouring)             4thFloor Column"/>
    <x v="6"/>
    <x v="1"/>
    <s v="Payment"/>
    <n v="-22000"/>
  </r>
  <r>
    <x v="477"/>
    <d v="2018-12-29T00:00:00"/>
    <s v="Vibrator Rent"/>
    <x v="2"/>
    <x v="1"/>
    <s v="Payment"/>
    <n v="-2000"/>
  </r>
  <r>
    <x v="478"/>
    <d v="2018-12-29T00:00:00"/>
    <s v="Petrol for Vibrator"/>
    <x v="2"/>
    <x v="1"/>
    <s v="Payment"/>
    <n v="-150"/>
  </r>
  <r>
    <x v="479"/>
    <d v="2018-12-29T00:00:00"/>
    <s v="Nawab Zada (Chunai Plaster)"/>
    <x v="12"/>
    <x v="1"/>
    <s v="Payment"/>
    <n v="-20000"/>
  </r>
  <r>
    <x v="480"/>
    <d v="2018-12-29T00:00:00"/>
    <s v="Masood (Labour)          "/>
    <x v="0"/>
    <x v="1"/>
    <s v="Payment"/>
    <n v="-1000"/>
  </r>
  <r>
    <x v="481"/>
    <d v="2018-12-29T00:00:00"/>
    <s v="Bashir Electric"/>
    <x v="10"/>
    <x v="1"/>
    <s v="Payment"/>
    <n v="-30000"/>
  </r>
  <r>
    <x v="482"/>
    <d v="2018-12-29T00:00:00"/>
    <s v="Nawaz (Labour)"/>
    <x v="0"/>
    <x v="1"/>
    <s v="Payment"/>
    <n v="-1000"/>
  </r>
  <r>
    <x v="483"/>
    <d v="2018-12-29T00:00:00"/>
    <s v="Muzamil (Labour)"/>
    <x v="0"/>
    <x v="1"/>
    <s v="Payment"/>
    <n v="-1000"/>
  </r>
  <r>
    <x v="484"/>
    <d v="2018-12-29T00:00:00"/>
    <s v="Tea for labour"/>
    <x v="2"/>
    <x v="1"/>
    <s v="Payment"/>
    <n v="-200"/>
  </r>
  <r>
    <x v="485"/>
    <d v="2018-12-29T00:00:00"/>
    <s v="Amir (Labour)"/>
    <x v="0"/>
    <x v="1"/>
    <s v="Payment"/>
    <n v="-1000"/>
  </r>
  <r>
    <x v="486"/>
    <d v="2018-12-30T00:00:00"/>
    <s v="Nawab Zada (Chunai Plaster)"/>
    <x v="12"/>
    <x v="1"/>
    <s v="Payment"/>
    <n v="-13000"/>
  </r>
  <r>
    <x v="487"/>
    <d v="2018-12-31T00:00:00"/>
    <s v="Tea for labour"/>
    <x v="2"/>
    <x v="1"/>
    <s v="Payment"/>
    <n v="-75"/>
  </r>
  <r>
    <x v="488"/>
    <d v="2019-01-01T00:00:00"/>
    <s v="Nawab Zada (Chunai Plaster)"/>
    <x v="12"/>
    <x v="1"/>
    <s v="Payment"/>
    <n v="-3000"/>
  </r>
  <r>
    <x v="489"/>
    <d v="2019-01-01T00:00:00"/>
    <s v="Tea for labour"/>
    <x v="2"/>
    <x v="1"/>
    <s v="Payment"/>
    <n v="-50"/>
  </r>
  <r>
    <x v="490"/>
    <d v="2019-01-02T00:00:00"/>
    <s v="Nawab Zada (Chunai Plaster)"/>
    <x v="12"/>
    <x v="1"/>
    <s v="Payment"/>
    <n v="-10000"/>
  </r>
  <r>
    <x v="491"/>
    <d v="2019-01-02T00:00:00"/>
    <s v="Haji Aziz (Shuttring)"/>
    <x v="4"/>
    <x v="1"/>
    <s v="Payment"/>
    <n v="-560"/>
  </r>
  <r>
    <x v="492"/>
    <d v="2019-01-03T00:00:00"/>
    <s v="Amount Received (Asif received from Ahmed)    Cash"/>
    <x v="8"/>
    <x v="1"/>
    <s v="Receipt"/>
    <n v="250000"/>
  </r>
  <r>
    <x v="493"/>
    <d v="2019-01-03T00:00:00"/>
    <s v="Nawab Zada (Chunai Plaster)"/>
    <x v="12"/>
    <x v="1"/>
    <s v="Payment"/>
    <n v="-100000"/>
  </r>
  <r>
    <x v="494"/>
    <d v="2019-01-03T00:00:00"/>
    <s v="Kashif (Steel)"/>
    <x v="7"/>
    <x v="1"/>
    <s v="Payment"/>
    <n v="-20000"/>
  </r>
  <r>
    <x v="495"/>
    <d v="2019-01-03T00:00:00"/>
    <s v="Shah Waris Khan (Shuttring)"/>
    <x v="4"/>
    <x v="1"/>
    <s v="Payment"/>
    <n v="-40000"/>
  </r>
  <r>
    <x v="496"/>
    <d v="2019-01-03T00:00:00"/>
    <s v="Nawaz (Labour)             Month Dec-18 Payment"/>
    <x v="0"/>
    <x v="1"/>
    <s v="Payment"/>
    <n v="-15800"/>
  </r>
  <r>
    <x v="497"/>
    <d v="2019-01-04T00:00:00"/>
    <s v="Bashir Electric"/>
    <x v="10"/>
    <x v="1"/>
    <s v="Payment"/>
    <n v="-30000"/>
  </r>
  <r>
    <x v="498"/>
    <d v="2019-01-04T00:00:00"/>
    <s v="Nawab Zada (Masson+Labour Dec-18 Pymt)"/>
    <x v="0"/>
    <x v="1"/>
    <s v="Payment"/>
    <n v="-22650"/>
  </r>
  <r>
    <x v="499"/>
    <d v="2019-01-04T00:00:00"/>
    <s v="Khalil (Plumber)"/>
    <x v="15"/>
    <x v="1"/>
    <s v="Payment"/>
    <n v="-20000"/>
  </r>
  <r>
    <x v="500"/>
    <d v="2019-01-04T00:00:00"/>
    <s v="Tea for labour"/>
    <x v="2"/>
    <x v="1"/>
    <s v="Payment"/>
    <n v="-50"/>
  </r>
  <r>
    <x v="501"/>
    <d v="2019-01-04T00:00:00"/>
    <s v="Masood (Labour)            Month Dec-18 Pymt"/>
    <x v="0"/>
    <x v="1"/>
    <s v="Payment"/>
    <n v="-9600"/>
  </r>
  <r>
    <x v="502"/>
    <d v="2019-01-05T00:00:00"/>
    <s v="Amount Received (Asif received from Ahmed)    Cash"/>
    <x v="8"/>
    <x v="1"/>
    <s v="Receipt"/>
    <n v="200000"/>
  </r>
  <r>
    <x v="503"/>
    <d v="2019-01-05T00:00:00"/>
    <s v="Liaqat (Contractor)"/>
    <x v="9"/>
    <x v="1"/>
    <s v="Payment"/>
    <n v="-100000"/>
  </r>
  <r>
    <x v="504"/>
    <d v="2019-01-05T00:00:00"/>
    <s v="Tea for labour"/>
    <x v="2"/>
    <x v="1"/>
    <s v="Payment"/>
    <n v="-50"/>
  </r>
  <r>
    <x v="505"/>
    <d v="2019-01-06T00:00:00"/>
    <s v="Haji Aziz (Shuttring)"/>
    <x v="4"/>
    <x v="1"/>
    <s v="Payment"/>
    <n v="-6615"/>
  </r>
  <r>
    <x v="506"/>
    <d v="2019-01-07T00:00:00"/>
    <s v="Masood (Labour)          "/>
    <x v="0"/>
    <x v="1"/>
    <s v="Payment"/>
    <n v="-400"/>
  </r>
  <r>
    <x v="507"/>
    <d v="2019-01-07T00:00:00"/>
    <s v="Tea for labour"/>
    <x v="2"/>
    <x v="1"/>
    <s v="Payment"/>
    <n v="-100"/>
  </r>
  <r>
    <x v="508"/>
    <d v="2019-01-07T00:00:00"/>
    <s v="Asif Bhai                      Month Dec-18 Payment"/>
    <x v="1"/>
    <x v="1"/>
    <s v="Payment"/>
    <n v="-60000"/>
  </r>
  <r>
    <x v="509"/>
    <d v="2019-01-07T00:00:00"/>
    <s v="Bashir Electric"/>
    <x v="10"/>
    <x v="1"/>
    <s v="Payment"/>
    <n v="-2000"/>
  </r>
  <r>
    <x v="510"/>
    <d v="2019-01-08T00:00:00"/>
    <s v="Amount Received (Asif received from Ahmed)"/>
    <x v="8"/>
    <x v="1"/>
    <s v="Receipt"/>
    <n v="100000"/>
  </r>
  <r>
    <x v="511"/>
    <d v="2019-01-08T00:00:00"/>
    <s v="Nawab Zada (Chunai Plaster)"/>
    <x v="12"/>
    <x v="1"/>
    <s v="Payment"/>
    <n v="-30000"/>
  </r>
  <r>
    <x v="512"/>
    <d v="2019-01-09T00:00:00"/>
    <s v="Amount Received (Asif received from Ahmed)    Cash"/>
    <x v="8"/>
    <x v="1"/>
    <s v="Receipt"/>
    <n v="130000"/>
  </r>
  <r>
    <x v="513"/>
    <d v="2019-01-09T00:00:00"/>
    <s v="Amount Received (Asif received from Ahmed)    Cash"/>
    <x v="8"/>
    <x v="1"/>
    <s v="Receipt"/>
    <n v="70000"/>
  </r>
  <r>
    <x v="514"/>
    <d v="2019-01-09T00:00:00"/>
    <s v="Nawaz (Labour)"/>
    <x v="0"/>
    <x v="1"/>
    <s v="Payment"/>
    <n v="-2000"/>
  </r>
  <r>
    <x v="515"/>
    <d v="2019-01-09T00:00:00"/>
    <s v="Amman-Ullah (Labour)      Month Dec-18 Pymt"/>
    <x v="0"/>
    <x v="1"/>
    <s v="Payment"/>
    <n v="-1600"/>
  </r>
  <r>
    <x v="516"/>
    <d v="2019-01-09T00:00:00"/>
    <s v="Amir (Labour)                    Month Dec-18 Pymt"/>
    <x v="0"/>
    <x v="1"/>
    <s v="Payment"/>
    <n v="-2950"/>
  </r>
  <r>
    <x v="517"/>
    <d v="2019-01-09T00:00:00"/>
    <s v="Muzamil (Labour)              Month Dec-18 Pymt"/>
    <x v="0"/>
    <x v="1"/>
    <s v="Payment"/>
    <n v="-1250"/>
  </r>
  <r>
    <x v="518"/>
    <d v="2019-01-09T00:00:00"/>
    <s v="Shah Waris Khan (Shuttring)"/>
    <x v="4"/>
    <x v="1"/>
    <s v="Payment"/>
    <n v="-20000"/>
  </r>
  <r>
    <x v="519"/>
    <d v="2019-01-09T00:00:00"/>
    <s v="Nawab Zada (Chunai Plaster)"/>
    <x v="12"/>
    <x v="1"/>
    <s v="Payment"/>
    <n v="-100000"/>
  </r>
  <r>
    <x v="520"/>
    <d v="2019-01-09T00:00:00"/>
    <s v="Liaqat (Contractor)"/>
    <x v="9"/>
    <x v="1"/>
    <s v="Payment"/>
    <n v="-50000"/>
  </r>
  <r>
    <x v="521"/>
    <d v="2019-01-09T00:00:00"/>
    <s v="Nawab Zada (Chunai Plaster)"/>
    <x v="12"/>
    <x v="1"/>
    <s v="Payment"/>
    <n v="-25000"/>
  </r>
  <r>
    <x v="522"/>
    <d v="2019-01-10T00:00:00"/>
    <s v="Haji Aziz (Shuttring)"/>
    <x v="4"/>
    <x v="1"/>
    <s v="Payment"/>
    <n v="-3150"/>
  </r>
  <r>
    <x v="523"/>
    <d v="2019-01-12T00:00:00"/>
    <s v="Trolley Puncture/Tyre"/>
    <x v="2"/>
    <x v="1"/>
    <s v="Payment"/>
    <n v="-580"/>
  </r>
  <r>
    <x v="524"/>
    <d v="2019-01-12T00:00:00"/>
    <s v="Tea for labour"/>
    <x v="2"/>
    <x v="1"/>
    <s v="Payment"/>
    <n v="-50"/>
  </r>
  <r>
    <x v="525"/>
    <d v="2019-01-12T00:00:00"/>
    <s v="Haji Aziz (Shuttring)"/>
    <x v="4"/>
    <x v="1"/>
    <s v="Payment"/>
    <n v="-6540"/>
  </r>
  <r>
    <x v="526"/>
    <d v="2019-01-12T00:00:00"/>
    <s v="Jaali"/>
    <x v="2"/>
    <x v="1"/>
    <s v="Payment"/>
    <n v="-700"/>
  </r>
  <r>
    <x v="527"/>
    <d v="2019-01-12T00:00:00"/>
    <s v="Suzuki Rent       (Material Shift KIA to /Maymar)"/>
    <x v="2"/>
    <x v="1"/>
    <s v="Payment"/>
    <n v="-2600"/>
  </r>
  <r>
    <x v="528"/>
    <d v="2019-01-14T00:00:00"/>
    <s v="Nawab Zada (Chunai Plaster)"/>
    <x v="12"/>
    <x v="1"/>
    <s v="Payment"/>
    <n v="-10000"/>
  </r>
  <r>
    <x v="529"/>
    <d v="2019-01-14T00:00:00"/>
    <s v="Tea for labour"/>
    <x v="2"/>
    <x v="1"/>
    <s v="Payment"/>
    <n v="-100"/>
  </r>
  <r>
    <x v="530"/>
    <d v="2019-01-14T00:00:00"/>
    <s v="Trolley Puncture/Tyre"/>
    <x v="2"/>
    <x v="1"/>
    <s v="Payment"/>
    <n v="-300"/>
  </r>
  <r>
    <x v="531"/>
    <d v="2019-01-14T00:00:00"/>
    <s v="Masood (Labour)          "/>
    <x v="0"/>
    <x v="1"/>
    <s v="Payment"/>
    <n v="-1000"/>
  </r>
  <r>
    <x v="532"/>
    <d v="2019-01-14T00:00:00"/>
    <s v="Nawaz (Labour)"/>
    <x v="0"/>
    <x v="1"/>
    <s v="Payment"/>
    <n v="-1000"/>
  </r>
  <r>
    <x v="533"/>
    <d v="2019-01-14T00:00:00"/>
    <s v="Tea for labour"/>
    <x v="2"/>
    <x v="1"/>
    <s v="Payment"/>
    <n v="-100"/>
  </r>
  <r>
    <x v="534"/>
    <d v="2019-01-14T00:00:00"/>
    <s v="Jhaaro"/>
    <x v="2"/>
    <x v="1"/>
    <s v="Payment"/>
    <n v="-70"/>
  </r>
  <r>
    <x v="535"/>
    <d v="2019-01-14T00:00:00"/>
    <s v="Block Trolley Puncture/Tyre"/>
    <x v="2"/>
    <x v="1"/>
    <s v="Payment"/>
    <n v="-40"/>
  </r>
  <r>
    <x v="536"/>
    <d v="2019-01-15T00:00:00"/>
    <s v="Amount Received(S.Ibtehaj received from Ahmed,Chq# Mezan-... )"/>
    <x v="8"/>
    <x v="1"/>
    <s v="Receipt"/>
    <n v="300000"/>
  </r>
  <r>
    <x v="537"/>
    <d v="2019-01-15T00:00:00"/>
    <s v="Shah Waris Khan (Shuttring)"/>
    <x v="4"/>
    <x v="1"/>
    <s v="Payment"/>
    <n v="-10000"/>
  </r>
  <r>
    <x v="538"/>
    <d v="2019-01-15T00:00:00"/>
    <s v="Tea for labour"/>
    <x v="2"/>
    <x v="1"/>
    <s v="Payment"/>
    <n v="-75"/>
  </r>
  <r>
    <x v="539"/>
    <d v="2019-01-16T00:00:00"/>
    <s v="Kashif (Steel)"/>
    <x v="7"/>
    <x v="1"/>
    <s v="Payment"/>
    <n v="-20000"/>
  </r>
  <r>
    <x v="540"/>
    <d v="2019-01-16T00:00:00"/>
    <s v="Nawab Zada (Chunai Plaster)"/>
    <x v="12"/>
    <x v="1"/>
    <s v="Payment"/>
    <n v="-22000"/>
  </r>
  <r>
    <x v="541"/>
    <d v="2019-01-16T00:00:00"/>
    <s v="Masood (Labour)          "/>
    <x v="0"/>
    <x v="1"/>
    <s v="Payment"/>
    <n v="-1000"/>
  </r>
  <r>
    <x v="542"/>
    <d v="2019-01-16T00:00:00"/>
    <s v="Tea for labour"/>
    <x v="2"/>
    <x v="1"/>
    <s v="Payment"/>
    <n v="-100"/>
  </r>
  <r>
    <x v="543"/>
    <d v="2019-01-18T00:00:00"/>
    <s v="Haji Aziz (Shuttring)"/>
    <x v="4"/>
    <x v="1"/>
    <s v="Payment"/>
    <n v="-3150"/>
  </r>
  <r>
    <x v="544"/>
    <d v="2019-01-18T00:00:00"/>
    <s v="Nawab Zada (Chunai Plaster)"/>
    <x v="12"/>
    <x v="1"/>
    <s v="Payment"/>
    <n v="-2000"/>
  </r>
  <r>
    <x v="545"/>
    <d v="2019-01-19T00:00:00"/>
    <s v="Nawab Zada (Chunai Plaster)"/>
    <x v="12"/>
    <x v="1"/>
    <s v="Payment"/>
    <n v="-50000"/>
  </r>
  <r>
    <x v="546"/>
    <d v="2019-01-19T00:00:00"/>
    <s v="Kashif (Steel)"/>
    <x v="7"/>
    <x v="1"/>
    <s v="Payment"/>
    <n v="-30000"/>
  </r>
  <r>
    <x v="547"/>
    <d v="2019-01-19T00:00:00"/>
    <s v="Shah Waris Khan (Shuttring)"/>
    <x v="4"/>
    <x v="1"/>
    <s v="Payment"/>
    <n v="-20000"/>
  </r>
  <r>
    <x v="548"/>
    <d v="2019-01-19T00:00:00"/>
    <s v="Tea for labour"/>
    <x v="2"/>
    <x v="1"/>
    <s v="Payment"/>
    <n v="-50"/>
  </r>
  <r>
    <x v="549"/>
    <d v="2019-01-20T00:00:00"/>
    <s v="6 Nos. Steel leader for plaster"/>
    <x v="2"/>
    <x v="1"/>
    <s v="Payment"/>
    <n v="-3000"/>
  </r>
  <r>
    <x v="550"/>
    <d v="2019-01-22T00:00:00"/>
    <s v="Nawaz (Labour)"/>
    <x v="0"/>
    <x v="1"/>
    <s v="Payment"/>
    <n v="-3000"/>
  </r>
  <r>
    <x v="551"/>
    <d v="2019-01-23T00:00:00"/>
    <s v="Nawab Zada (Chunai Plaster)"/>
    <x v="12"/>
    <x v="1"/>
    <s v="Payment"/>
    <n v="-30000"/>
  </r>
  <r>
    <x v="552"/>
    <d v="2019-01-24T00:00:00"/>
    <s v="Amount Received (Asif received from Ahmed)    Cash"/>
    <x v="8"/>
    <x v="1"/>
    <s v="Receipt"/>
    <n v="80000"/>
  </r>
  <r>
    <x v="553"/>
    <d v="2019-01-24T00:00:00"/>
    <s v="Nawab Zada (Chunai Plaster)"/>
    <x v="12"/>
    <x v="1"/>
    <s v="Payment"/>
    <n v="-30000"/>
  </r>
  <r>
    <x v="554"/>
    <d v="2019-01-24T00:00:00"/>
    <s v="Kashif (Steel)"/>
    <x v="7"/>
    <x v="1"/>
    <s v="Payment"/>
    <n v="-10000"/>
  </r>
  <r>
    <x v="555"/>
    <d v="2019-01-24T00:00:00"/>
    <s v="Haji Aziz (Shuttring)"/>
    <x v="4"/>
    <x v="1"/>
    <s v="Payment"/>
    <n v="-525"/>
  </r>
  <r>
    <x v="556"/>
    <d v="2019-01-26T00:00:00"/>
    <s v="Bashir Electric"/>
    <x v="10"/>
    <x v="1"/>
    <s v="Payment"/>
    <n v="-15000"/>
  </r>
  <r>
    <x v="557"/>
    <d v="2019-01-26T00:00:00"/>
    <s v="Tea for labour"/>
    <x v="2"/>
    <x v="1"/>
    <s v="Payment"/>
    <n v="-150"/>
  </r>
  <r>
    <x v="558"/>
    <d v="2019-01-27T00:00:00"/>
    <s v="Amount Received (S.Ibtehaj received from Ahmed)    Cash"/>
    <x v="8"/>
    <x v="1"/>
    <s v="Receipt"/>
    <n v="250000"/>
  </r>
  <r>
    <x v="559"/>
    <d v="2019-01-27T00:00:00"/>
    <s v="Gull Nawaz (Pouring)             4thFloor Slab"/>
    <x v="6"/>
    <x v="1"/>
    <s v="Payment"/>
    <n v="-66000"/>
  </r>
  <r>
    <x v="560"/>
    <d v="2019-01-27T00:00:00"/>
    <s v="Liaqat (Contractor)"/>
    <x v="9"/>
    <x v="1"/>
    <s v="Payment"/>
    <n v="-75000"/>
  </r>
  <r>
    <x v="561"/>
    <d v="2019-01-27T00:00:00"/>
    <s v="Shah Waris Khan (Shuttring)"/>
    <x v="4"/>
    <x v="1"/>
    <s v="Payment"/>
    <n v="-50000"/>
  </r>
  <r>
    <x v="562"/>
    <d v="2019-01-27T00:00:00"/>
    <s v="Nawab Zada (Chunai Plaster)"/>
    <x v="12"/>
    <x v="1"/>
    <s v="Payment"/>
    <n v="-20000"/>
  </r>
  <r>
    <x v="563"/>
    <d v="2019-01-27T00:00:00"/>
    <s v="Bashir Electric"/>
    <x v="10"/>
    <x v="1"/>
    <s v="Payment"/>
    <n v="-20000"/>
  </r>
  <r>
    <x v="564"/>
    <d v="2019-01-27T00:00:00"/>
    <s v="Nawaz (Labour)"/>
    <x v="0"/>
    <x v="1"/>
    <s v="Payment"/>
    <n v="-2000"/>
  </r>
  <r>
    <x v="565"/>
    <d v="2019-01-27T00:00:00"/>
    <s v="Haji Nazaqat (labour)"/>
    <x v="0"/>
    <x v="1"/>
    <s v="Payment"/>
    <n v="-1500"/>
  </r>
  <r>
    <x v="566"/>
    <d v="2019-01-27T00:00:00"/>
    <s v="Tea for labour"/>
    <x v="2"/>
    <x v="1"/>
    <s v="Payment"/>
    <n v="-200"/>
  </r>
  <r>
    <x v="567"/>
    <d v="2019-01-27T00:00:00"/>
    <s v="Petrol for Vibrator"/>
    <x v="2"/>
    <x v="1"/>
    <s v="Payment"/>
    <n v="-150"/>
  </r>
  <r>
    <x v="568"/>
    <d v="2019-01-28T00:00:00"/>
    <s v="Layout Material"/>
    <x v="2"/>
    <x v="1"/>
    <s v="Payment"/>
    <n v="-200"/>
  </r>
  <r>
    <x v="569"/>
    <d v="2019-01-28T00:00:00"/>
    <s v="Tea for labour"/>
    <x v="2"/>
    <x v="1"/>
    <s v="Payment"/>
    <n v="-50"/>
  </r>
  <r>
    <x v="570"/>
    <d v="2019-01-29T00:00:00"/>
    <s v="Adday ki Labour"/>
    <x v="0"/>
    <x v="1"/>
    <s v="Payment"/>
    <n v="-2500"/>
  </r>
  <r>
    <x v="571"/>
    <d v="2019-01-29T00:00:00"/>
    <s v="Kashif (Steel)"/>
    <x v="7"/>
    <x v="1"/>
    <s v="Payment"/>
    <n v="-3000"/>
  </r>
  <r>
    <x v="572"/>
    <d v="2019-01-29T00:00:00"/>
    <s v="Khalil (Plumber)"/>
    <x v="15"/>
    <x v="1"/>
    <s v="Payment"/>
    <n v="-5000"/>
  </r>
  <r>
    <x v="573"/>
    <d v="2019-01-31T00:00:00"/>
    <s v="Masood (Labour)            Month Jan-19 Pymt"/>
    <x v="0"/>
    <x v="1"/>
    <s v="Payment"/>
    <n v="-9500"/>
  </r>
  <r>
    <x v="574"/>
    <d v="2019-01-31T00:00:00"/>
    <s v="Haji Aziz (Shuttring)"/>
    <x v="4"/>
    <x v="1"/>
    <s v="Payment"/>
    <n v="-2530"/>
  </r>
  <r>
    <x v="575"/>
    <d v="2019-01-31T00:00:00"/>
    <s v="Nawaz (Labour)"/>
    <x v="0"/>
    <x v="1"/>
    <s v="Payment"/>
    <n v="-5000"/>
  </r>
  <r>
    <x v="576"/>
    <d v="2019-01-31T00:00:00"/>
    <s v="Kashif (Steel)"/>
    <x v="7"/>
    <x v="1"/>
    <s v="Payment"/>
    <n v="-10000"/>
  </r>
  <r>
    <x v="577"/>
    <d v="2019-01-31T00:00:00"/>
    <s v="Nawab Zada (Chunai Plaster)"/>
    <x v="12"/>
    <x v="1"/>
    <s v="Payment"/>
    <n v="-20000"/>
  </r>
  <r>
    <x v="578"/>
    <d v="2019-01-31T00:00:00"/>
    <s v="Haji Nazaqat (labour)"/>
    <x v="0"/>
    <x v="1"/>
    <s v="Payment"/>
    <n v="-300"/>
  </r>
  <r>
    <x v="579"/>
    <d v="2019-02-02T00:00:00"/>
    <s v="Amount Received (Asif received from Ahmed) Chq#CA-43876"/>
    <x v="8"/>
    <x v="1"/>
    <s v="Receipt"/>
    <n v="200000"/>
  </r>
  <r>
    <x v="580"/>
    <d v="2019-02-02T00:00:00"/>
    <s v="Amount Received (Arif Sb received from Ahmed) Cash"/>
    <x v="8"/>
    <x v="1"/>
    <s v="Receipt"/>
    <n v="50000"/>
  </r>
  <r>
    <x v="581"/>
    <d v="2019-02-02T00:00:00"/>
    <s v="Kashif (Steel)"/>
    <x v="7"/>
    <x v="1"/>
    <s v="Payment"/>
    <n v="-10000"/>
  </r>
  <r>
    <x v="582"/>
    <d v="2019-02-02T00:00:00"/>
    <s v="Shah Waris Khan (Shuttring)"/>
    <x v="4"/>
    <x v="1"/>
    <s v="Payment"/>
    <n v="-40000"/>
  </r>
  <r>
    <x v="583"/>
    <d v="2019-02-03T00:00:00"/>
    <s v="Haji Aziz (Shuttring)"/>
    <x v="4"/>
    <x v="1"/>
    <s v="Payment"/>
    <n v="-1050"/>
  </r>
  <r>
    <x v="584"/>
    <d v="2019-02-05T00:00:00"/>
    <s v="Nawab Zada (Chunai Plaster)"/>
    <x v="12"/>
    <x v="1"/>
    <s v="Payment"/>
    <n v="-28000"/>
  </r>
  <r>
    <x v="585"/>
    <d v="2019-02-05T00:00:00"/>
    <s v="Nawaz (Labour)"/>
    <x v="0"/>
    <x v="1"/>
    <s v="Payment"/>
    <n v="-2000"/>
  </r>
  <r>
    <x v="586"/>
    <d v="2019-02-06T00:00:00"/>
    <s v="Bashir Electric"/>
    <x v="10"/>
    <x v="1"/>
    <s v="Payment"/>
    <n v="-15000"/>
  </r>
  <r>
    <x v="587"/>
    <d v="2019-02-06T00:00:00"/>
    <s v="Shah Waris Khan (Shuttring)"/>
    <x v="4"/>
    <x v="1"/>
    <s v="Payment"/>
    <n v="-50000"/>
  </r>
  <r>
    <x v="588"/>
    <d v="2019-02-06T00:00:00"/>
    <s v="Gull Nawaz (Pouring)             5thFloor col"/>
    <x v="6"/>
    <x v="1"/>
    <s v="Payment"/>
    <n v="-22000"/>
  </r>
  <r>
    <x v="589"/>
    <d v="2019-02-06T00:00:00"/>
    <s v="Amount Received (Asif received from Ahmed) Cash"/>
    <x v="8"/>
    <x v="1"/>
    <s v="Receipt"/>
    <n v="100000"/>
  </r>
  <r>
    <x v="590"/>
    <d v="2019-02-06T00:00:00"/>
    <s v="Rehmat (Labour)     "/>
    <x v="0"/>
    <x v="1"/>
    <s v="Payment"/>
    <n v="-850"/>
  </r>
  <r>
    <x v="591"/>
    <d v="2019-02-06T00:00:00"/>
    <s v="Amman-Ullah (Labour)     "/>
    <x v="0"/>
    <x v="1"/>
    <s v="Payment"/>
    <n v="-850"/>
  </r>
  <r>
    <x v="592"/>
    <d v="2019-02-06T00:00:00"/>
    <s v="Muzamil (Labour)              "/>
    <x v="0"/>
    <x v="1"/>
    <s v="Payment"/>
    <n v="-850"/>
  </r>
  <r>
    <x v="593"/>
    <d v="2019-02-06T00:00:00"/>
    <s v="Jawaid (Labour)"/>
    <x v="0"/>
    <x v="1"/>
    <s v="Payment"/>
    <n v="-500"/>
  </r>
  <r>
    <x v="594"/>
    <d v="2019-02-06T00:00:00"/>
    <s v="Nawab Zada (Chunai Plaster)"/>
    <x v="12"/>
    <x v="1"/>
    <s v="Payment"/>
    <n v="-20000"/>
  </r>
  <r>
    <x v="595"/>
    <d v="2019-02-07T00:00:00"/>
    <s v="Nawab Labour"/>
    <x v="0"/>
    <x v="1"/>
    <s v="Payment"/>
    <n v="-4600"/>
  </r>
  <r>
    <x v="596"/>
    <d v="2019-02-07T00:00:00"/>
    <s v="Gull Nawaz labour"/>
    <x v="0"/>
    <x v="1"/>
    <s v="Payment"/>
    <n v="-800"/>
  </r>
  <r>
    <x v="597"/>
    <d v="2019-02-07T00:00:00"/>
    <s v="Pipe Level"/>
    <x v="2"/>
    <x v="1"/>
    <s v="Payment"/>
    <n v="-250"/>
  </r>
  <r>
    <x v="598"/>
    <d v="2019-02-07T00:00:00"/>
    <s v="Tea for labour"/>
    <x v="2"/>
    <x v="1"/>
    <s v="Payment"/>
    <n v="-100"/>
  </r>
  <r>
    <x v="599"/>
    <d v="2019-02-07T00:00:00"/>
    <s v="9084555 Liaqat A"/>
    <x v="9"/>
    <x v="1"/>
    <s v="Payment"/>
    <n v="-200000"/>
  </r>
  <r>
    <x v="600"/>
    <d v="2019-02-07T00:00:00"/>
    <s v="Amount Received(S.Ibtehaj received from Ahmed,Chq# HMP51)"/>
    <x v="8"/>
    <x v="1"/>
    <s v="Receipt"/>
    <n v="200000"/>
  </r>
  <r>
    <x v="601"/>
    <d v="2019-02-07T00:00:00"/>
    <s v="Amount Received(S.Ibtehaj received from Ahmed,Chq# HMP52)"/>
    <x v="8"/>
    <x v="1"/>
    <s v="Receipt"/>
    <n v="300000"/>
  </r>
  <r>
    <x v="602"/>
    <d v="2019-02-08T00:00:00"/>
    <s v="Kashif (Steel)"/>
    <x v="7"/>
    <x v="1"/>
    <s v="Payment"/>
    <n v="-50000"/>
  </r>
  <r>
    <x v="603"/>
    <d v="2019-02-08T00:00:00"/>
    <s v="Nawaz (Labour)             Month Jan-19 Payment"/>
    <x v="0"/>
    <x v="1"/>
    <s v="Payment"/>
    <n v="-13350"/>
  </r>
  <r>
    <x v="604"/>
    <d v="2019-02-08T00:00:00"/>
    <s v="Asif Bhai                      Month Jan-19 Payment"/>
    <x v="1"/>
    <x v="1"/>
    <s v="Payment"/>
    <n v="-60000"/>
  </r>
  <r>
    <x v="605"/>
    <d v="2019-02-08T00:00:00"/>
    <s v="Nawaz (Labour)   "/>
    <x v="0"/>
    <x v="1"/>
    <s v="Payment"/>
    <n v="-2000"/>
  </r>
  <r>
    <x v="606"/>
    <d v="2019-02-10T00:00:00"/>
    <s v="Haji Aziz (Shuttring)"/>
    <x v="4"/>
    <x v="1"/>
    <s v="Payment"/>
    <n v="-510"/>
  </r>
  <r>
    <x v="607"/>
    <d v="2019-02-10T00:00:00"/>
    <s v="Nawab Zada (Chunai Plaster)"/>
    <x v="12"/>
    <x v="1"/>
    <s v="Payment"/>
    <n v="-40000"/>
  </r>
  <r>
    <x v="608"/>
    <d v="2019-02-12T00:00:00"/>
    <s v="Haji Aziz (Shuttring)"/>
    <x v="4"/>
    <x v="1"/>
    <s v="Payment"/>
    <n v="-2750"/>
  </r>
  <r>
    <x v="609"/>
    <d v="2019-02-12T00:00:00"/>
    <s v="Nawab Zada (Chunai Plaster)"/>
    <x v="12"/>
    <x v="1"/>
    <s v="Payment"/>
    <n v="-50000"/>
  </r>
  <r>
    <x v="610"/>
    <d v="2019-02-12T00:00:00"/>
    <s v="Haqq Nawaz (Labour)   "/>
    <x v="0"/>
    <x v="1"/>
    <s v="Payment"/>
    <n v="-1000"/>
  </r>
  <r>
    <x v="611"/>
    <d v="2019-02-14T00:00:00"/>
    <s v="Shah Waris Khan (Shuttring)"/>
    <x v="4"/>
    <x v="1"/>
    <s v="Payment"/>
    <n v="-15000"/>
  </r>
  <r>
    <x v="612"/>
    <d v="2019-02-14T00:00:00"/>
    <s v="Waterproofing Chemical"/>
    <x v="13"/>
    <x v="1"/>
    <s v="Payment"/>
    <n v="-12600"/>
  </r>
  <r>
    <x v="613"/>
    <d v="2019-02-15T00:00:00"/>
    <s v="Nawab Zada (Chunai Plaster)"/>
    <x v="12"/>
    <x v="1"/>
    <s v="Payment"/>
    <n v="-25000"/>
  </r>
  <r>
    <x v="614"/>
    <d v="2019-02-15T00:00:00"/>
    <s v="Haqq Nawaz (Labour)   "/>
    <x v="0"/>
    <x v="1"/>
    <s v="Payment"/>
    <n v="-3000"/>
  </r>
  <r>
    <x v="615"/>
    <d v="2019-02-16T00:00:00"/>
    <s v="Nawab Zada (Chunai Plaster)"/>
    <x v="12"/>
    <x v="1"/>
    <s v="Payment"/>
    <n v="-20000"/>
  </r>
  <r>
    <x v="616"/>
    <d v="2019-02-16T00:00:00"/>
    <s v="Haji Aziz (Shuttring)"/>
    <x v="4"/>
    <x v="1"/>
    <s v="Payment"/>
    <n v="-3300"/>
  </r>
  <r>
    <x v="617"/>
    <d v="2019-02-16T00:00:00"/>
    <s v="Tea for labour"/>
    <x v="2"/>
    <x v="1"/>
    <s v="Payment"/>
    <n v="-50"/>
  </r>
  <r>
    <x v="618"/>
    <d v="2019-02-18T00:00:00"/>
    <s v="Haji Aziz (Shuttring)"/>
    <x v="4"/>
    <x v="1"/>
    <s v="Payment"/>
    <n v="-425"/>
  </r>
  <r>
    <x v="619"/>
    <d v="2019-02-18T00:00:00"/>
    <s v="Waterproofing Chemical"/>
    <x v="13"/>
    <x v="1"/>
    <s v="Payment"/>
    <n v="-12600"/>
  </r>
  <r>
    <x v="620"/>
    <d v="2019-02-18T00:00:00"/>
    <s v="Tea for labour"/>
    <x v="2"/>
    <x v="1"/>
    <s v="Payment"/>
    <n v="-50"/>
  </r>
  <r>
    <x v="621"/>
    <d v="2019-02-18T00:00:00"/>
    <s v="Shah Waris Khan (Shuttring)"/>
    <x v="4"/>
    <x v="1"/>
    <s v="Payment"/>
    <n v="-10000"/>
  </r>
  <r>
    <x v="622"/>
    <d v="2019-02-19T00:00:00"/>
    <s v="Amount Received (Arif Sb received from Ahmed Bhai) Cash"/>
    <x v="8"/>
    <x v="1"/>
    <s v="Receipt"/>
    <n v="200000"/>
  </r>
  <r>
    <x v="623"/>
    <d v="2019-02-19T00:00:00"/>
    <s v="Nawab Zada (Chunai Plaster)"/>
    <x v="12"/>
    <x v="1"/>
    <s v="Payment"/>
    <n v="-75000"/>
  </r>
  <r>
    <x v="624"/>
    <d v="2019-02-19T00:00:00"/>
    <s v="Shah Waris Khan (Shuttring)"/>
    <x v="4"/>
    <x v="1"/>
    <s v="Payment"/>
    <n v="-25000"/>
  </r>
  <r>
    <x v="625"/>
    <d v="2019-02-19T00:00:00"/>
    <s v="Tea for labour"/>
    <x v="2"/>
    <x v="1"/>
    <s v="Payment"/>
    <n v="-50"/>
  </r>
  <r>
    <x v="626"/>
    <d v="2019-02-20T00:00:00"/>
    <s v="Haji Aziz (Shuttring)"/>
    <x v="4"/>
    <x v="1"/>
    <s v="Payment"/>
    <n v="-3750"/>
  </r>
  <r>
    <x v="627"/>
    <d v="2019-02-20T00:00:00"/>
    <s v="Voucher Book"/>
    <x v="2"/>
    <x v="1"/>
    <s v="Payment"/>
    <n v="-100"/>
  </r>
  <r>
    <x v="628"/>
    <d v="2019-02-20T00:00:00"/>
    <s v="Kashif (Steel)"/>
    <x v="7"/>
    <x v="1"/>
    <s v="Payment"/>
    <n v="-10000"/>
  </r>
  <r>
    <x v="629"/>
    <d v="2019-02-21T00:00:00"/>
    <s v="Amount Received (Ibtehaj received from Ahmed) Chq#33481284"/>
    <x v="8"/>
    <x v="1"/>
    <s v="Receipt"/>
    <n v="500000"/>
  </r>
  <r>
    <x v="630"/>
    <d v="2019-02-21T00:00:00"/>
    <s v="Amount Received (Ibtehaj received from Ahmed) Chq#33481286"/>
    <x v="8"/>
    <x v="1"/>
    <s v="Receipt"/>
    <n v="500000"/>
  </r>
  <r>
    <x v="631"/>
    <d v="2019-02-23T00:00:00"/>
    <s v="Haji Aziz (Shuttring)"/>
    <x v="4"/>
    <x v="1"/>
    <s v="Payment"/>
    <n v="-3520"/>
  </r>
  <r>
    <x v="632"/>
    <d v="2019-02-23T00:00:00"/>
    <s v="Tea for labour"/>
    <x v="2"/>
    <x v="1"/>
    <s v="Payment"/>
    <n v="-100"/>
  </r>
  <r>
    <x v="633"/>
    <d v="2019-02-23T00:00:00"/>
    <s v="Haqq Nawaz (Labour)   "/>
    <x v="0"/>
    <x v="1"/>
    <s v="Payment"/>
    <n v="-3000"/>
  </r>
  <r>
    <x v="634"/>
    <d v="2019-02-23T00:00:00"/>
    <s v="Nawab Zada (Chunai Plaster)"/>
    <x v="12"/>
    <x v="1"/>
    <s v="Payment"/>
    <n v="-10000"/>
  </r>
  <r>
    <x v="635"/>
    <d v="2019-02-25T00:00:00"/>
    <s v="Nawab Zada (Chunai Plaster)"/>
    <x v="12"/>
    <x v="1"/>
    <s v="Payment"/>
    <n v="-25000"/>
  </r>
  <r>
    <x v="636"/>
    <d v="2019-02-26T00:00:00"/>
    <s v="Shah Waris Khan (Shuttring)"/>
    <x v="4"/>
    <x v="1"/>
    <s v="Payment"/>
    <n v="-20000"/>
  </r>
  <r>
    <x v="637"/>
    <d v="2019-02-26T00:00:00"/>
    <s v="Nawab Zada (Chunai Plaster)"/>
    <x v="12"/>
    <x v="1"/>
    <s v="Payment"/>
    <n v="-35000"/>
  </r>
  <r>
    <x v="638"/>
    <d v="2019-02-26T00:00:00"/>
    <s v="Haqq Nawaz (Labour)   "/>
    <x v="0"/>
    <x v="1"/>
    <s v="Payment"/>
    <n v="-1000"/>
  </r>
  <r>
    <x v="639"/>
    <d v="2019-02-27T00:00:00"/>
    <s v="Kashif (Steel)"/>
    <x v="7"/>
    <x v="1"/>
    <s v="Payment"/>
    <n v="-20000"/>
  </r>
  <r>
    <x v="640"/>
    <d v="2019-02-27T00:00:00"/>
    <s v="Jhaaro"/>
    <x v="2"/>
    <x v="1"/>
    <s v="Payment"/>
    <n v="-100"/>
  </r>
  <r>
    <x v="641"/>
    <d v="2019-02-27T00:00:00"/>
    <s v="Tea for labour"/>
    <x v="2"/>
    <x v="1"/>
    <s v="Payment"/>
    <n v="-50"/>
  </r>
  <r>
    <x v="642"/>
    <d v="2019-02-27T00:00:00"/>
    <s v="Khalil (Plumber)"/>
    <x v="15"/>
    <x v="1"/>
    <s v="Payment"/>
    <n v="-5000"/>
  </r>
  <r>
    <x v="643"/>
    <d v="2019-03-04T00:00:00"/>
    <s v="Kashif (Steel)"/>
    <x v="7"/>
    <x v="1"/>
    <s v="Payment"/>
    <n v="-20000"/>
  </r>
  <r>
    <x v="644"/>
    <d v="2019-03-04T00:00:00"/>
    <s v="Nawab Zada (Chunai Plaster)"/>
    <x v="12"/>
    <x v="1"/>
    <s v="Payment"/>
    <n v="-25000"/>
  </r>
  <r>
    <x v="645"/>
    <d v="2019-03-04T00:00:00"/>
    <s v="Haqq Nawaz (Labour)   "/>
    <x v="0"/>
    <x v="1"/>
    <s v="Payment"/>
    <n v="-2000"/>
  </r>
  <r>
    <x v="646"/>
    <d v="2019-03-05T00:00:00"/>
    <s v="Liaqat (Contractor)         (Al-Baraka Chq#4839)"/>
    <x v="9"/>
    <x v="1"/>
    <s v="Payment"/>
    <n v="-33000"/>
  </r>
  <r>
    <x v="647"/>
    <d v="2019-03-05T00:00:00"/>
    <s v="Haqq Nawaz (Labour)    Month Feb-19 Payment"/>
    <x v="0"/>
    <x v="1"/>
    <s v="Payment"/>
    <n v="-8400"/>
  </r>
  <r>
    <x v="648"/>
    <d v="2019-03-05T00:00:00"/>
    <s v="Gull-Roz (Labour)         Month Feb-19 Payment"/>
    <x v="0"/>
    <x v="1"/>
    <s v="Payment"/>
    <n v="-2700"/>
  </r>
  <r>
    <x v="649"/>
    <d v="2019-03-06T00:00:00"/>
    <s v="Nawab Zada (Chunai Plaster)"/>
    <x v="12"/>
    <x v="1"/>
    <s v="Payment"/>
    <n v="-25000"/>
  </r>
  <r>
    <x v="650"/>
    <d v="2019-03-06T00:00:00"/>
    <s v="Tea for labour"/>
    <x v="2"/>
    <x v="1"/>
    <s v="Payment"/>
    <n v="-50"/>
  </r>
  <r>
    <x v="651"/>
    <d v="2019-03-06T00:00:00"/>
    <s v="Amount Received (Arif Sb received from Ahmed Bhai) Cash"/>
    <x v="8"/>
    <x v="1"/>
    <s v="Receipt"/>
    <n v="100000"/>
  </r>
  <r>
    <x v="652"/>
    <d v="2019-03-06T00:00:00"/>
    <s v="Kashif (Steel)"/>
    <x v="7"/>
    <x v="1"/>
    <s v="Payment"/>
    <n v="-20000"/>
  </r>
  <r>
    <x v="653"/>
    <d v="2019-03-06T00:00:00"/>
    <s v="Shah Waris Khan (Shuttring)"/>
    <x v="4"/>
    <x v="1"/>
    <s v="Payment"/>
    <n v="-10000"/>
  </r>
  <r>
    <x v="654"/>
    <d v="2019-03-06T00:00:00"/>
    <s v="Asif Bhai                      Month Feb-19 Payment"/>
    <x v="1"/>
    <x v="1"/>
    <s v="Payment"/>
    <n v="-60000"/>
  </r>
  <r>
    <x v="655"/>
    <d v="2019-03-07T00:00:00"/>
    <s v="Bashir Electric"/>
    <x v="10"/>
    <x v="1"/>
    <s v="Payment"/>
    <n v="-20000"/>
  </r>
  <r>
    <x v="656"/>
    <d v="2019-03-09T00:00:00"/>
    <s v="Nawab Zada (Chunai Plaster)"/>
    <x v="12"/>
    <x v="1"/>
    <s v="Payment"/>
    <n v="-20000"/>
  </r>
  <r>
    <x v="657"/>
    <d v="2019-03-09T00:00:00"/>
    <s v="Rakshaw Karaya, Chemical"/>
    <x v="2"/>
    <x v="1"/>
    <s v="Payment"/>
    <n v="-400"/>
  </r>
  <r>
    <x v="658"/>
    <d v="2019-03-09T00:00:00"/>
    <s v="Kashif (Steel)"/>
    <x v="7"/>
    <x v="1"/>
    <s v="Payment"/>
    <n v="-3000"/>
  </r>
  <r>
    <x v="659"/>
    <d v="2019-03-12T00:00:00"/>
    <s v="Trolley Puncture/Tyre"/>
    <x v="2"/>
    <x v="1"/>
    <s v="Payment"/>
    <n v="-70"/>
  </r>
  <r>
    <x v="660"/>
    <d v="2019-03-12T00:00:00"/>
    <s v="Nawab Zada (Chunai Plaster)"/>
    <x v="12"/>
    <x v="1"/>
    <s v="Payment"/>
    <n v="-25000"/>
  </r>
  <r>
    <x v="661"/>
    <d v="2019-03-12T00:00:00"/>
    <s v="Shah Waris Khan (Shuttring)"/>
    <x v="4"/>
    <x v="1"/>
    <s v="Payment"/>
    <n v="-10000"/>
  </r>
  <r>
    <x v="662"/>
    <d v="2019-03-12T00:00:00"/>
    <s v="Tea for labour"/>
    <x v="2"/>
    <x v="1"/>
    <s v="Payment"/>
    <n v="-300"/>
  </r>
  <r>
    <x v="663"/>
    <d v="2019-03-12T00:00:00"/>
    <s v="Paid against M.Habib (Flat No.201) c/o M.Zada"/>
    <x v="8"/>
    <x v="0"/>
    <s v="Receipt"/>
    <n v="300000"/>
  </r>
  <r>
    <x v="664"/>
    <d v="2019-03-14T00:00:00"/>
    <s v="Amount Received (Ibtehaj received from Ahmed) Cash"/>
    <x v="8"/>
    <x v="1"/>
    <s v="Receipt"/>
    <n v="200000"/>
  </r>
  <r>
    <x v="665"/>
    <d v="2019-03-14T00:00:00"/>
    <s v="Petrol for Vibrator"/>
    <x v="2"/>
    <x v="1"/>
    <s v="Payment"/>
    <n v="-100"/>
  </r>
  <r>
    <x v="666"/>
    <d v="2019-03-14T00:00:00"/>
    <s v="Gull Nawaz (Pouring)             5thFloor slab"/>
    <x v="6"/>
    <x v="1"/>
    <s v="Payment"/>
    <n v="-73000"/>
  </r>
  <r>
    <x v="667"/>
    <d v="2019-03-14T00:00:00"/>
    <s v="Shah Waris Khan (Shuttring)"/>
    <x v="4"/>
    <x v="1"/>
    <s v="Payment"/>
    <n v="-50000"/>
  </r>
  <r>
    <x v="668"/>
    <d v="2019-03-14T00:00:00"/>
    <s v="Nawab Zada (Chunai Plaster)"/>
    <x v="12"/>
    <x v="1"/>
    <s v="Payment"/>
    <n v="-50000"/>
  </r>
  <r>
    <x v="669"/>
    <d v="2019-03-14T00:00:00"/>
    <s v="Farooq (Labour)"/>
    <x v="0"/>
    <x v="1"/>
    <s v="Payment"/>
    <n v="-850"/>
  </r>
  <r>
    <x v="670"/>
    <d v="2019-03-14T00:00:00"/>
    <s v="Ashiq (Labour)"/>
    <x v="0"/>
    <x v="1"/>
    <s v="Payment"/>
    <n v="-850"/>
  </r>
  <r>
    <x v="671"/>
    <d v="2019-03-14T00:00:00"/>
    <s v="Liaqat (Contractor)         (cash)"/>
    <x v="9"/>
    <x v="1"/>
    <s v="Payment"/>
    <n v="-20000"/>
  </r>
  <r>
    <x v="672"/>
    <d v="2019-03-14T00:00:00"/>
    <s v="Haqq Nawaz (Labour)   "/>
    <x v="0"/>
    <x v="1"/>
    <s v="Payment"/>
    <n v="-3000"/>
  </r>
  <r>
    <x v="673"/>
    <d v="2019-03-14T00:00:00"/>
    <s v="Baber (Labour)"/>
    <x v="0"/>
    <x v="1"/>
    <s v="Payment"/>
    <n v="-500"/>
  </r>
  <r>
    <x v="674"/>
    <d v="2019-03-15T00:00:00"/>
    <s v="Baber (Labour)"/>
    <x v="0"/>
    <x v="1"/>
    <s v="Payment"/>
    <n v="-1000"/>
  </r>
  <r>
    <x v="675"/>
    <d v="2019-03-15T00:00:00"/>
    <s v="Redoxide (for layout)"/>
    <x v="2"/>
    <x v="1"/>
    <s v="Payment"/>
    <n v="-150"/>
  </r>
  <r>
    <x v="676"/>
    <d v="2019-03-15T00:00:00"/>
    <s v="Kashif (Steel)         (Al-Baraka Chq#4844)"/>
    <x v="7"/>
    <x v="1"/>
    <s v="Payment"/>
    <n v="-50000"/>
  </r>
  <r>
    <x v="677"/>
    <d v="2019-03-15T00:00:00"/>
    <s v="Tea for labour"/>
    <x v="2"/>
    <x v="1"/>
    <s v="Payment"/>
    <n v="-50"/>
  </r>
  <r>
    <x v="678"/>
    <d v="2019-03-16T00:00:00"/>
    <s v="Tea for labour"/>
    <x v="2"/>
    <x v="1"/>
    <s v="Payment"/>
    <n v="-50"/>
  </r>
  <r>
    <x v="679"/>
    <d v="2019-03-16T00:00:00"/>
    <s v="Baber (Labour)"/>
    <x v="0"/>
    <x v="1"/>
    <s v="Payment"/>
    <n v="-1000"/>
  </r>
  <r>
    <x v="680"/>
    <d v="2019-03-19T00:00:00"/>
    <s v="Tea for labour"/>
    <x v="2"/>
    <x v="1"/>
    <s v="Payment"/>
    <n v="-50"/>
  </r>
  <r>
    <x v="681"/>
    <d v="2019-03-19T00:00:00"/>
    <s v="Amount Received (Asif received from Ahmed) Cash"/>
    <x v="8"/>
    <x v="1"/>
    <s v="Receipt"/>
    <n v="150000"/>
  </r>
  <r>
    <x v="682"/>
    <d v="2019-03-19T00:00:00"/>
    <s v="Nawab Zada (Chunai Plaster)"/>
    <x v="12"/>
    <x v="1"/>
    <s v="Payment"/>
    <n v="-65000"/>
  </r>
  <r>
    <x v="683"/>
    <d v="2019-03-19T00:00:00"/>
    <s v="Shah Waris Khan (Shuttring)"/>
    <x v="4"/>
    <x v="1"/>
    <s v="Payment"/>
    <n v="-50000"/>
  </r>
  <r>
    <x v="684"/>
    <d v="2019-03-19T00:00:00"/>
    <s v="Baber (Labour)"/>
    <x v="0"/>
    <x v="1"/>
    <s v="Payment"/>
    <n v="-2500"/>
  </r>
  <r>
    <x v="685"/>
    <d v="2019-03-21T00:00:00"/>
    <s v="Liaqat (Contractor)       (Al-Baraka Chq#4845)"/>
    <x v="9"/>
    <x v="1"/>
    <s v="Payment"/>
    <n v="-100000"/>
  </r>
  <r>
    <x v="686"/>
    <d v="2019-03-22T00:00:00"/>
    <s v="Haqq Nawaz (Labour)   "/>
    <x v="0"/>
    <x v="1"/>
    <s v="Payment"/>
    <n v="-2000"/>
  </r>
  <r>
    <x v="687"/>
    <d v="2019-03-22T00:00:00"/>
    <s v="Tea for labour"/>
    <x v="2"/>
    <x v="1"/>
    <s v="Payment"/>
    <n v="-50"/>
  </r>
  <r>
    <x v="688"/>
    <d v="2019-03-22T00:00:00"/>
    <s v="Nawab Zada (Chunai Plaster)"/>
    <x v="12"/>
    <x v="1"/>
    <s v="Payment"/>
    <n v="-10000"/>
  </r>
  <r>
    <x v="689"/>
    <d v="2019-03-23T00:00:00"/>
    <s v="Nawab Zada (Chunai Plaster)"/>
    <x v="12"/>
    <x v="1"/>
    <s v="Payment"/>
    <n v="-10000"/>
  </r>
  <r>
    <x v="690"/>
    <d v="2019-03-24T00:00:00"/>
    <s v="Baber (Labour)"/>
    <x v="0"/>
    <x v="1"/>
    <s v="Payment"/>
    <n v="-1100"/>
  </r>
  <r>
    <x v="691"/>
    <d v="2019-03-24T00:00:00"/>
    <s v="Tea for labour"/>
    <x v="2"/>
    <x v="1"/>
    <s v="Payment"/>
    <n v="-50"/>
  </r>
  <r>
    <x v="692"/>
    <d v="2019-03-26T00:00:00"/>
    <s v="Tea for labour"/>
    <x v="2"/>
    <x v="1"/>
    <s v="Payment"/>
    <n v="-50"/>
  </r>
  <r>
    <x v="693"/>
    <d v="2019-03-26T00:00:00"/>
    <s v="Liaqat (Contractor)       (HBL Chq#00067)"/>
    <x v="9"/>
    <x v="1"/>
    <s v="Payment"/>
    <n v="-85940"/>
  </r>
  <r>
    <x v="694"/>
    <d v="2019-03-26T00:00:00"/>
    <s v="Nawab Zada (Chunai Plaster)"/>
    <x v="12"/>
    <x v="1"/>
    <s v="Payment"/>
    <n v="-5000"/>
  </r>
  <r>
    <x v="695"/>
    <d v="2019-03-26T00:00:00"/>
    <s v="Nawab Zada (Chunai Plaster) (Al-Barka Chq#4846)"/>
    <x v="12"/>
    <x v="1"/>
    <s v="Payment"/>
    <n v="-50000"/>
  </r>
  <r>
    <x v="696"/>
    <d v="2019-03-26T00:00:00"/>
    <s v="Amount Received (Asif received from Ahmed) Cash"/>
    <x v="8"/>
    <x v="1"/>
    <s v="Receipt"/>
    <n v="100000"/>
  </r>
  <r>
    <x v="697"/>
    <d v="2019-03-26T00:00:00"/>
    <s v="Nawab Zada (Chunai Plaster)"/>
    <x v="12"/>
    <x v="1"/>
    <s v="Payment"/>
    <n v="-100000"/>
  </r>
  <r>
    <x v="698"/>
    <d v="2019-03-28T00:00:00"/>
    <s v="Amount Received (Asif received from Ahmed) Cash"/>
    <x v="8"/>
    <x v="1"/>
    <s v="Receipt"/>
    <n v="95000"/>
  </r>
  <r>
    <x v="699"/>
    <d v="2019-03-28T00:00:00"/>
    <s v="Shah Waris Khan (Shuttring)"/>
    <x v="4"/>
    <x v="1"/>
    <s v="Payment"/>
    <n v="-50000"/>
  </r>
  <r>
    <x v="700"/>
    <d v="2019-03-28T00:00:00"/>
    <s v="Haqq Nawaz (Labour)   "/>
    <x v="0"/>
    <x v="1"/>
    <s v="Payment"/>
    <n v="-2000"/>
  </r>
  <r>
    <x v="701"/>
    <d v="2019-03-28T00:00:00"/>
    <s v="Baber (Labour)"/>
    <x v="0"/>
    <x v="1"/>
    <s v="Payment"/>
    <n v="-1000"/>
  </r>
  <r>
    <x v="702"/>
    <d v="2019-03-28T00:00:00"/>
    <s v="Tea for labour"/>
    <x v="2"/>
    <x v="1"/>
    <s v="Payment"/>
    <n v="-50"/>
  </r>
  <r>
    <x v="703"/>
    <d v="2019-03-28T00:00:00"/>
    <s v="Bashir Electric"/>
    <x v="10"/>
    <x v="1"/>
    <s v="Payment"/>
    <n v="-20000"/>
  </r>
  <r>
    <x v="704"/>
    <d v="2019-03-28T00:00:00"/>
    <s v="Haji Aziz (Shuttring)"/>
    <x v="4"/>
    <x v="1"/>
    <s v="Payment"/>
    <n v="-2000"/>
  </r>
  <r>
    <x v="705"/>
    <d v="2019-03-28T00:00:00"/>
    <s v="Site Material (Register)"/>
    <x v="2"/>
    <x v="1"/>
    <s v="Payment"/>
    <n v="-90"/>
  </r>
  <r>
    <x v="706"/>
    <d v="2019-03-28T00:00:00"/>
    <s v="Tea for labour"/>
    <x v="2"/>
    <x v="1"/>
    <s v="Payment"/>
    <n v="-50"/>
  </r>
  <r>
    <x v="707"/>
    <d v="2019-03-28T00:00:00"/>
    <s v="Tea for labour"/>
    <x v="2"/>
    <x v="1"/>
    <s v="Payment"/>
    <n v="-50"/>
  </r>
  <r>
    <x v="708"/>
    <d v="2019-03-30T00:00:00"/>
    <s v="Haqq Nawaz (Labour)   "/>
    <x v="0"/>
    <x v="1"/>
    <s v="Payment"/>
    <n v="-1000"/>
  </r>
  <r>
    <x v="709"/>
    <d v="2019-03-30T00:00:00"/>
    <s v="Haqq Nawaz (Labour)   Adv"/>
    <x v="0"/>
    <x v="1"/>
    <s v="Payment"/>
    <n v="-7000"/>
  </r>
  <r>
    <x v="710"/>
    <d v="2019-03-30T00:00:00"/>
    <s v="Haqq Nawaz (Labour)   Adv     (Arif Sb)"/>
    <x v="0"/>
    <x v="1"/>
    <s v="Payment"/>
    <n v="-2500"/>
  </r>
  <r>
    <x v="711"/>
    <d v="2019-03-30T00:00:00"/>
    <s v="Babar (Labour)    Month Mar-19 Payment"/>
    <x v="0"/>
    <x v="1"/>
    <s v="Payment"/>
    <n v="-4800"/>
  </r>
  <r>
    <x v="712"/>
    <d v="2019-03-30T00:00:00"/>
    <s v="Haqq Nawaz (Labour)   "/>
    <x v="0"/>
    <x v="1"/>
    <s v="Payment"/>
    <n v="-300"/>
  </r>
  <r>
    <x v="713"/>
    <d v="2019-03-30T00:00:00"/>
    <s v="Tea for labour"/>
    <x v="2"/>
    <x v="1"/>
    <s v="Payment"/>
    <n v="-50"/>
  </r>
  <r>
    <x v="714"/>
    <d v="2019-03-31T00:00:00"/>
    <s v="Tea for labour"/>
    <x v="2"/>
    <x v="1"/>
    <s v="Payment"/>
    <n v="-50"/>
  </r>
  <r>
    <x v="715"/>
    <d v="2019-04-02T00:00:00"/>
    <s v="Trolley Puncture/Tyre"/>
    <x v="2"/>
    <x v="1"/>
    <s v="Payment"/>
    <n v="-70"/>
  </r>
  <r>
    <x v="716"/>
    <d v="2019-04-02T00:00:00"/>
    <s v="Tea for labour"/>
    <x v="2"/>
    <x v="1"/>
    <s v="Payment"/>
    <n v="-50"/>
  </r>
  <r>
    <x v="717"/>
    <d v="2019-04-02T00:00:00"/>
    <s v="Haqq Nawaz (Labour)  Month Mar-19 Payment"/>
    <x v="0"/>
    <x v="1"/>
    <s v="Payment"/>
    <n v="-15200"/>
  </r>
  <r>
    <x v="718"/>
    <d v="2019-04-02T00:00:00"/>
    <s v="Abdul Razaq (Labour)  Month Mar-19 Payment"/>
    <x v="0"/>
    <x v="1"/>
    <s v="Payment"/>
    <n v="-1700"/>
  </r>
  <r>
    <x v="719"/>
    <d v="2019-04-02T00:00:00"/>
    <s v="Nawab's Labour)  Month Mar-19 Payment"/>
    <x v="0"/>
    <x v="1"/>
    <s v="Payment"/>
    <n v="-5600"/>
  </r>
  <r>
    <x v="720"/>
    <d v="2019-04-03T00:00:00"/>
    <s v="Tea for labour"/>
    <x v="2"/>
    <x v="1"/>
    <s v="Payment"/>
    <n v="-50"/>
  </r>
  <r>
    <x v="721"/>
    <d v="2019-04-04T00:00:00"/>
    <s v="Tea for labour"/>
    <x v="2"/>
    <x v="1"/>
    <s v="Payment"/>
    <n v="-50"/>
  </r>
  <r>
    <x v="722"/>
    <d v="2019-04-04T00:00:00"/>
    <s v="Amount Received (Asif received from Ahmed) Cash"/>
    <x v="8"/>
    <x v="1"/>
    <s v="Receipt"/>
    <n v="100000"/>
  </r>
  <r>
    <x v="723"/>
    <d v="2019-04-04T00:00:00"/>
    <s v="Asif Bhai                      Month Mar-19 Payment"/>
    <x v="1"/>
    <x v="1"/>
    <s v="Payment"/>
    <n v="-60000"/>
  </r>
  <r>
    <x v="724"/>
    <d v="2019-04-05T00:00:00"/>
    <s v="Brush for Waterprofing Chemical"/>
    <x v="2"/>
    <x v="1"/>
    <s v="Payment"/>
    <n v="-350"/>
  </r>
  <r>
    <x v="725"/>
    <d v="2019-04-05T00:00:00"/>
    <s v="Nawab Zada (Chunai Plaster)"/>
    <x v="12"/>
    <x v="1"/>
    <s v="Payment"/>
    <n v="-30000"/>
  </r>
  <r>
    <x v="726"/>
    <d v="2019-04-06T00:00:00"/>
    <s v="Bashir Electric"/>
    <x v="10"/>
    <x v="1"/>
    <s v="Payment"/>
    <n v="-15000"/>
  </r>
  <r>
    <x v="727"/>
    <d v="2019-04-07T00:00:00"/>
    <s v="Haqq Nawaz (Labour) "/>
    <x v="0"/>
    <x v="1"/>
    <s v="Payment"/>
    <n v="-1000"/>
  </r>
  <r>
    <x v="728"/>
    <d v="2019-04-07T00:00:00"/>
    <s v="Abdul Razaq (Labour)  "/>
    <x v="0"/>
    <x v="1"/>
    <s v="Payment"/>
    <n v="-1000"/>
  </r>
  <r>
    <x v="729"/>
    <d v="2019-04-07T00:00:00"/>
    <s v="Amount Received (Asif received from Ahmed) Cash+Chq 200+20"/>
    <x v="8"/>
    <x v="1"/>
    <s v="Receipt"/>
    <n v="220000"/>
  </r>
  <r>
    <x v="730"/>
    <d v="2019-04-07T00:00:00"/>
    <s v="Nawab Zada (Chunai Plaster)  75+50+25   (Cash)"/>
    <x v="12"/>
    <x v="1"/>
    <s v="Payment"/>
    <n v="-150000"/>
  </r>
  <r>
    <x v="731"/>
    <d v="2019-04-07T00:00:00"/>
    <s v="Kashif (Steel)"/>
    <x v="7"/>
    <x v="1"/>
    <s v="Payment"/>
    <n v="-10000"/>
  </r>
  <r>
    <x v="732"/>
    <d v="2019-04-07T00:00:00"/>
    <s v="Bashir Electric"/>
    <x v="10"/>
    <x v="1"/>
    <s v="Payment"/>
    <n v="-5000"/>
  </r>
  <r>
    <x v="733"/>
    <d v="2019-04-07T00:00:00"/>
    <s v="Khalil (Plumber)"/>
    <x v="15"/>
    <x v="1"/>
    <s v="Payment"/>
    <n v="-10000"/>
  </r>
  <r>
    <x v="734"/>
    <d v="2019-04-07T00:00:00"/>
    <s v="Haqq Nawaz (Labour) "/>
    <x v="0"/>
    <x v="1"/>
    <s v="Payment"/>
    <n v="-2000"/>
  </r>
  <r>
    <x v="735"/>
    <d v="2019-04-07T00:00:00"/>
    <s v="Abdul Razaq (Labour)  "/>
    <x v="0"/>
    <x v="1"/>
    <s v="Payment"/>
    <n v="-1000"/>
  </r>
  <r>
    <x v="736"/>
    <d v="2019-04-07T00:00:00"/>
    <s v="Trolley Puncture/Tyre"/>
    <x v="2"/>
    <x v="1"/>
    <s v="Payment"/>
    <n v="-70"/>
  </r>
  <r>
    <x v="737"/>
    <d v="2019-04-07T00:00:00"/>
    <s v="Shah Waris Khan (Shuttring)"/>
    <x v="4"/>
    <x v="1"/>
    <s v="Payment"/>
    <n v="-31000"/>
  </r>
  <r>
    <x v="738"/>
    <d v="2019-05-12T00:00:00"/>
    <s v="Khalil (Plumber)"/>
    <x v="15"/>
    <x v="1"/>
    <s v="Payment"/>
    <n v="-500"/>
  </r>
  <r>
    <x v="739"/>
    <d v="2019-04-16T00:00:00"/>
    <s v="Haqq Nawaz (Labour) "/>
    <x v="0"/>
    <x v="1"/>
    <s v="Payment"/>
    <n v="-1000"/>
  </r>
  <r>
    <x v="740"/>
    <d v="2019-04-16T00:00:00"/>
    <s v="Abdul Razaq (Labour)  "/>
    <x v="0"/>
    <x v="1"/>
    <s v="Payment"/>
    <n v="-1000"/>
  </r>
  <r>
    <x v="741"/>
    <d v="2019-04-16T00:00:00"/>
    <s v="Chaani Banwai"/>
    <x v="2"/>
    <x v="1"/>
    <s v="Payment"/>
    <n v="-60"/>
  </r>
  <r>
    <x v="742"/>
    <d v="2019-04-16T00:00:00"/>
    <s v="Abdul Razaq (Labour)  "/>
    <x v="0"/>
    <x v="1"/>
    <s v="Payment"/>
    <n v="-1000"/>
  </r>
  <r>
    <x v="743"/>
    <d v="2019-04-17T00:00:00"/>
    <s v="Amount Received (Asif received from Ahmed) Cash"/>
    <x v="8"/>
    <x v="1"/>
    <s v="Receipt"/>
    <n v="200000"/>
  </r>
  <r>
    <x v="744"/>
    <d v="2019-04-17T00:00:00"/>
    <s v="Nawab Zada (Chunai Plaster)"/>
    <x v="12"/>
    <x v="1"/>
    <s v="Payment"/>
    <n v="-100000"/>
  </r>
  <r>
    <x v="745"/>
    <d v="2019-04-17T00:00:00"/>
    <s v="Khalil (Plumber)"/>
    <x v="15"/>
    <x v="1"/>
    <s v="Payment"/>
    <n v="-15000"/>
  </r>
  <r>
    <x v="746"/>
    <d v="2019-04-17T00:00:00"/>
    <s v="Bashir Electric"/>
    <x v="10"/>
    <x v="1"/>
    <s v="Payment"/>
    <n v="-30000"/>
  </r>
  <r>
    <x v="747"/>
    <d v="2019-04-19T00:00:00"/>
    <s v="Nawab Zada (Chunai Plaster)"/>
    <x v="12"/>
    <x v="1"/>
    <s v="Payment"/>
    <n v="-5000"/>
  </r>
  <r>
    <x v="748"/>
    <d v="2019-04-19T00:00:00"/>
    <s v="Haqq Nawaz (Labour) "/>
    <x v="0"/>
    <x v="1"/>
    <s v="Payment"/>
    <n v="-2000"/>
  </r>
  <r>
    <x v="749"/>
    <d v="2019-04-19T00:00:00"/>
    <s v="Abdul Razaq (Labour)  Month Apr-19 Payment"/>
    <x v="0"/>
    <x v="1"/>
    <s v="Payment"/>
    <n v="-10450"/>
  </r>
  <r>
    <x v="750"/>
    <d v="2019-04-19T00:00:00"/>
    <s v="Tea for labour  5/4/19  to 19/4/19"/>
    <x v="2"/>
    <x v="1"/>
    <s v="Payment"/>
    <n v="-700"/>
  </r>
  <r>
    <x v="751"/>
    <d v="2019-04-19T00:00:00"/>
    <s v="Haji aziz (Shuttring)   (Nails)"/>
    <x v="4"/>
    <x v="1"/>
    <s v="Payment"/>
    <n v="-220"/>
  </r>
  <r>
    <x v="752"/>
    <d v="2019-04-22T00:00:00"/>
    <s v="Tea for labour"/>
    <x v="2"/>
    <x v="1"/>
    <s v="Payment"/>
    <n v="-100"/>
  </r>
  <r>
    <x v="753"/>
    <d v="2019-04-22T00:00:00"/>
    <s v="Haqq Nawaz (Labour) "/>
    <x v="0"/>
    <x v="1"/>
    <s v="Payment"/>
    <n v="-2000"/>
  </r>
  <r>
    <x v="754"/>
    <d v="2019-04-22T00:00:00"/>
    <s v="Amount Received (Asif received from Ahmed) Cash"/>
    <x v="8"/>
    <x v="1"/>
    <s v="Receipt"/>
    <n v="150000"/>
  </r>
  <r>
    <x v="755"/>
    <d v="2019-04-22T00:00:00"/>
    <s v="Nawab Zada (Chunai Plaster)"/>
    <x v="12"/>
    <x v="1"/>
    <s v="Payment"/>
    <n v="-150000"/>
  </r>
  <r>
    <x v="756"/>
    <d v="2019-04-22T00:00:00"/>
    <s v="M.Zada (Trolley Repair) Gullshan Site"/>
    <x v="3"/>
    <x v="0"/>
    <s v="Other Receipt"/>
    <n v="3600"/>
  </r>
  <r>
    <x v="757"/>
    <d v="2019-04-22T00:00:00"/>
    <s v="Riyaz (Labour)"/>
    <x v="0"/>
    <x v="1"/>
    <s v="Payment"/>
    <n v="-2000"/>
  </r>
  <r>
    <x v="758"/>
    <d v="2019-04-23T00:00:00"/>
    <s v="Nawab Zada (Chunai Plaster)  30+25   (Cash)"/>
    <x v="12"/>
    <x v="1"/>
    <s v="Payment"/>
    <n v="-55000"/>
  </r>
  <r>
    <x v="759"/>
    <d v="2019-04-23T00:00:00"/>
    <s v="Riyaz (Labour)"/>
    <x v="0"/>
    <x v="1"/>
    <s v="Payment"/>
    <n v="-3000"/>
  </r>
  <r>
    <x v="760"/>
    <d v="2019-04-23T00:00:00"/>
    <s v="Haqq Nawaz (Labour) "/>
    <x v="0"/>
    <x v="1"/>
    <s v="Payment"/>
    <n v="-2000"/>
  </r>
  <r>
    <x v="761"/>
    <d v="2019-04-23T00:00:00"/>
    <s v="Tea for labour"/>
    <x v="2"/>
    <x v="1"/>
    <s v="Payment"/>
    <n v="-100"/>
  </r>
  <r>
    <x v="762"/>
    <d v="2019-04-24T00:00:00"/>
    <s v="Amount Received (Ibtehaj received from Hamza) Cash"/>
    <x v="8"/>
    <x v="1"/>
    <s v="Receipt"/>
    <n v="100000"/>
  </r>
  <r>
    <x v="763"/>
    <d v="2019-04-24T00:00:00"/>
    <s v="Khalil (Plumber)"/>
    <x v="15"/>
    <x v="1"/>
    <s v="Payment"/>
    <n v="-50000"/>
  </r>
  <r>
    <x v="764"/>
    <d v="2019-04-24T00:00:00"/>
    <s v="Waterproofing Chemical"/>
    <x v="13"/>
    <x v="1"/>
    <s v="Payment"/>
    <n v="-6300"/>
  </r>
  <r>
    <x v="765"/>
    <d v="2019-04-27T00:00:00"/>
    <s v="Nawab Payment Haydri MZ"/>
    <x v="3"/>
    <x v="0"/>
    <s v="Other Receipt"/>
    <n v="20000"/>
  </r>
  <r>
    <x v="766"/>
    <d v="2019-04-27T00:00:00"/>
    <s v="Nawab Zada (Chunai Plaster)"/>
    <x v="12"/>
    <x v="1"/>
    <s v="Payment"/>
    <n v="-15000"/>
  </r>
  <r>
    <x v="767"/>
    <d v="2019-04-27T00:00:00"/>
    <s v="Amount Received (Asif received from Ahmed) Cash"/>
    <x v="8"/>
    <x v="1"/>
    <s v="Receipt"/>
    <n v="30000"/>
  </r>
  <r>
    <x v="768"/>
    <d v="2019-04-27T00:00:00"/>
    <s v="Nawab Zada (Chunai Plaster)    HYD M.Zada Site"/>
    <x v="12"/>
    <x v="1"/>
    <s v="Payment"/>
    <n v="-20000"/>
  </r>
  <r>
    <x v="769"/>
    <d v="2019-04-28T00:00:00"/>
    <s v="Tea for labour"/>
    <x v="2"/>
    <x v="1"/>
    <s v="Payment"/>
    <n v="-125"/>
  </r>
  <r>
    <x v="770"/>
    <d v="2019-04-28T00:00:00"/>
    <s v="Chaani Banwai"/>
    <x v="2"/>
    <x v="1"/>
    <s v="Payment"/>
    <n v="-60"/>
  </r>
  <r>
    <x v="771"/>
    <d v="2019-04-28T00:00:00"/>
    <s v="Chacha Latif kay ghar Paisay diye"/>
    <x v="0"/>
    <x v="1"/>
    <s v="Payment"/>
    <n v="-10000"/>
  </r>
  <r>
    <x v="772"/>
    <d v="2019-04-28T00:00:00"/>
    <s v="Haqq Nawaz (Labour) "/>
    <x v="0"/>
    <x v="1"/>
    <s v="Payment"/>
    <n v="-2000"/>
  </r>
  <r>
    <x v="773"/>
    <d v="2019-04-29T00:00:00"/>
    <s v="Kashif (Steel)"/>
    <x v="7"/>
    <x v="1"/>
    <s v="Payment"/>
    <n v="-2000"/>
  </r>
  <r>
    <x v="774"/>
    <d v="2019-04-29T00:00:00"/>
    <s v="Haji aziz (Shuttring)   (Nails)"/>
    <x v="4"/>
    <x v="1"/>
    <s v="Payment"/>
    <n v="-1240"/>
  </r>
  <r>
    <x v="775"/>
    <d v="2019-04-29T00:00:00"/>
    <s v="Tea for labour"/>
    <x v="2"/>
    <x v="1"/>
    <s v="Payment"/>
    <n v="-100"/>
  </r>
  <r>
    <x v="776"/>
    <d v="2019-04-30T00:00:00"/>
    <s v="Trolley Puncture/Tyre"/>
    <x v="2"/>
    <x v="1"/>
    <s v="Payment"/>
    <n v="-120"/>
  </r>
  <r>
    <x v="777"/>
    <d v="2019-04-30T00:00:00"/>
    <s v="Tea for labour"/>
    <x v="2"/>
    <x v="1"/>
    <s v="Payment"/>
    <n v="-50"/>
  </r>
  <r>
    <x v="778"/>
    <d v="2019-05-01T00:00:00"/>
    <s v="Nawab Zada (Chunai Plaster)"/>
    <x v="12"/>
    <x v="1"/>
    <s v="Payment"/>
    <n v="-12000"/>
  </r>
  <r>
    <x v="779"/>
    <d v="2019-05-01T00:00:00"/>
    <s v="Haji aziz (Shuttring) "/>
    <x v="4"/>
    <x v="1"/>
    <s v="Payment"/>
    <n v="-2000"/>
  </r>
  <r>
    <x v="780"/>
    <d v="2019-05-02T00:00:00"/>
    <s v="Bashir Electric"/>
    <x v="10"/>
    <x v="1"/>
    <s v="Payment"/>
    <n v="-10000"/>
  </r>
  <r>
    <x v="781"/>
    <d v="2019-05-02T00:00:00"/>
    <s v="Gaiti ka Dasta"/>
    <x v="2"/>
    <x v="1"/>
    <s v="Payment"/>
    <n v="-120"/>
  </r>
  <r>
    <x v="782"/>
    <d v="2019-05-02T00:00:00"/>
    <s v="Tea for labour"/>
    <x v="2"/>
    <x v="1"/>
    <s v="Payment"/>
    <n v="-50"/>
  </r>
  <r>
    <x v="783"/>
    <d v="2019-05-02T00:00:00"/>
    <s v="Kashif (Steel)"/>
    <x v="7"/>
    <x v="1"/>
    <s v="Payment"/>
    <n v="-5000"/>
  </r>
  <r>
    <x v="784"/>
    <d v="2019-05-02T00:00:00"/>
    <s v="Raziq (Labour) "/>
    <x v="0"/>
    <x v="1"/>
    <s v="Payment"/>
    <n v="-1000"/>
  </r>
  <r>
    <x v="785"/>
    <d v="2019-05-03T00:00:00"/>
    <s v="Nawab Zada (Chunai Plaster)"/>
    <x v="12"/>
    <x v="1"/>
    <s v="Payment"/>
    <n v="-10000"/>
  </r>
  <r>
    <x v="786"/>
    <d v="2019-05-03T00:00:00"/>
    <s v="Haji aziz (Shuttring)   (Nails)"/>
    <x v="4"/>
    <x v="1"/>
    <s v="Payment"/>
    <n v="-1000"/>
  </r>
  <r>
    <x v="787"/>
    <d v="2019-05-03T00:00:00"/>
    <s v="Tea for labour"/>
    <x v="2"/>
    <x v="1"/>
    <s v="Payment"/>
    <n v="-50"/>
  </r>
  <r>
    <x v="788"/>
    <d v="2019-05-04T00:00:00"/>
    <s v="Nawab Zada (Chunai Plaster)"/>
    <x v="12"/>
    <x v="1"/>
    <s v="Payment"/>
    <n v="-20000"/>
  </r>
  <r>
    <x v="789"/>
    <d v="2019-05-04T00:00:00"/>
    <s v="Gull Nawaz (Pouring)    Design+Machine Room Col"/>
    <x v="6"/>
    <x v="1"/>
    <s v="Payment"/>
    <n v="-20000"/>
  </r>
  <r>
    <x v="790"/>
    <d v="2019-05-04T00:00:00"/>
    <s v="Raziq (Labour)  Month Apr-19 Payment"/>
    <x v="0"/>
    <x v="1"/>
    <s v="Payment"/>
    <n v="-2550"/>
  </r>
  <r>
    <x v="791"/>
    <d v="2019-05-04T00:00:00"/>
    <s v="Haqq Nawaz (Labour)  Month Apr-19 Payment"/>
    <x v="0"/>
    <x v="1"/>
    <s v="Payment"/>
    <n v="-13500"/>
  </r>
  <r>
    <x v="792"/>
    <d v="2019-05-04T00:00:00"/>
    <s v="Amount Received (Asif received from Ahmed) Cash"/>
    <x v="8"/>
    <x v="1"/>
    <s v="Receipt"/>
    <n v="160000"/>
  </r>
  <r>
    <x v="793"/>
    <d v="2019-05-04T00:00:00"/>
    <s v="Asif Bhai                      Month Apr-19 Payment"/>
    <x v="1"/>
    <x v="1"/>
    <s v="Payment"/>
    <n v="-60000"/>
  </r>
  <r>
    <x v="794"/>
    <d v="2019-05-04T00:00:00"/>
    <s v="Raziq (Labour)  Month May-19 Payment"/>
    <x v="0"/>
    <x v="1"/>
    <s v="Payment"/>
    <n v="-2400"/>
  </r>
  <r>
    <x v="795"/>
    <d v="2019-05-06T00:00:00"/>
    <s v="Bashir Electric"/>
    <x v="10"/>
    <x v="1"/>
    <s v="Payment"/>
    <n v="-5000"/>
  </r>
  <r>
    <x v="796"/>
    <d v="2019-05-06T00:00:00"/>
    <s v="Chaani Banwai"/>
    <x v="2"/>
    <x v="1"/>
    <s v="Payment"/>
    <n v="-30"/>
  </r>
  <r>
    <x v="797"/>
    <d v="2019-05-08T00:00:00"/>
    <s v="Nawab Zada (Chunai Plaster)"/>
    <x v="12"/>
    <x v="1"/>
    <s v="Payment"/>
    <n v="-52000"/>
  </r>
  <r>
    <x v="798"/>
    <d v="2019-05-09T00:00:00"/>
    <s v="Kashif (Steel)"/>
    <x v="7"/>
    <x v="1"/>
    <s v="Payment"/>
    <n v="-5000"/>
  </r>
  <r>
    <x v="799"/>
    <d v="2019-05-11T00:00:00"/>
    <s v="Baans (Bamboo)                  70 Nos. 30 ft."/>
    <x v="2"/>
    <x v="1"/>
    <s v="Payment"/>
    <n v="-34200"/>
  </r>
  <r>
    <x v="800"/>
    <d v="2019-05-11T00:00:00"/>
    <s v="Rent"/>
    <x v="2"/>
    <x v="1"/>
    <s v="Payment"/>
    <n v="-1800"/>
  </r>
  <r>
    <x v="801"/>
    <d v="2019-05-11T00:00:00"/>
    <s v="Kashif (Steel)"/>
    <x v="7"/>
    <x v="1"/>
    <s v="Payment"/>
    <n v="-2500"/>
  </r>
  <r>
    <x v="802"/>
    <d v="2019-05-13T00:00:00"/>
    <s v="Raasi                            19.200 Kg"/>
    <x v="2"/>
    <x v="1"/>
    <s v="Payment"/>
    <n v="-4044"/>
  </r>
  <r>
    <x v="803"/>
    <d v="2019-05-13T00:00:00"/>
    <s v="Liaqat (Contractor)       (HBL Chq#21434854)"/>
    <x v="9"/>
    <x v="1"/>
    <s v="Payment"/>
    <n v="-50000"/>
  </r>
  <r>
    <x v="804"/>
    <d v="2019-05-13T00:00:00"/>
    <s v="Kashif (Steel)"/>
    <x v="7"/>
    <x v="1"/>
    <s v="Payment"/>
    <n v="-5000"/>
  </r>
  <r>
    <x v="805"/>
    <d v="2019-05-13T00:00:00"/>
    <s v="Nawab Zada (Chunai Plaster)"/>
    <x v="12"/>
    <x v="1"/>
    <s v="Payment"/>
    <n v="-20000"/>
  </r>
  <r>
    <x v="806"/>
    <d v="2019-05-14T00:00:00"/>
    <s v="Raasi                            23 Kg, Rs.210/-"/>
    <x v="2"/>
    <x v="1"/>
    <s v="Payment"/>
    <n v="-4830"/>
  </r>
  <r>
    <x v="807"/>
    <d v="2019-05-14T00:00:00"/>
    <s v="Bashir Electric"/>
    <x v="10"/>
    <x v="1"/>
    <s v="Payment"/>
    <n v="-5000"/>
  </r>
  <r>
    <x v="808"/>
    <d v="2019-05-15T00:00:00"/>
    <s v="Nawab Zada (Chunai Plaster)"/>
    <x v="12"/>
    <x v="1"/>
    <s v="Payment"/>
    <n v="-9000"/>
  </r>
  <r>
    <x v="809"/>
    <d v="2019-05-16T00:00:00"/>
    <s v="Amount Received (Ibtehaj received from Hamza) Cash"/>
    <x v="8"/>
    <x v="1"/>
    <s v="Receipt"/>
    <n v="150000"/>
  </r>
  <r>
    <x v="810"/>
    <d v="2019-05-16T00:00:00"/>
    <s v="Nawab Zada (Chunai Plaster)"/>
    <x v="12"/>
    <x v="1"/>
    <s v="Payment"/>
    <n v="-20000"/>
  </r>
  <r>
    <x v="811"/>
    <d v="2019-05-16T00:00:00"/>
    <s v="Gull Nawaz (Pouring) Machine Room Bott Slab+Design"/>
    <x v="6"/>
    <x v="1"/>
    <s v="Payment"/>
    <n v="-27000"/>
  </r>
  <r>
    <x v="812"/>
    <d v="2019-05-16T00:00:00"/>
    <s v="Haqq Nawaz (Labour)  "/>
    <x v="0"/>
    <x v="1"/>
    <s v="Payment"/>
    <n v="-3000"/>
  </r>
  <r>
    <x v="813"/>
    <d v="2019-05-16T00:00:00"/>
    <s v="Adjustment Flate # 201 Muhammad Habib"/>
    <x v="8"/>
    <x v="0"/>
    <s v="Receipt"/>
    <n v="150000"/>
  </r>
  <r>
    <x v="814"/>
    <d v="2019-05-19T00:00:00"/>
    <s v="Haqq Nawaz (Labour)  "/>
    <x v="0"/>
    <x v="1"/>
    <s v="Payment"/>
    <n v="-2000"/>
  </r>
  <r>
    <x v="815"/>
    <d v="2019-05-19T00:00:00"/>
    <s v="Nawab Zada (Chunai Plaster)"/>
    <x v="12"/>
    <x v="1"/>
    <s v="Payment"/>
    <n v="-25000"/>
  </r>
  <r>
    <x v="816"/>
    <d v="2019-05-19T00:00:00"/>
    <s v="Baans (Bamboo)                  40 Nos. 12 Phatay"/>
    <x v="2"/>
    <x v="1"/>
    <s v="Payment"/>
    <n v="-33700"/>
  </r>
  <r>
    <x v="817"/>
    <d v="2019-05-19T00:00:00"/>
    <s v="Keel Paati (Phaton Kliye)"/>
    <x v="4"/>
    <x v="1"/>
    <s v="Payment"/>
    <n v="-437"/>
  </r>
  <r>
    <x v="818"/>
    <d v="2019-05-20T00:00:00"/>
    <s v="Raasi                            10.5 Kg, Rs.210/-"/>
    <x v="2"/>
    <x v="1"/>
    <s v="Payment"/>
    <n v="-2230"/>
  </r>
  <r>
    <x v="819"/>
    <d v="2019-05-20T00:00:00"/>
    <s v="Nails+Patti (Haji Aziz)"/>
    <x v="4"/>
    <x v="1"/>
    <s v="Payment"/>
    <n v="-240"/>
  </r>
  <r>
    <x v="820"/>
    <d v="2019-05-21T00:00:00"/>
    <s v="Nawab Zada (Chunai Plaster)"/>
    <x v="12"/>
    <x v="1"/>
    <s v="Payment"/>
    <n v="-15000"/>
  </r>
  <r>
    <x v="821"/>
    <d v="2019-05-21T00:00:00"/>
    <s v="Kashif (Steel)"/>
    <x v="7"/>
    <x v="1"/>
    <s v="Payment"/>
    <n v="-5000"/>
  </r>
  <r>
    <x v="822"/>
    <d v="2019-05-21T00:00:00"/>
    <s v="Haqq Nawaz (Labour)  "/>
    <x v="0"/>
    <x v="1"/>
    <s v="Payment"/>
    <n v="-1000"/>
  </r>
  <r>
    <x v="823"/>
    <d v="2019-05-23T00:00:00"/>
    <s v="Haqq Nawaz (Labour)  "/>
    <x v="0"/>
    <x v="1"/>
    <s v="Payment"/>
    <n v="-5000"/>
  </r>
  <r>
    <x v="824"/>
    <d v="2019-05-23T00:00:00"/>
    <s v="Khalil (Plumber)"/>
    <x v="15"/>
    <x v="1"/>
    <s v="Payment"/>
    <n v="-20000"/>
  </r>
  <r>
    <x v="825"/>
    <d v="2019-05-23T00:00:00"/>
    <s v="Nawab Zada (Chunai Plaster)"/>
    <x v="12"/>
    <x v="1"/>
    <s v="Payment"/>
    <n v="-5000"/>
  </r>
  <r>
    <x v="826"/>
    <d v="2019-05-24T00:00:00"/>
    <s v="Jawaid (Labour)"/>
    <x v="0"/>
    <x v="1"/>
    <s v="Payment"/>
    <n v="-900"/>
  </r>
  <r>
    <x v="827"/>
    <d v="2019-05-25T00:00:00"/>
    <s v="Amount Received (Asif received from Ahmed) Cash"/>
    <x v="8"/>
    <x v="1"/>
    <s v="Receipt"/>
    <n v="180000"/>
  </r>
  <r>
    <x v="828"/>
    <d v="2019-05-25T00:00:00"/>
    <s v="Nawab Zada (Chunai Plaster)"/>
    <x v="12"/>
    <x v="1"/>
    <s v="Payment"/>
    <n v="-100000"/>
  </r>
  <r>
    <x v="829"/>
    <d v="2019-05-28T00:00:00"/>
    <s v="Haqq Nawaz (Labour)  "/>
    <x v="0"/>
    <x v="1"/>
    <s v="Payment"/>
    <n v="-1000"/>
  </r>
  <r>
    <x v="830"/>
    <d v="2019-05-28T00:00:00"/>
    <s v="Sawan (Labour)  "/>
    <x v="0"/>
    <x v="1"/>
    <s v="Payment"/>
    <n v="-1000"/>
  </r>
  <r>
    <x v="831"/>
    <d v="2019-05-28T00:00:00"/>
    <s v="Imran (Labour)  "/>
    <x v="0"/>
    <x v="1"/>
    <s v="Payment"/>
    <n v="-800"/>
  </r>
  <r>
    <x v="832"/>
    <d v="2019-05-28T00:00:00"/>
    <s v="Liaqat (Contractor)       (CASH)"/>
    <x v="9"/>
    <x v="1"/>
    <s v="Payment"/>
    <n v="-30000"/>
  </r>
  <r>
    <x v="833"/>
    <d v="2019-06-01T00:00:00"/>
    <s v="Amount Received (Asif received from Ahmed) Cash"/>
    <x v="8"/>
    <x v="1"/>
    <s v="Receipt"/>
    <n v="200000"/>
  </r>
  <r>
    <x v="834"/>
    <d v="2019-06-01T00:00:00"/>
    <s v="Kashif (Steel)"/>
    <x v="7"/>
    <x v="1"/>
    <s v="Payment"/>
    <n v="-40000"/>
  </r>
  <r>
    <x v="835"/>
    <d v="2019-06-01T00:00:00"/>
    <s v="Bashir Electric"/>
    <x v="10"/>
    <x v="1"/>
    <s v="Payment"/>
    <n v="-40000"/>
  </r>
  <r>
    <x v="836"/>
    <d v="2019-06-01T00:00:00"/>
    <s v="Khalil (Plumber)"/>
    <x v="15"/>
    <x v="1"/>
    <s v="Payment"/>
    <n v="-30000"/>
  </r>
  <r>
    <x v="837"/>
    <d v="2019-06-01T00:00:00"/>
    <s v="Nawab Zada (Chunai Plaster)"/>
    <x v="12"/>
    <x v="1"/>
    <s v="Payment"/>
    <n v="-20000"/>
  </r>
  <r>
    <x v="838"/>
    <d v="2019-06-01T00:00:00"/>
    <s v="Asif Bhai                      Month May-19 Payment"/>
    <x v="1"/>
    <x v="1"/>
    <s v="Payment"/>
    <n v="-60000"/>
  </r>
  <r>
    <x v="839"/>
    <d v="2019-06-01T00:00:00"/>
    <s v="Asif Bhai                             EIDI"/>
    <x v="1"/>
    <x v="1"/>
    <s v="Payment"/>
    <n v="-10000"/>
  </r>
  <r>
    <x v="840"/>
    <d v="2019-06-01T00:00:00"/>
    <s v="Haqq Nawaz (Labour)  Month May-19 Payment"/>
    <x v="0"/>
    <x v="1"/>
    <s v="Payment"/>
    <n v="-16500"/>
  </r>
  <r>
    <x v="841"/>
    <d v="2019-06-01T00:00:00"/>
    <s v="Haqq Nawaz (Labour)       EIDI"/>
    <x v="0"/>
    <x v="1"/>
    <s v="Payment"/>
    <n v="-1000"/>
  </r>
  <r>
    <x v="842"/>
    <d v="2019-06-01T00:00:00"/>
    <s v="Sawan (Labour)         Month May-19 Payment"/>
    <x v="0"/>
    <x v="1"/>
    <s v="Payment"/>
    <n v="-3250"/>
  </r>
  <r>
    <x v="843"/>
    <d v="2019-06-04T00:00:00"/>
    <s v="Nawab Zada (Chunai Plaster)"/>
    <x v="12"/>
    <x v="1"/>
    <s v="Payment"/>
    <n v="-15000"/>
  </r>
  <r>
    <x v="844"/>
    <d v="2019-06-10T00:00:00"/>
    <s v="Nawab Zada (Chunai Plaster)"/>
    <x v="12"/>
    <x v="1"/>
    <s v="Payment"/>
    <n v="-5000"/>
  </r>
  <r>
    <x v="845"/>
    <d v="2019-06-10T00:00:00"/>
    <s v="Haqq Nawaz (Labour)  "/>
    <x v="0"/>
    <x v="1"/>
    <s v="Payment"/>
    <n v="-1000"/>
  </r>
  <r>
    <x v="846"/>
    <d v="2019-06-10T00:00:00"/>
    <s v="Trolley Puncture/Tyre"/>
    <x v="2"/>
    <x v="1"/>
    <s v="Payment"/>
    <n v="-1250"/>
  </r>
  <r>
    <x v="847"/>
    <d v="2019-06-11T00:00:00"/>
    <s v="Nawab Zada (Chunai Plaster)"/>
    <x v="12"/>
    <x v="1"/>
    <s v="Payment"/>
    <n v="-5000"/>
  </r>
  <r>
    <x v="848"/>
    <d v="2019-06-13T00:00:00"/>
    <s v="Amount Received (Asif received from Ahmed) Cash"/>
    <x v="8"/>
    <x v="1"/>
    <s v="Receipt"/>
    <n v="150000"/>
  </r>
  <r>
    <x v="849"/>
    <d v="2019-06-13T00:00:00"/>
    <s v="Nawab Zada (Chunai Plaster)"/>
    <x v="12"/>
    <x v="1"/>
    <s v="Payment"/>
    <n v="-45000"/>
  </r>
  <r>
    <x v="850"/>
    <d v="2019-06-13T00:00:00"/>
    <s v="Core Cutting"/>
    <x v="2"/>
    <x v="1"/>
    <s v="Payment"/>
    <n v="-5000"/>
  </r>
  <r>
    <x v="851"/>
    <d v="2019-06-16T00:00:00"/>
    <s v="Nails  (3&quot;)"/>
    <x v="4"/>
    <x v="1"/>
    <s v="Payment"/>
    <n v="-300"/>
  </r>
  <r>
    <x v="852"/>
    <d v="2019-06-16T00:00:00"/>
    <s v="Haqq Nawaz (Labour)  "/>
    <x v="0"/>
    <x v="1"/>
    <s v="Payment"/>
    <n v="-5000"/>
  </r>
  <r>
    <x v="853"/>
    <d v="2019-06-16T00:00:00"/>
    <s v="Nawab Zada (Chunai Plaster)"/>
    <x v="12"/>
    <x v="1"/>
    <s v="Payment"/>
    <n v="-1000"/>
  </r>
  <r>
    <x v="854"/>
    <d v="2019-06-17T00:00:00"/>
    <s v="Khalil (Plumber)"/>
    <x v="15"/>
    <x v="1"/>
    <s v="Payment"/>
    <n v="-15000"/>
  </r>
  <r>
    <x v="855"/>
    <d v="2019-06-17T00:00:00"/>
    <s v="Nawab Zada (Chunai Plaster)"/>
    <x v="12"/>
    <x v="1"/>
    <s v="Payment"/>
    <n v="-6000"/>
  </r>
  <r>
    <x v="856"/>
    <d v="2019-06-18T00:00:00"/>
    <s v="Nawab Zada (Chunai Plaster)"/>
    <x v="12"/>
    <x v="1"/>
    <s v="Payment"/>
    <n v="-4000"/>
  </r>
  <r>
    <x v="857"/>
    <d v="2019-06-18T00:00:00"/>
    <s v="Mix Material (Cooler Null, Nails etc)"/>
    <x v="2"/>
    <x v="1"/>
    <s v="Payment"/>
    <n v="-2000"/>
  </r>
  <r>
    <x v="858"/>
    <d v="2019-06-20T00:00:00"/>
    <s v="Chaini Banwai"/>
    <x v="2"/>
    <x v="1"/>
    <s v="Payment"/>
    <n v="-60"/>
  </r>
  <r>
    <x v="859"/>
    <d v="2019-06-20T00:00:00"/>
    <s v="Tea for labour"/>
    <x v="2"/>
    <x v="1"/>
    <s v="Payment"/>
    <n v="-25"/>
  </r>
  <r>
    <x v="860"/>
    <d v="2019-06-20T00:00:00"/>
    <s v="Nawab Zada (Chunai Plaster)"/>
    <x v="12"/>
    <x v="1"/>
    <s v="Payment"/>
    <n v="-6000"/>
  </r>
  <r>
    <x v="861"/>
    <d v="2019-06-20T00:00:00"/>
    <s v="Kashif (Steel)"/>
    <x v="7"/>
    <x v="1"/>
    <s v="Payment"/>
    <n v="-5000"/>
  </r>
  <r>
    <x v="862"/>
    <d v="2019-06-21T00:00:00"/>
    <s v="Nail"/>
    <x v="2"/>
    <x v="1"/>
    <s v="Payment"/>
    <n v="-560"/>
  </r>
  <r>
    <x v="863"/>
    <d v="2019-06-21T00:00:00"/>
    <s v="Nawab Zada (Chunai Plaster)"/>
    <x v="12"/>
    <x v="1"/>
    <s v="Payment"/>
    <n v="-5000"/>
  </r>
  <r>
    <x v="864"/>
    <d v="2019-06-22T00:00:00"/>
    <s v="Nawab Zada (Chunai Plaster)"/>
    <x v="12"/>
    <x v="1"/>
    <s v="Payment"/>
    <n v="-20000"/>
  </r>
  <r>
    <x v="865"/>
    <d v="2019-06-22T00:00:00"/>
    <s v="Khalil (Plumber)"/>
    <x v="15"/>
    <x v="1"/>
    <s v="Payment"/>
    <n v="-25000"/>
  </r>
  <r>
    <x v="866"/>
    <d v="2019-06-23T00:00:00"/>
    <s v="Nawab Zada (Chunai Plaster)"/>
    <x v="12"/>
    <x v="1"/>
    <s v="Payment"/>
    <n v="-15000"/>
  </r>
  <r>
    <x v="867"/>
    <d v="2019-06-23T00:00:00"/>
    <s v="Haqq Nawaz (Labour)  "/>
    <x v="0"/>
    <x v="1"/>
    <s v="Payment"/>
    <n v="-1000"/>
  </r>
  <r>
    <x v="868"/>
    <d v="2019-06-23T00:00:00"/>
    <s v="Kashif (Steel)"/>
    <x v="7"/>
    <x v="1"/>
    <s v="Payment"/>
    <n v="-2000"/>
  </r>
  <r>
    <x v="869"/>
    <d v="2019-06-25T00:00:00"/>
    <s v="Amount Received (Asif received from Ahmed) Cash"/>
    <x v="8"/>
    <x v="1"/>
    <s v="Receipt"/>
    <n v="100000"/>
  </r>
  <r>
    <x v="870"/>
    <d v="2019-06-25T00:00:00"/>
    <s v="Nawab Zada (Chunai Plaster)"/>
    <x v="12"/>
    <x v="1"/>
    <s v="Payment"/>
    <n v="-65000"/>
  </r>
  <r>
    <x v="871"/>
    <d v="2019-06-25T00:00:00"/>
    <s v="Haqq Nawaz (Labour)  "/>
    <x v="0"/>
    <x v="1"/>
    <s v="Payment"/>
    <n v="-5000"/>
  </r>
  <r>
    <x v="872"/>
    <d v="2019-06-26T00:00:00"/>
    <s v="Haji aziz (Shuttring)   (Nails)"/>
    <x v="4"/>
    <x v="1"/>
    <s v="Payment"/>
    <n v="-2950"/>
  </r>
  <r>
    <x v="873"/>
    <d v="2019-06-27T00:00:00"/>
    <s v="Khalil (Plumber)"/>
    <x v="15"/>
    <x v="1"/>
    <s v="Payment"/>
    <n v="-10000"/>
  </r>
  <r>
    <x v="874"/>
    <d v="2019-06-27T00:00:00"/>
    <s v="Haji aziz (Shuttring)   (Nails)"/>
    <x v="4"/>
    <x v="1"/>
    <s v="Payment"/>
    <n v="-2060"/>
  </r>
  <r>
    <x v="875"/>
    <d v="2019-06-27T00:00:00"/>
    <s v="Repairing"/>
    <x v="2"/>
    <x v="1"/>
    <s v="Payment"/>
    <n v="-250"/>
  </r>
  <r>
    <x v="876"/>
    <d v="2019-06-28T00:00:00"/>
    <s v="Haqq Nawaz (Labour)  "/>
    <x v="0"/>
    <x v="1"/>
    <s v="Payment"/>
    <n v="-1000"/>
  </r>
  <r>
    <x v="877"/>
    <d v="2019-06-28T00:00:00"/>
    <s v="Waterproofing Chemical"/>
    <x v="13"/>
    <x v="1"/>
    <s v="Payment"/>
    <n v="-25200"/>
  </r>
  <r>
    <x v="878"/>
    <d v="2019-06-28T00:00:00"/>
    <s v="Riksha Fare"/>
    <x v="2"/>
    <x v="1"/>
    <s v="Payment"/>
    <n v="-600"/>
  </r>
  <r>
    <x v="879"/>
    <d v="2019-06-29T00:00:00"/>
    <s v="Haqq Nawaz (Labour)  "/>
    <x v="0"/>
    <x v="1"/>
    <s v="Payment"/>
    <n v="-250"/>
  </r>
  <r>
    <x v="880"/>
    <d v="2019-06-29T00:00:00"/>
    <s v="Amount Received (Arif Sb received from Ahmed) Cash"/>
    <x v="8"/>
    <x v="1"/>
    <s v="Receipt"/>
    <n v="200000"/>
  </r>
  <r>
    <x v="881"/>
    <d v="2019-06-30T00:00:00"/>
    <s v="Nawab Zada (Chunai Plaster)"/>
    <x v="12"/>
    <x v="1"/>
    <s v="Payment"/>
    <n v="-10000"/>
  </r>
  <r>
    <x v="882"/>
    <d v="2019-07-01T00:00:00"/>
    <s v="Amount Received (Asif received from Ahmed) Cash"/>
    <x v="8"/>
    <x v="1"/>
    <s v="Receipt"/>
    <n v="30000"/>
  </r>
  <r>
    <x v="883"/>
    <d v="2019-07-01T00:00:00"/>
    <s v="Nawab Zada (Chunai Plaster)"/>
    <x v="12"/>
    <x v="1"/>
    <s v="Payment"/>
    <n v="-30000"/>
  </r>
  <r>
    <x v="884"/>
    <d v="2019-07-02T00:00:00"/>
    <s v="Khalil (Plumber)"/>
    <x v="15"/>
    <x v="1"/>
    <s v="Payment"/>
    <n v="-10000"/>
  </r>
  <r>
    <x v="885"/>
    <d v="2019-07-02T00:00:00"/>
    <s v="Haqq Nawaz (Labour)  Month June-19 Payment"/>
    <x v="0"/>
    <x v="1"/>
    <s v="Payment"/>
    <n v="-12400"/>
  </r>
  <r>
    <x v="886"/>
    <d v="2019-07-03T00:00:00"/>
    <s v="Nawab Zada (Chunai Plaster)"/>
    <x v="12"/>
    <x v="1"/>
    <s v="Payment"/>
    <n v="-20000"/>
  </r>
  <r>
    <x v="887"/>
    <d v="2019-07-03T00:00:00"/>
    <s v="Kacha Plaster (Messon+Labour)"/>
    <x v="0"/>
    <x v="1"/>
    <s v="Payment"/>
    <n v="-16850"/>
  </r>
  <r>
    <x v="888"/>
    <d v="2019-07-03T00:00:00"/>
    <s v="Tea for labour"/>
    <x v="2"/>
    <x v="1"/>
    <s v="Payment"/>
    <n v="-50"/>
  </r>
  <r>
    <x v="889"/>
    <d v="2019-07-04T00:00:00"/>
    <s v="Nawab Zada (Chunai Plaster)"/>
    <x v="12"/>
    <x v="1"/>
    <s v="Payment"/>
    <n v="-2000"/>
  </r>
  <r>
    <x v="890"/>
    <d v="2019-07-04T00:00:00"/>
    <s v="Tea for labour"/>
    <x v="2"/>
    <x v="1"/>
    <s v="Payment"/>
    <n v="-50"/>
  </r>
  <r>
    <x v="891"/>
    <d v="2019-07-04T00:00:00"/>
    <s v="Site Material (Taagari)"/>
    <x v="2"/>
    <x v="1"/>
    <s v="Payment"/>
    <n v="-300"/>
  </r>
  <r>
    <x v="892"/>
    <d v="2019-07-06T00:00:00"/>
    <s v="Nawab Zada (Chunai Plaster)"/>
    <x v="12"/>
    <x v="1"/>
    <s v="Payment"/>
    <n v="-5000"/>
  </r>
  <r>
    <x v="893"/>
    <d v="2019-07-06T00:00:00"/>
    <s v="Goola/Kacha Plaster (Akram Messon+Labour)"/>
    <x v="0"/>
    <x v="1"/>
    <s v="Payment"/>
    <n v="-1500"/>
  </r>
  <r>
    <x v="894"/>
    <d v="2019-07-06T00:00:00"/>
    <s v="10' Wooden Piece 2 Nos"/>
    <x v="2"/>
    <x v="1"/>
    <s v="Payment"/>
    <n v="-500"/>
  </r>
  <r>
    <x v="895"/>
    <d v="2019-07-06T00:00:00"/>
    <s v="Khalil (Plumber)"/>
    <x v="15"/>
    <x v="1"/>
    <s v="Payment"/>
    <n v="-20000"/>
  </r>
  <r>
    <x v="896"/>
    <d v="2019-07-07T00:00:00"/>
    <s v="Nawab Zada Chunai Plaster"/>
    <x v="12"/>
    <x v="1"/>
    <s v="Payment"/>
    <n v="-12000"/>
  </r>
  <r>
    <x v="897"/>
    <d v="2019-07-08T00:00:00"/>
    <s v="Nawab Zada (Chunai Plaster)"/>
    <x v="12"/>
    <x v="1"/>
    <s v="Payment"/>
    <n v="-6000"/>
  </r>
  <r>
    <x v="898"/>
    <d v="2019-07-08T00:00:00"/>
    <s v="Goola/Kacha Plaster (Akram Messon+Labour)"/>
    <x v="0"/>
    <x v="1"/>
    <s v="Payment"/>
    <n v="-1500"/>
  </r>
  <r>
    <x v="899"/>
    <d v="2019-07-08T00:00:00"/>
    <s v="Liaqat (Contractor)       (HBL Chq#000000)"/>
    <x v="9"/>
    <x v="1"/>
    <s v="Payment"/>
    <n v="-50000"/>
  </r>
  <r>
    <x v="900"/>
    <d v="2019-07-09T00:00:00"/>
    <s v="Amount Received (Asif received from Ahmed) Cash"/>
    <x v="8"/>
    <x v="1"/>
    <s v="Receipt"/>
    <n v="100000"/>
  </r>
  <r>
    <x v="901"/>
    <d v="2019-07-09T00:00:00"/>
    <s v="Goola/Kacha Plaster (Akram Messon+Labour)"/>
    <x v="0"/>
    <x v="1"/>
    <s v="Payment"/>
    <n v="-1500"/>
  </r>
  <r>
    <x v="902"/>
    <d v="2019-07-09T00:00:00"/>
    <s v="Nawab Zada (Chunai Plaster)"/>
    <x v="12"/>
    <x v="1"/>
    <s v="Payment"/>
    <n v="-40000"/>
  </r>
  <r>
    <x v="903"/>
    <d v="2019-07-09T00:00:00"/>
    <s v="Gull Nawaz (Pouring) O.H.W.T"/>
    <x v="6"/>
    <x v="1"/>
    <s v="Payment"/>
    <n v="-40000"/>
  </r>
  <r>
    <x v="904"/>
    <d v="2019-07-09T00:00:00"/>
    <s v="Haqq Nawaz (Labour)  "/>
    <x v="0"/>
    <x v="1"/>
    <s v="Payment"/>
    <n v="-5000"/>
  </r>
  <r>
    <x v="905"/>
    <d v="2019-07-09T00:00:00"/>
    <s v="Asif Bhai                      Month June-19 Payment"/>
    <x v="1"/>
    <x v="1"/>
    <s v="Payment"/>
    <n v="-60000"/>
  </r>
  <r>
    <x v="906"/>
    <d v="2019-07-11T00:00:00"/>
    <s v="Nawab Zada (Chunai Plaster)"/>
    <x v="12"/>
    <x v="1"/>
    <s v="Payment"/>
    <n v="-11000"/>
  </r>
  <r>
    <x v="907"/>
    <d v="2019-07-11T00:00:00"/>
    <s v="Goola/Kacha Plaster (Akram Messon+Labour)"/>
    <x v="0"/>
    <x v="1"/>
    <s v="Payment"/>
    <n v="-3000"/>
  </r>
  <r>
    <x v="908"/>
    <d v="2019-07-12T00:00:00"/>
    <s v="Nawab Zada (Chunai Plaster)"/>
    <x v="12"/>
    <x v="1"/>
    <s v="Payment"/>
    <n v="-14000"/>
  </r>
  <r>
    <x v="909"/>
    <d v="2019-07-12T00:00:00"/>
    <s v="Goola/Kacha Plaster (Akram Messon+Labour)"/>
    <x v="0"/>
    <x v="1"/>
    <s v="Payment"/>
    <n v="-5000"/>
  </r>
  <r>
    <x v="910"/>
    <d v="2019-07-13T00:00:00"/>
    <s v="Nawab Zada (Chunai Plaster)"/>
    <x v="12"/>
    <x v="1"/>
    <s v="Payment"/>
    <n v="-10000"/>
  </r>
  <r>
    <x v="911"/>
    <d v="2019-07-13T00:00:00"/>
    <s v="Goola/Kacha Plaster (Akram Messon+Labour)"/>
    <x v="0"/>
    <x v="1"/>
    <s v="Payment"/>
    <n v="-1500"/>
  </r>
  <r>
    <x v="912"/>
    <d v="2019-07-13T00:00:00"/>
    <s v="Amount Received (Asif received from Ahmed) Chq#"/>
    <x v="8"/>
    <x v="1"/>
    <s v="Receipt"/>
    <n v="100000"/>
  </r>
  <r>
    <x v="913"/>
    <d v="2019-07-14T00:00:00"/>
    <s v="Nawab Zada (Chunai Plaster)"/>
    <x v="12"/>
    <x v="1"/>
    <s v="Payment"/>
    <n v="-20000"/>
  </r>
  <r>
    <x v="914"/>
    <d v="2019-07-14T00:00:00"/>
    <s v="Khalil (Plumber)"/>
    <x v="15"/>
    <x v="1"/>
    <s v="Payment"/>
    <n v="-20000"/>
  </r>
  <r>
    <x v="915"/>
    <d v="2019-07-14T00:00:00"/>
    <s v="Goola/Kacha Plaster (Akram Messon+Labour)"/>
    <x v="0"/>
    <x v="1"/>
    <s v="Payment"/>
    <n v="-1500"/>
  </r>
  <r>
    <x v="916"/>
    <d v="2019-07-16T00:00:00"/>
    <s v="Khalil (Plumber)"/>
    <x v="15"/>
    <x v="1"/>
    <s v="Payment"/>
    <n v="-20000"/>
  </r>
  <r>
    <x v="917"/>
    <d v="2019-07-16T00:00:00"/>
    <s v="Goola/Kacha Plaster (Akram Messon+Labour)"/>
    <x v="0"/>
    <x v="1"/>
    <s v="Payment"/>
    <n v="-1500"/>
  </r>
  <r>
    <x v="918"/>
    <d v="2019-07-16T00:00:00"/>
    <s v="Nawab Zada (Chunai Plaster)"/>
    <x v="12"/>
    <x v="1"/>
    <s v="Payment"/>
    <n v="-20000"/>
  </r>
  <r>
    <x v="919"/>
    <d v="2019-07-16T00:00:00"/>
    <s v="Haqq Nawaz (Labour)  "/>
    <x v="0"/>
    <x v="1"/>
    <s v="Payment"/>
    <n v="-2000"/>
  </r>
  <r>
    <x v="920"/>
    <d v="2019-07-17T00:00:00"/>
    <s v="Goola/Kacha Plaster (Akram Messon+Labour)"/>
    <x v="0"/>
    <x v="1"/>
    <s v="Payment"/>
    <n v="-9000"/>
  </r>
  <r>
    <x v="921"/>
    <d v="2019-07-17T00:00:00"/>
    <s v="Nawab Zada (Chunai Plaster)"/>
    <x v="12"/>
    <x v="1"/>
    <s v="Payment"/>
    <n v="-20000"/>
  </r>
  <r>
    <x v="922"/>
    <d v="2019-07-18T00:00:00"/>
    <s v="Nawab Zada (Chunai Plaster)"/>
    <x v="12"/>
    <x v="1"/>
    <s v="Payment"/>
    <n v="-12000"/>
  </r>
  <r>
    <x v="923"/>
    <d v="2019-07-19T00:00:00"/>
    <s v="Nawab Zada (Chunai Plaster)"/>
    <x v="12"/>
    <x v="1"/>
    <s v="Payment"/>
    <n v="-12000"/>
  </r>
  <r>
    <x v="924"/>
    <d v="2019-07-19T00:00:00"/>
    <s v="Goola/Kacha Plaster (Akram Messon+Labour)"/>
    <x v="0"/>
    <x v="1"/>
    <s v="Payment"/>
    <n v="-1500"/>
  </r>
  <r>
    <x v="925"/>
    <d v="2019-07-22T00:00:00"/>
    <s v="Haqq Nawaz (Labour)  "/>
    <x v="0"/>
    <x v="1"/>
    <s v="Payment"/>
    <n v="-5000"/>
  </r>
  <r>
    <x v="926"/>
    <d v="2019-07-22T00:00:00"/>
    <s v="Amount Received (Asif received from Ahmed) HMB Chq#"/>
    <x v="8"/>
    <x v="1"/>
    <s v="Receipt"/>
    <n v="80000"/>
  </r>
  <r>
    <x v="927"/>
    <d v="2019-07-22T00:00:00"/>
    <s v="Nawab Zada (Chunai Plaster)"/>
    <x v="12"/>
    <x v="1"/>
    <s v="Payment"/>
    <n v="-40000"/>
  </r>
  <r>
    <x v="928"/>
    <d v="2019-07-22T00:00:00"/>
    <s v="Khalil (Plumber)"/>
    <x v="15"/>
    <x v="1"/>
    <s v="Payment"/>
    <n v="-40000"/>
  </r>
  <r>
    <x v="929"/>
    <d v="2019-07-25T00:00:00"/>
    <s v="Amount Received (Asif received from Ahmed) Cash"/>
    <x v="8"/>
    <x v="1"/>
    <s v="Receipt"/>
    <n v="50000"/>
  </r>
  <r>
    <x v="930"/>
    <d v="2019-07-25T00:00:00"/>
    <s v="Nawab Zada (Chunai Plaster)"/>
    <x v="12"/>
    <x v="1"/>
    <s v="Payment"/>
    <n v="-40000"/>
  </r>
  <r>
    <x v="931"/>
    <d v="2019-07-25T00:00:00"/>
    <s v="Khalil (Plumber)"/>
    <x v="15"/>
    <x v="1"/>
    <s v="Payment"/>
    <n v="-20000"/>
  </r>
  <r>
    <x v="932"/>
    <d v="2019-07-28T00:00:00"/>
    <s v="Haqq Nawaz (Labour)  "/>
    <x v="0"/>
    <x v="1"/>
    <s v="Payment"/>
    <n v="-1000"/>
  </r>
  <r>
    <x v="933"/>
    <d v="2019-07-30T00:00:00"/>
    <s v="Nawab Zada (Chunai Plaster)"/>
    <x v="12"/>
    <x v="1"/>
    <s v="Payment"/>
    <n v="-10000"/>
  </r>
  <r>
    <x v="934"/>
    <d v="2019-08-01T00:00:00"/>
    <s v="Amount Received (Asif received from Ahmed) Cash"/>
    <x v="8"/>
    <x v="1"/>
    <s v="Receipt"/>
    <n v="150000"/>
  </r>
  <r>
    <x v="935"/>
    <d v="2019-08-01T00:00:00"/>
    <s v="Nawab Zada (Chunai Plaster)"/>
    <x v="12"/>
    <x v="1"/>
    <s v="Payment"/>
    <n v="-100000"/>
  </r>
  <r>
    <x v="936"/>
    <d v="2019-08-01T00:00:00"/>
    <s v="Haqq Nawaz (Labour)  Month July-19 Payment"/>
    <x v="0"/>
    <x v="1"/>
    <s v="Payment"/>
    <n v="-15500"/>
  </r>
  <r>
    <x v="937"/>
    <d v="2019-08-01T00:00:00"/>
    <s v="Muhammad (Masson)"/>
    <x v="0"/>
    <x v="1"/>
    <s v="Payment"/>
    <n v="-1350"/>
  </r>
  <r>
    <x v="938"/>
    <d v="2019-08-01T00:00:00"/>
    <s v="Sadiq (Labour)"/>
    <x v="0"/>
    <x v="1"/>
    <s v="Payment"/>
    <n v="-900"/>
  </r>
  <r>
    <x v="939"/>
    <d v="2019-08-01T00:00:00"/>
    <s v="Parvaiz (Masson)"/>
    <x v="0"/>
    <x v="1"/>
    <s v="Payment"/>
    <n v="-4500"/>
  </r>
  <r>
    <x v="940"/>
    <d v="2019-08-01T00:00:00"/>
    <s v="Gull Bashir (Masson)"/>
    <x v="0"/>
    <x v="1"/>
    <s v="Payment"/>
    <n v="-2700"/>
  </r>
  <r>
    <x v="941"/>
    <d v="2019-08-01T00:00:00"/>
    <s v="Sabir"/>
    <x v="0"/>
    <x v="1"/>
    <s v="Payment"/>
    <n v="-5400"/>
  </r>
  <r>
    <x v="942"/>
    <d v="2019-08-02T00:00:00"/>
    <s v="Haqq Nawaz (Labour)  "/>
    <x v="0"/>
    <x v="1"/>
    <s v="Payment"/>
    <n v="-500"/>
  </r>
  <r>
    <x v="943"/>
    <d v="2019-08-05T00:00:00"/>
    <s v="Amount Received (Asif received from Ahmed) Meezan Chq#"/>
    <x v="8"/>
    <x v="1"/>
    <s v="Receipt"/>
    <n v="200000"/>
  </r>
  <r>
    <x v="944"/>
    <d v="2019-08-05T00:00:00"/>
    <s v="Khalil (Plumber)"/>
    <x v="15"/>
    <x v="1"/>
    <s v="Payment"/>
    <n v="-80000"/>
  </r>
  <r>
    <x v="945"/>
    <d v="2019-08-05T00:00:00"/>
    <s v="Nawab Zada (Chunai Plaster)"/>
    <x v="12"/>
    <x v="1"/>
    <s v="Payment"/>
    <n v="-70000"/>
  </r>
  <r>
    <x v="946"/>
    <d v="2019-08-05T00:00:00"/>
    <s v="Liaqat (Contractor)       (Cash)"/>
    <x v="9"/>
    <x v="1"/>
    <s v="Payment"/>
    <n v="-40000"/>
  </r>
  <r>
    <x v="947"/>
    <d v="2019-08-07T00:00:00"/>
    <s v="Trolley Puncture/Tyre"/>
    <x v="2"/>
    <x v="1"/>
    <s v="Payment"/>
    <n v="-200"/>
  </r>
  <r>
    <x v="948"/>
    <d v="2019-08-07T00:00:00"/>
    <s v="Reti Chaan + Bailcha"/>
    <x v="2"/>
    <x v="1"/>
    <s v="Payment"/>
    <n v="-1660"/>
  </r>
  <r>
    <x v="949"/>
    <d v="2019-08-08T00:00:00"/>
    <s v="Nawab Zada (Chunai Plaster)"/>
    <x v="12"/>
    <x v="1"/>
    <s v="Payment"/>
    <n v="-13000"/>
  </r>
  <r>
    <x v="950"/>
    <d v="2019-08-08T00:00:00"/>
    <s v="Asif Bhai                      Month July-19 Payment"/>
    <x v="1"/>
    <x v="1"/>
    <s v="Payment"/>
    <n v="-60000"/>
  </r>
  <r>
    <x v="951"/>
    <d v="2019-08-08T00:00:00"/>
    <s v="Bashir Electric"/>
    <x v="10"/>
    <x v="1"/>
    <s v="Payment"/>
    <n v="-20000"/>
  </r>
  <r>
    <x v="952"/>
    <d v="2019-08-10T00:00:00"/>
    <s v="Haqq Nawaz (Labour)  "/>
    <x v="0"/>
    <x v="1"/>
    <s v="Payment"/>
    <n v="-5000"/>
  </r>
  <r>
    <x v="953"/>
    <d v="2019-08-10T00:00:00"/>
    <s v="Khalil (Plumber)"/>
    <x v="15"/>
    <x v="1"/>
    <s v="Payment"/>
    <n v="-20000"/>
  </r>
  <r>
    <x v="954"/>
    <d v="2019-08-10T00:00:00"/>
    <s v="Cash Received Farooq Supervisor C/O M Zada"/>
    <x v="8"/>
    <x v="0"/>
    <s v="Receipt"/>
    <n v="200000"/>
  </r>
  <r>
    <x v="955"/>
    <d v="2019-08-16T00:00:00"/>
    <s v="Nawab Zada (Chunai Plaster)"/>
    <x v="12"/>
    <x v="1"/>
    <s v="Payment"/>
    <n v="-40000"/>
  </r>
  <r>
    <x v="956"/>
    <d v="2019-08-17T00:00:00"/>
    <s v="Amount Received (Asif received from Ahmed/Zada) Cash"/>
    <x v="8"/>
    <x v="1"/>
    <s v="Receipt"/>
    <n v="200000"/>
  </r>
  <r>
    <x v="957"/>
    <d v="2019-08-17T00:00:00"/>
    <s v="Haji aziz (Shuttring)"/>
    <x v="4"/>
    <x v="1"/>
    <s v="Payment"/>
    <n v="-4500"/>
  </r>
  <r>
    <x v="958"/>
    <d v="2019-08-17T00:00:00"/>
    <s v="Nawab Zada (Chunai Plaster)"/>
    <x v="12"/>
    <x v="1"/>
    <s v="Payment"/>
    <n v="-100000"/>
  </r>
  <r>
    <x v="959"/>
    <d v="2019-08-21T00:00:00"/>
    <s v="Nawab Zada (Chunai Plaster)"/>
    <x v="12"/>
    <x v="1"/>
    <s v="Payment"/>
    <n v="-25000"/>
  </r>
  <r>
    <x v="960"/>
    <d v="2019-08-25T00:00:00"/>
    <s v="Nawab Zada (Chunai Plaster)"/>
    <x v="12"/>
    <x v="1"/>
    <s v="Payment"/>
    <n v="-10000"/>
  </r>
  <r>
    <x v="961"/>
    <d v="2019-08-27T00:00:00"/>
    <s v="Nawab Zada (Chunai Plaster)"/>
    <x v="12"/>
    <x v="1"/>
    <s v="Payment"/>
    <n v="-25000"/>
  </r>
  <r>
    <x v="962"/>
    <d v="2019-08-27T00:00:00"/>
    <s v="Haqq Nawaz (Labour)  "/>
    <x v="0"/>
    <x v="1"/>
    <s v="Payment"/>
    <n v="-1000"/>
  </r>
  <r>
    <x v="963"/>
    <d v="2019-08-27T00:00:00"/>
    <s v="Kamraa Turrai Adda Labour"/>
    <x v="0"/>
    <x v="1"/>
    <s v="Payment"/>
    <n v="-3000"/>
  </r>
  <r>
    <x v="964"/>
    <d v="2019-08-31T00:00:00"/>
    <s v="Amount Received (Asif received from Ahmed) Cash"/>
    <x v="8"/>
    <x v="1"/>
    <s v="Receipt"/>
    <n v="20000"/>
  </r>
  <r>
    <x v="965"/>
    <d v="2019-08-31T00:00:00"/>
    <s v="Nawab Zada (Chunai Plaster)"/>
    <x v="12"/>
    <x v="1"/>
    <s v="Payment"/>
    <n v="-17000"/>
  </r>
  <r>
    <x v="966"/>
    <d v="2019-08-31T00:00:00"/>
    <s v="Pranch Plumber kliye"/>
    <x v="0"/>
    <x v="1"/>
    <s v="Payment"/>
    <n v="-500"/>
  </r>
  <r>
    <x v="967"/>
    <d v="2019-09-02T00:00:00"/>
    <s v="Amount Received (Asif received from Ahmed) Cash"/>
    <x v="8"/>
    <x v="1"/>
    <s v="Receipt"/>
    <n v="100000"/>
  </r>
  <r>
    <x v="968"/>
    <d v="2019-09-02T00:00:00"/>
    <s v="Khalil (Plumber)"/>
    <x v="15"/>
    <x v="1"/>
    <s v="Payment"/>
    <n v="-30000"/>
  </r>
  <r>
    <x v="969"/>
    <d v="2019-09-02T00:00:00"/>
    <s v="Nawab Zada (Chunai Plaster)"/>
    <x v="12"/>
    <x v="1"/>
    <s v="Payment"/>
    <n v="-60000"/>
  </r>
  <r>
    <x v="970"/>
    <d v="2019-09-02T00:00:00"/>
    <s v="Haqq Nawaz (Labour)  Month Aug-19 Payment"/>
    <x v="0"/>
    <x v="1"/>
    <s v="Payment"/>
    <n v="-9650"/>
  </r>
  <r>
    <x v="971"/>
    <d v="2019-09-03T00:00:00"/>
    <s v="Haqq Nawaz (Labour)  "/>
    <x v="0"/>
    <x v="1"/>
    <s v="Payment"/>
    <n v="-1350"/>
  </r>
  <r>
    <x v="972"/>
    <d v="2019-09-07T00:00:00"/>
    <s v="Haqq Nawaz (Labour)  "/>
    <x v="0"/>
    <x v="1"/>
    <s v="Payment"/>
    <n v="-2000"/>
  </r>
  <r>
    <x v="973"/>
    <d v="2019-09-07T00:00:00"/>
    <s v="Amount Received (Asif received from Ahmed) Cash"/>
    <x v="8"/>
    <x v="1"/>
    <s v="Receipt"/>
    <n v="100000"/>
  </r>
  <r>
    <x v="974"/>
    <d v="2019-09-07T00:00:00"/>
    <s v="Nawab Zada (Chunai Plaster)"/>
    <x v="12"/>
    <x v="1"/>
    <s v="Payment"/>
    <n v="-100000"/>
  </r>
  <r>
    <x v="975"/>
    <d v="2019-09-12T00:00:00"/>
    <s v="Amount Received (Asif received from Ahmed) Cash"/>
    <x v="8"/>
    <x v="1"/>
    <s v="Receipt"/>
    <n v="150000"/>
  </r>
  <r>
    <x v="976"/>
    <d v="2019-09-12T00:00:00"/>
    <s v="Haqq Nawaz (Labour)  "/>
    <x v="0"/>
    <x v="1"/>
    <s v="Payment"/>
    <n v="-5000"/>
  </r>
  <r>
    <x v="977"/>
    <d v="2019-09-12T00:00:00"/>
    <s v="Labour Mix Payment"/>
    <x v="0"/>
    <x v="1"/>
    <s v="Payment"/>
    <n v="-22000"/>
  </r>
  <r>
    <x v="978"/>
    <d v="2019-09-12T00:00:00"/>
    <s v="Asif Bhai                      Month Aug-19 Payment"/>
    <x v="1"/>
    <x v="1"/>
    <s v="Payment"/>
    <n v="-60000"/>
  </r>
  <r>
    <x v="979"/>
    <d v="2019-09-14T00:00:00"/>
    <s v="Nawab Zada (Chunai Plaster)"/>
    <x v="12"/>
    <x v="1"/>
    <s v="Payment"/>
    <n v="-25000"/>
  </r>
  <r>
    <x v="980"/>
    <d v="2019-09-17T00:00:00"/>
    <s v="Amount Received (Asif received from Ahmed) Cash"/>
    <x v="8"/>
    <x v="1"/>
    <s v="Receipt"/>
    <n v="50000"/>
  </r>
  <r>
    <x v="981"/>
    <d v="2019-09-17T00:00:00"/>
    <s v="Nawab Zada (Chunai Plaster)"/>
    <x v="12"/>
    <x v="1"/>
    <s v="Payment"/>
    <n v="-50000"/>
  </r>
  <r>
    <x v="982"/>
    <d v="2019-09-17T00:00:00"/>
    <s v="Trolley Puncture/Tyre"/>
    <x v="2"/>
    <x v="1"/>
    <s v="Payment"/>
    <n v="-70"/>
  </r>
  <r>
    <x v="983"/>
    <d v="2019-09-18T00:00:00"/>
    <s v="Nawab Zada (Chunai Plaster)"/>
    <x v="12"/>
    <x v="1"/>
    <s v="Payment"/>
    <n v="-10000"/>
  </r>
  <r>
    <x v="984"/>
    <d v="2019-09-20T00:00:00"/>
    <s v="Khalil (Plumber)"/>
    <x v="15"/>
    <x v="1"/>
    <s v="Payment"/>
    <n v="-30000"/>
  </r>
  <r>
    <x v="985"/>
    <d v="2019-09-21T00:00:00"/>
    <s v="Haqq Nawaz (Labour)  "/>
    <x v="0"/>
    <x v="1"/>
    <s v="Payment"/>
    <n v="-2000"/>
  </r>
  <r>
    <x v="986"/>
    <d v="2019-09-21T00:00:00"/>
    <s v="Amount Received (Asif received from Ahmed) Cash"/>
    <x v="8"/>
    <x v="1"/>
    <s v="Receipt"/>
    <n v="50000"/>
  </r>
  <r>
    <x v="987"/>
    <d v="2019-09-21T00:00:00"/>
    <s v="Nawab Zada (Chunai Plaster)"/>
    <x v="12"/>
    <x v="1"/>
    <s v="Payment"/>
    <n v="-30000"/>
  </r>
  <r>
    <x v="988"/>
    <d v="2019-09-23T00:00:00"/>
    <s v="Nawab Zada (Chunai Plaster)"/>
    <x v="12"/>
    <x v="1"/>
    <s v="Payment"/>
    <n v="-15000"/>
  </r>
  <r>
    <x v="989"/>
    <d v="2019-09-23T00:00:00"/>
    <s v="Shuttring Labour (Baba)"/>
    <x v="4"/>
    <x v="1"/>
    <s v="Payment"/>
    <n v="-5000"/>
  </r>
  <r>
    <x v="990"/>
    <d v="2019-09-23T00:00:00"/>
    <s v="Trolley Puncture/Tyre"/>
    <x v="2"/>
    <x v="1"/>
    <s v="Payment"/>
    <n v="-70"/>
  </r>
  <r>
    <x v="991"/>
    <d v="2019-09-23T00:00:00"/>
    <s v="Tea for labour"/>
    <x v="2"/>
    <x v="1"/>
    <s v="Payment"/>
    <n v="-100"/>
  </r>
  <r>
    <x v="992"/>
    <d v="2019-09-25T00:00:00"/>
    <s v="Shuttring Labour (Baba)"/>
    <x v="4"/>
    <x v="1"/>
    <s v="Payment"/>
    <n v="-10000"/>
  </r>
  <r>
    <x v="993"/>
    <d v="2019-09-25T00:00:00"/>
    <s v="Amount Received (Asif received from Ahmed) Cash"/>
    <x v="8"/>
    <x v="1"/>
    <s v="Receipt"/>
    <n v="100000"/>
  </r>
  <r>
    <x v="994"/>
    <d v="2019-09-26T00:00:00"/>
    <s v="Nawab Zada (Chunai Plaster)"/>
    <x v="12"/>
    <x v="1"/>
    <s v="Payment"/>
    <n v="-80000"/>
  </r>
  <r>
    <x v="995"/>
    <d v="2019-09-26T00:00:00"/>
    <s v="Khalil (Plumber)"/>
    <x v="15"/>
    <x v="1"/>
    <s v="Payment"/>
    <n v="-20000"/>
  </r>
  <r>
    <x v="996"/>
    <d v="2019-09-28T00:00:00"/>
    <s v="Shuttring Labour (Baba)"/>
    <x v="4"/>
    <x v="1"/>
    <s v="Payment"/>
    <n v="-5000"/>
  </r>
  <r>
    <x v="997"/>
    <d v="2019-09-28T00:00:00"/>
    <s v="Amount Received (Asif received from Ahmed) Cash"/>
    <x v="8"/>
    <x v="1"/>
    <s v="Receipt"/>
    <n v="120000"/>
  </r>
  <r>
    <x v="998"/>
    <d v="2019-09-28T00:00:00"/>
    <s v="Nawab Zada (Chunai Plaster)"/>
    <x v="12"/>
    <x v="1"/>
    <s v="Payment"/>
    <n v="-10000"/>
  </r>
  <r>
    <x v="999"/>
    <d v="2019-10-01T00:00:00"/>
    <s v="Nawab Zada (Chunai Plaster)"/>
    <x v="12"/>
    <x v="1"/>
    <s v="Payment"/>
    <n v="-30000"/>
  </r>
  <r>
    <x v="1000"/>
    <d v="2019-10-01T00:00:00"/>
    <s v="Haqq Nawaz (Labour)  "/>
    <x v="0"/>
    <x v="1"/>
    <s v="Payment"/>
    <n v="-1000"/>
  </r>
  <r>
    <x v="1001"/>
    <d v="2019-10-01T00:00:00"/>
    <s v="Khalil (Plumber)"/>
    <x v="15"/>
    <x v="1"/>
    <s v="Payment"/>
    <n v="-20000"/>
  </r>
  <r>
    <x v="1002"/>
    <d v="2019-10-02T00:00:00"/>
    <s v="Tea for labour"/>
    <x v="2"/>
    <x v="1"/>
    <s v="Payment"/>
    <n v="-200"/>
  </r>
  <r>
    <x v="1003"/>
    <d v="2019-10-02T00:00:00"/>
    <s v="Shuttring Labour (Baba)"/>
    <x v="4"/>
    <x v="1"/>
    <s v="Payment"/>
    <n v="-6000"/>
  </r>
  <r>
    <x v="1004"/>
    <d v="2019-10-02T00:00:00"/>
    <s v="Shah Waris Khan (Shuttring)"/>
    <x v="4"/>
    <x v="1"/>
    <s v="Payment"/>
    <n v="-1000"/>
  </r>
  <r>
    <x v="1005"/>
    <d v="2019-10-02T00:00:00"/>
    <s v="Amount Received (Asif received from Ahmed) Cash"/>
    <x v="8"/>
    <x v="1"/>
    <s v="Receipt"/>
    <n v="50000"/>
  </r>
  <r>
    <x v="1006"/>
    <d v="2019-10-02T00:00:00"/>
    <s v="Trolley Puncture/Tyre"/>
    <x v="2"/>
    <x v="1"/>
    <s v="Payment"/>
    <n v="-70"/>
  </r>
  <r>
    <x v="1007"/>
    <d v="2019-10-02T00:00:00"/>
    <s v="Gull Nawaz (Pouring) O.H.W.T"/>
    <x v="6"/>
    <x v="1"/>
    <s v="Payment"/>
    <n v="-23000"/>
  </r>
  <r>
    <x v="1008"/>
    <d v="2019-10-07T00:00:00"/>
    <s v="Amount Received (Asif received from Ahmed) Cash"/>
    <x v="8"/>
    <x v="1"/>
    <s v="Receipt"/>
    <n v="30000"/>
  </r>
  <r>
    <x v="1009"/>
    <d v="2019-10-07T00:00:00"/>
    <s v="Nawab Zada (Chunai Plaster)"/>
    <x v="12"/>
    <x v="1"/>
    <s v="Payment"/>
    <n v="-30000"/>
  </r>
  <r>
    <x v="1010"/>
    <d v="2019-10-07T00:00:00"/>
    <s v="Haqq Nawaz (Labour)  "/>
    <x v="0"/>
    <x v="1"/>
    <s v="Payment"/>
    <n v="-1000"/>
  </r>
  <r>
    <x v="1011"/>
    <d v="2019-10-07T00:00:00"/>
    <s v="Labour Mix Payment"/>
    <x v="0"/>
    <x v="1"/>
    <s v="Payment"/>
    <n v="-14100"/>
  </r>
  <r>
    <x v="1012"/>
    <d v="2019-10-08T00:00:00"/>
    <s v="Haqq Nawaz (Labour)  Month Sep-19 Payment"/>
    <x v="0"/>
    <x v="1"/>
    <s v="Payment"/>
    <n v="-18150"/>
  </r>
  <r>
    <x v="1013"/>
    <d v="2019-10-08T00:00:00"/>
    <s v="Amount Received (Asif received from Ahmed) Cash"/>
    <x v="8"/>
    <x v="1"/>
    <s v="Receipt"/>
    <n v="100000"/>
  </r>
  <r>
    <x v="1014"/>
    <d v="2019-10-08T00:00:00"/>
    <s v="Nawab Zada (Chunai Plaster)"/>
    <x v="12"/>
    <x v="1"/>
    <s v="Payment"/>
    <n v="-80000"/>
  </r>
  <r>
    <x v="1015"/>
    <d v="2019-10-11T00:00:00"/>
    <s v="Shuttring Labour (Baba)"/>
    <x v="4"/>
    <x v="1"/>
    <s v="Payment"/>
    <n v="-10000"/>
  </r>
  <r>
    <x v="1016"/>
    <d v="2019-10-11T00:00:00"/>
    <s v="Bailcha"/>
    <x v="2"/>
    <x v="1"/>
    <s v="Payment"/>
    <n v="-750"/>
  </r>
  <r>
    <x v="1017"/>
    <d v="2019-10-11T00:00:00"/>
    <s v="Rope"/>
    <x v="2"/>
    <x v="1"/>
    <s v="Payment"/>
    <n v="-2300"/>
  </r>
  <r>
    <x v="1018"/>
    <d v="2019-10-11T00:00:00"/>
    <s v="Haqq Nawaz (Labour)  "/>
    <x v="0"/>
    <x v="1"/>
    <s v="Payment"/>
    <n v="-2000"/>
  </r>
  <r>
    <x v="1019"/>
    <d v="2019-10-11T00:00:00"/>
    <s v="Tea for labour"/>
    <x v="2"/>
    <x v="1"/>
    <s v="Payment"/>
    <n v="-50"/>
  </r>
  <r>
    <x v="1020"/>
    <d v="2019-10-13T00:00:00"/>
    <s v="Amount Received (Asif received from Ahmed) Cash"/>
    <x v="8"/>
    <x v="1"/>
    <s v="Receipt"/>
    <n v="100000"/>
  </r>
  <r>
    <x v="1021"/>
    <d v="2019-10-13T00:00:00"/>
    <s v="Shuttring Labour (Baba)"/>
    <x v="4"/>
    <x v="1"/>
    <s v="Payment"/>
    <n v="-500"/>
  </r>
  <r>
    <x v="1022"/>
    <d v="2019-10-13T00:00:00"/>
    <s v="Nawab Zada (Chunai Plaster)"/>
    <x v="12"/>
    <x v="1"/>
    <s v="Payment"/>
    <n v="-30000"/>
  </r>
  <r>
    <x v="1023"/>
    <d v="2019-10-13T00:00:00"/>
    <s v="Khalil (Plumber)"/>
    <x v="15"/>
    <x v="1"/>
    <s v="Payment"/>
    <n v="-50000"/>
  </r>
  <r>
    <x v="1024"/>
    <d v="2019-10-13T00:00:00"/>
    <s v="Haqq Nawaz (Labour)  "/>
    <x v="0"/>
    <x v="1"/>
    <s v="Payment"/>
    <n v="-1000"/>
  </r>
  <r>
    <x v="1025"/>
    <d v="2019-10-15T00:00:00"/>
    <s v="Liaqat (Contractor)       (HBL 000117)"/>
    <x v="9"/>
    <x v="1"/>
    <s v="Payment"/>
    <n v="-100000"/>
  </r>
  <r>
    <x v="1026"/>
    <d v="2019-10-16T00:00:00"/>
    <s v="Amount Received (Asif received from Ahmed) Transfer"/>
    <x v="8"/>
    <x v="1"/>
    <s v="Receipt"/>
    <n v="175000"/>
  </r>
  <r>
    <x v="1027"/>
    <d v="2019-10-16T00:00:00"/>
    <s v="Amount Received (Asif received from Ahmed) Cash"/>
    <x v="8"/>
    <x v="1"/>
    <s v="Receipt"/>
    <n v="25000"/>
  </r>
  <r>
    <x v="1028"/>
    <d v="2019-10-16T00:00:00"/>
    <s v="Asif Bhai                      Month Sep-19 Payment"/>
    <x v="1"/>
    <x v="1"/>
    <s v="Payment"/>
    <n v="-60000"/>
  </r>
  <r>
    <x v="1029"/>
    <d v="2019-10-17T00:00:00"/>
    <s v="Nawab Zada (Chunai Plaster)"/>
    <x v="12"/>
    <x v="1"/>
    <s v="Payment"/>
    <n v="-50000"/>
  </r>
  <r>
    <x v="1030"/>
    <d v="2019-10-18T00:00:00"/>
    <s v="Haqq Nawaz (Labour)  "/>
    <x v="0"/>
    <x v="1"/>
    <s v="Payment"/>
    <n v="-5000"/>
  </r>
  <r>
    <x v="1031"/>
    <d v="2019-10-19T00:00:00"/>
    <s v="Nawab Zada (Chunai Plaster)"/>
    <x v="12"/>
    <x v="1"/>
    <s v="Payment"/>
    <n v="-40000"/>
  </r>
  <r>
    <x v="1032"/>
    <d v="2019-10-19T00:00:00"/>
    <s v="Shuttring Labour (Baba)"/>
    <x v="4"/>
    <x v="1"/>
    <s v="Payment"/>
    <n v="-1000"/>
  </r>
  <r>
    <x v="1033"/>
    <d v="2019-10-20T00:00:00"/>
    <s v="Babar (Labour)"/>
    <x v="0"/>
    <x v="1"/>
    <s v="Payment"/>
    <n v="-500"/>
  </r>
  <r>
    <x v="1034"/>
    <d v="2019-10-20T00:00:00"/>
    <s v="Khalil (Plumber)"/>
    <x v="15"/>
    <x v="1"/>
    <s v="Payment"/>
    <n v="-45100"/>
  </r>
  <r>
    <x v="1035"/>
    <d v="2019-10-20T00:00:00"/>
    <s v="Waterproofing Chemical"/>
    <x v="13"/>
    <x v="1"/>
    <s v="Payment"/>
    <n v="-10200"/>
  </r>
  <r>
    <x v="1036"/>
    <d v="2019-10-20T00:00:00"/>
    <s v="Nawab Zada (Chunai Plaster)"/>
    <x v="12"/>
    <x v="1"/>
    <s v="Payment"/>
    <n v="-20000"/>
  </r>
  <r>
    <x v="1037"/>
    <d v="2019-10-21T00:00:00"/>
    <s v="Nawab Zada (Chunai Plaster)"/>
    <x v="12"/>
    <x v="1"/>
    <s v="Payment"/>
    <n v="-15000"/>
  </r>
  <r>
    <x v="1038"/>
    <d v="2019-10-22T00:00:00"/>
    <s v="Reti Chaan + Robe"/>
    <x v="2"/>
    <x v="1"/>
    <s v="Payment"/>
    <n v="-2442"/>
  </r>
  <r>
    <x v="1039"/>
    <d v="2019-10-22T00:00:00"/>
    <s v="Babar (Labour)"/>
    <x v="0"/>
    <x v="1"/>
    <s v="Payment"/>
    <n v="-1000"/>
  </r>
  <r>
    <x v="1040"/>
    <d v="2019-10-24T00:00:00"/>
    <s v="Haqq Nawaz (Labour)  "/>
    <x v="0"/>
    <x v="1"/>
    <s v="Payment"/>
    <n v="-1000"/>
  </r>
  <r>
    <x v="1041"/>
    <d v="2019-10-24T00:00:00"/>
    <s v="Trolley Puncture/Tyre"/>
    <x v="2"/>
    <x v="1"/>
    <s v="Payment"/>
    <n v="-120"/>
  </r>
  <r>
    <x v="1042"/>
    <d v="2019-10-24T00:00:00"/>
    <s v="Tea for labour"/>
    <x v="2"/>
    <x v="1"/>
    <s v="Payment"/>
    <n v="-50"/>
  </r>
  <r>
    <x v="1043"/>
    <d v="2019-10-24T00:00:00"/>
    <s v="Rab-Nawaz (Painter)"/>
    <x v="14"/>
    <x v="1"/>
    <s v="Payment"/>
    <n v="-500"/>
  </r>
  <r>
    <x v="1044"/>
    <d v="2019-10-24T00:00:00"/>
    <s v="Babar (Labour)"/>
    <x v="0"/>
    <x v="1"/>
    <s v="Payment"/>
    <n v="-1000"/>
  </r>
  <r>
    <x v="1045"/>
    <d v="2019-10-24T00:00:00"/>
    <s v="Wooden Piece (Golla)"/>
    <x v="2"/>
    <x v="1"/>
    <s v="Payment"/>
    <n v="-560"/>
  </r>
  <r>
    <x v="1046"/>
    <d v="2019-10-25T00:00:00"/>
    <s v="Rab-Nawaz (Painter)"/>
    <x v="14"/>
    <x v="1"/>
    <s v="Payment"/>
    <n v="-500"/>
  </r>
  <r>
    <x v="1047"/>
    <d v="2019-10-25T00:00:00"/>
    <s v="Taagari (For Site)"/>
    <x v="2"/>
    <x v="1"/>
    <s v="Payment"/>
    <n v="-90"/>
  </r>
  <r>
    <x v="1048"/>
    <d v="2019-10-25T00:00:00"/>
    <s v="Tea for labour"/>
    <x v="2"/>
    <x v="1"/>
    <s v="Payment"/>
    <n v="-60"/>
  </r>
  <r>
    <x v="1049"/>
    <d v="2019-10-27T00:00:00"/>
    <s v="Babar (Labour)"/>
    <x v="0"/>
    <x v="1"/>
    <s v="Payment"/>
    <n v="-1000"/>
  </r>
  <r>
    <x v="1050"/>
    <d v="2019-10-27T00:00:00"/>
    <s v="Haqq Nawaz (Labour)  "/>
    <x v="0"/>
    <x v="1"/>
    <s v="Payment"/>
    <n v="-1000"/>
  </r>
  <r>
    <x v="1051"/>
    <d v="2019-10-27T00:00:00"/>
    <s v="Rab-Nawaz (Painter)"/>
    <x v="14"/>
    <x v="1"/>
    <s v="Payment"/>
    <n v="-1000"/>
  </r>
  <r>
    <x v="1052"/>
    <d v="2019-10-27T00:00:00"/>
    <s v="Goola/Kacha Plaster (Akram Messon+Labour)"/>
    <x v="0"/>
    <x v="1"/>
    <s v="Payment"/>
    <n v="-1000"/>
  </r>
  <r>
    <x v="1053"/>
    <d v="2019-10-27T00:00:00"/>
    <s v="Tea for labour"/>
    <x v="2"/>
    <x v="1"/>
    <s v="Payment"/>
    <n v="-80"/>
  </r>
  <r>
    <x v="1054"/>
    <d v="2019-10-27T00:00:00"/>
    <s v="Bailcha"/>
    <x v="2"/>
    <x v="1"/>
    <s v="Payment"/>
    <n v="-300"/>
  </r>
  <r>
    <x v="1055"/>
    <d v="2019-10-28T00:00:00"/>
    <s v="Goola/Kacha Plaster (Akram Messon+Labour)"/>
    <x v="0"/>
    <x v="1"/>
    <s v="Payment"/>
    <n v="-2000"/>
  </r>
  <r>
    <x v="1056"/>
    <d v="2019-10-28T00:00:00"/>
    <s v="Amount Received (Asif received from Ahmed) Cash"/>
    <x v="8"/>
    <x v="1"/>
    <s v="Receipt"/>
    <n v="100000"/>
  </r>
  <r>
    <x v="1057"/>
    <d v="2019-10-28T00:00:00"/>
    <s v="Remaining Adjustment in Contract A/c To SMART"/>
    <x v="8"/>
    <x v="1"/>
    <s v="Receipt"/>
    <n v="360000"/>
  </r>
  <r>
    <x v="1058"/>
    <d v="2019-10-28T00:00:00"/>
    <s v="Khalil (Plumber)"/>
    <x v="15"/>
    <x v="1"/>
    <s v="Payment"/>
    <n v="-25000"/>
  </r>
  <r>
    <x v="1058"/>
    <d v="2019-10-28T00:00:00"/>
    <s v="Nawab Zada (Chunai Plaster)"/>
    <x v="12"/>
    <x v="1"/>
    <s v="Payment"/>
    <n v="-20000"/>
  </r>
  <r>
    <x v="1059"/>
    <d v="2019-10-28T00:00:00"/>
    <s v="Rab-Nawaz (Painter)"/>
    <x v="14"/>
    <x v="1"/>
    <s v="Payment"/>
    <n v="-3000"/>
  </r>
  <r>
    <x v="1060"/>
    <d v="2019-10-30T00:00:00"/>
    <s v="Babar (Labour)"/>
    <x v="0"/>
    <x v="1"/>
    <s v="Payment"/>
    <n v="-2000"/>
  </r>
  <r>
    <x v="1061"/>
    <d v="2019-10-30T00:00:00"/>
    <s v="Goola/Kacha Plaster (Akram Messon+Labour)"/>
    <x v="0"/>
    <x v="1"/>
    <s v="Payment"/>
    <n v="-3000"/>
  </r>
  <r>
    <x v="1062"/>
    <d v="2019-10-30T00:00:00"/>
    <s v="Nawab Zada (Chunai Plaster)"/>
    <x v="12"/>
    <x v="1"/>
    <s v="Payment"/>
    <n v="-40000"/>
  </r>
  <r>
    <x v="1063"/>
    <d v="2019-10-30T00:00:00"/>
    <s v="Amount Received (Asif received from Ahmed) Cash"/>
    <x v="8"/>
    <x v="1"/>
    <s v="Receipt"/>
    <n v="100000"/>
  </r>
  <r>
    <x v="1064"/>
    <d v="2019-10-30T00:00:00"/>
    <s v="Rab-Nawaz (Painter)"/>
    <x v="14"/>
    <x v="1"/>
    <s v="Payment"/>
    <n v="-50000"/>
  </r>
  <r>
    <x v="1065"/>
    <d v="2019-10-31T00:00:00"/>
    <s v="Goola/Kacha Plaster (Akram Messon+Labour)"/>
    <x v="0"/>
    <x v="1"/>
    <s v="Payment"/>
    <n v="-2000"/>
  </r>
  <r>
    <x v="1066"/>
    <d v="2019-11-02T00:00:00"/>
    <s v="Shuttring Labour (Baba)"/>
    <x v="4"/>
    <x v="1"/>
    <s v="Payment"/>
    <n v="-1000"/>
  </r>
  <r>
    <x v="1067"/>
    <d v="2019-11-02T00:00:00"/>
    <s v="Goola/Kacha Plaster (Akram Messon+Labour)"/>
    <x v="0"/>
    <x v="1"/>
    <s v="Payment"/>
    <n v="-1500"/>
  </r>
  <r>
    <x v="1068"/>
    <d v="2019-11-02T00:00:00"/>
    <s v="Haqq Nawaz (Labour)  Month Oct-19 Payment"/>
    <x v="0"/>
    <x v="1"/>
    <s v="Payment"/>
    <n v="-17450"/>
  </r>
  <r>
    <x v="1069"/>
    <d v="2019-11-02T00:00:00"/>
    <s v="Babar (Labour)              Month Oct-19 Payment"/>
    <x v="0"/>
    <x v="1"/>
    <s v="Payment"/>
    <n v="-3500"/>
  </r>
  <r>
    <x v="1070"/>
    <d v="2019-11-02T00:00:00"/>
    <s v="Nawab Zada (Chunai Plaster)"/>
    <x v="12"/>
    <x v="1"/>
    <s v="Payment"/>
    <n v="-10000"/>
  </r>
  <r>
    <x v="1071"/>
    <d v="2019-11-04T00:00:00"/>
    <s v="Massoon+Labour (Mix Work)"/>
    <x v="0"/>
    <x v="1"/>
    <s v="Payment"/>
    <n v="-15050"/>
  </r>
  <r>
    <x v="1072"/>
    <d v="2019-11-05T00:00:00"/>
    <s v="Shuttring Labour (Baba)"/>
    <x v="4"/>
    <x v="1"/>
    <s v="Payment"/>
    <n v="-500"/>
  </r>
  <r>
    <x v="1073"/>
    <d v="2019-11-05T00:00:00"/>
    <s v="Goola/Kacha Plaster (Akram Messon+Labour)"/>
    <x v="0"/>
    <x v="1"/>
    <s v="Payment"/>
    <n v="-1500"/>
  </r>
  <r>
    <x v="1074"/>
    <d v="2019-11-05T00:00:00"/>
    <s v="Tea for labour"/>
    <x v="2"/>
    <x v="1"/>
    <s v="Payment"/>
    <n v="-90"/>
  </r>
  <r>
    <x v="1075"/>
    <d v="2019-11-05T00:00:00"/>
    <s v="Amount Received (Asif received from Ahmed) Cash"/>
    <x v="8"/>
    <x v="1"/>
    <s v="Receipt"/>
    <n v="250000"/>
  </r>
  <r>
    <x v="1076"/>
    <d v="2019-11-05T00:00:00"/>
    <s v="Nawab Zada (Chunai Plaster)"/>
    <x v="12"/>
    <x v="1"/>
    <s v="Payment"/>
    <n v="-130000"/>
  </r>
  <r>
    <x v="1077"/>
    <d v="2019-11-05T00:00:00"/>
    <s v="Khalil (Plumber)"/>
    <x v="15"/>
    <x v="1"/>
    <s v="Payment"/>
    <n v="-60000"/>
  </r>
  <r>
    <x v="1078"/>
    <d v="2019-11-05T00:00:00"/>
    <s v="Babar (Labour)"/>
    <x v="0"/>
    <x v="1"/>
    <s v="Payment"/>
    <n v="-1000"/>
  </r>
  <r>
    <x v="1079"/>
    <d v="2019-11-05T00:00:00"/>
    <s v="Haqq Nawaz (Labour)  "/>
    <x v="0"/>
    <x v="1"/>
    <s v="Payment"/>
    <n v="-3000"/>
  </r>
  <r>
    <x v="1080"/>
    <d v="2019-11-05T00:00:00"/>
    <s v="Asif Bhai                      Month Oct-19 Payment"/>
    <x v="1"/>
    <x v="1"/>
    <s v="Payment"/>
    <n v="-60000"/>
  </r>
  <r>
    <x v="1081"/>
    <d v="2019-11-05T00:00:00"/>
    <s v="Trolley Puncture/Tyre"/>
    <x v="2"/>
    <x v="1"/>
    <s v="Payment"/>
    <n v="-500"/>
  </r>
  <r>
    <x v="1082"/>
    <d v="2019-11-05T00:00:00"/>
    <s v="Goola/Kacha Plaster (Akram Messon+Labour)"/>
    <x v="0"/>
    <x v="1"/>
    <s v="Payment"/>
    <n v="-2000"/>
  </r>
  <r>
    <x v="1083"/>
    <d v="2019-11-05T00:00:00"/>
    <s v="Tea for labour"/>
    <x v="2"/>
    <x v="1"/>
    <s v="Payment"/>
    <n v="-50"/>
  </r>
  <r>
    <x v="1084"/>
    <d v="2019-11-07T00:00:00"/>
    <s v="Babar (Labour)"/>
    <x v="0"/>
    <x v="1"/>
    <s v="Payment"/>
    <n v="-1000"/>
  </r>
  <r>
    <x v="1085"/>
    <d v="2019-11-07T00:00:00"/>
    <s v="Goola/Kacha Plaster (Akram Messon+Labour)"/>
    <x v="0"/>
    <x v="1"/>
    <s v="Payment"/>
    <n v="-9500"/>
  </r>
  <r>
    <x v="1086"/>
    <d v="2019-11-09T00:00:00"/>
    <s v="Nawab Zada (Chunai Plaster)"/>
    <x v="12"/>
    <x v="1"/>
    <s v="Payment"/>
    <n v="-10000"/>
  </r>
  <r>
    <x v="1087"/>
    <d v="2019-11-11T00:00:00"/>
    <s v="Bashir Electric"/>
    <x v="10"/>
    <x v="1"/>
    <s v="Payment"/>
    <n v="-20000"/>
  </r>
  <r>
    <x v="1088"/>
    <d v="2019-11-11T00:00:00"/>
    <s v="Haqq Nawaz (Labour)  "/>
    <x v="0"/>
    <x v="1"/>
    <s v="Payment"/>
    <n v="-1000"/>
  </r>
  <r>
    <x v="1089"/>
    <d v="2019-11-11T00:00:00"/>
    <s v="Pakka Kaam (Chemical)"/>
    <x v="13"/>
    <x v="1"/>
    <s v="Payment"/>
    <n v="-700"/>
  </r>
  <r>
    <x v="1090"/>
    <d v="2019-11-12T00:00:00"/>
    <s v="Rab-Nawaz (Painter)"/>
    <x v="14"/>
    <x v="1"/>
    <s v="Payment"/>
    <n v="-30000"/>
  </r>
  <r>
    <x v="1091"/>
    <d v="2019-11-12T00:00:00"/>
    <s v="Amount Received (Asif received from Ahmed) Cash"/>
    <x v="8"/>
    <x v="1"/>
    <s v="Receipt"/>
    <n v="100000"/>
  </r>
  <r>
    <x v="1092"/>
    <d v="2019-11-13T00:00:00"/>
    <s v="Nawab Zada (Chunai Plaster)"/>
    <x v="12"/>
    <x v="1"/>
    <s v="Payment"/>
    <n v="-2000"/>
  </r>
  <r>
    <x v="1093"/>
    <d v="2019-11-13T00:00:00"/>
    <s v="Tea for labour"/>
    <x v="2"/>
    <x v="1"/>
    <s v="Payment"/>
    <n v="-90"/>
  </r>
  <r>
    <x v="1094"/>
    <d v="2019-11-13T00:00:00"/>
    <s v="Haqq Nawaz (Labour)  "/>
    <x v="0"/>
    <x v="1"/>
    <s v="Payment"/>
    <n v="-1000"/>
  </r>
  <r>
    <x v="1095"/>
    <d v="2019-11-13T00:00:00"/>
    <s v="Mujahid (Masson)"/>
    <x v="0"/>
    <x v="1"/>
    <s v="Payment"/>
    <n v="-1000"/>
  </r>
  <r>
    <x v="1096"/>
    <d v="2019-11-13T00:00:00"/>
    <s v="Jawaid (Labour)"/>
    <x v="0"/>
    <x v="1"/>
    <s v="Payment"/>
    <n v="-1000"/>
  </r>
  <r>
    <x v="1097"/>
    <d v="2019-11-14T00:00:00"/>
    <s v="Khalil (Plumber)"/>
    <x v="15"/>
    <x v="1"/>
    <s v="Payment"/>
    <n v="-50000"/>
  </r>
  <r>
    <x v="1098"/>
    <d v="2019-11-14T00:00:00"/>
    <s v="Babar (Labour)"/>
    <x v="0"/>
    <x v="1"/>
    <s v="Payment"/>
    <n v="-1000"/>
  </r>
  <r>
    <x v="1099"/>
    <d v="2019-11-14T00:00:00"/>
    <s v="Rab-Nawaz (Painter)"/>
    <x v="14"/>
    <x v="1"/>
    <s v="Payment"/>
    <n v="-2000"/>
  </r>
  <r>
    <x v="1100"/>
    <d v="2019-11-14T00:00:00"/>
    <s v="Tea for labour"/>
    <x v="2"/>
    <x v="1"/>
    <s v="Payment"/>
    <n v="-90"/>
  </r>
  <r>
    <x v="1101"/>
    <d v="2019-11-14T00:00:00"/>
    <s v="Amount Received (Asif received from Ahmed) Cash"/>
    <x v="8"/>
    <x v="1"/>
    <s v="Receipt"/>
    <n v="50000"/>
  </r>
  <r>
    <x v="1102"/>
    <d v="2019-11-16T00:00:00"/>
    <s v="Haqq Nawaz (Labour)  "/>
    <x v="0"/>
    <x v="1"/>
    <s v="Payment"/>
    <n v="-1000"/>
  </r>
  <r>
    <x v="1103"/>
    <d v="2019-11-16T00:00:00"/>
    <s v="Babar (Labour)"/>
    <x v="0"/>
    <x v="1"/>
    <s v="Payment"/>
    <n v="-1000"/>
  </r>
  <r>
    <x v="1104"/>
    <d v="2019-11-16T00:00:00"/>
    <s v="Mujahid (Masson)"/>
    <x v="0"/>
    <x v="1"/>
    <s v="Payment"/>
    <n v="-5000"/>
  </r>
  <r>
    <x v="1105"/>
    <d v="2019-11-16T00:00:00"/>
    <s v="Jawaid (Labour)"/>
    <x v="0"/>
    <x v="1"/>
    <s v="Payment"/>
    <n v="-2000"/>
  </r>
  <r>
    <x v="1106"/>
    <d v="2019-11-16T00:00:00"/>
    <s v="Tea for labour"/>
    <x v="2"/>
    <x v="1"/>
    <s v="Payment"/>
    <n v="-90"/>
  </r>
  <r>
    <x v="1107"/>
    <d v="2019-11-16T00:00:00"/>
    <s v="Trolley Puncture/Tyre"/>
    <x v="2"/>
    <x v="1"/>
    <s v="Payment"/>
    <n v="-350"/>
  </r>
  <r>
    <x v="1108"/>
    <d v="2019-11-17T00:00:00"/>
    <s v="Nawab Zada (Chunai Plaster)"/>
    <x v="12"/>
    <x v="1"/>
    <s v="Payment"/>
    <n v="-2000"/>
  </r>
  <r>
    <x v="1109"/>
    <d v="2019-11-17T00:00:00"/>
    <s v="Ajjab Khan (Masson)"/>
    <x v="0"/>
    <x v="1"/>
    <s v="Payment"/>
    <n v="-5000"/>
  </r>
  <r>
    <x v="1110"/>
    <d v="2019-11-17T00:00:00"/>
    <s v="Tea for labour"/>
    <x v="2"/>
    <x v="1"/>
    <s v="Payment"/>
    <n v="-120"/>
  </r>
  <r>
    <x v="1111"/>
    <d v="2019-11-17T00:00:00"/>
    <s v="Aazam (Labour)"/>
    <x v="0"/>
    <x v="1"/>
    <s v="Payment"/>
    <n v="-1000"/>
  </r>
  <r>
    <x v="1112"/>
    <d v="2019-11-18T00:00:00"/>
    <s v="Babar (Labour)"/>
    <x v="0"/>
    <x v="1"/>
    <s v="Payment"/>
    <n v="-2000"/>
  </r>
  <r>
    <x v="1113"/>
    <d v="2019-11-18T00:00:00"/>
    <s v="Liaqat (Contractor)       (Cash, Arif Sb)"/>
    <x v="9"/>
    <x v="1"/>
    <s v="Payment"/>
    <n v="-20000"/>
  </r>
  <r>
    <x v="1114"/>
    <d v="2019-11-18T00:00:00"/>
    <s v="Tea for labour"/>
    <x v="2"/>
    <x v="1"/>
    <s v="Payment"/>
    <n v="-150"/>
  </r>
  <r>
    <x v="1115"/>
    <d v="2019-11-18T00:00:00"/>
    <s v="Waterproofing Chemical"/>
    <x v="13"/>
    <x v="1"/>
    <s v="Payment"/>
    <n v="-3420"/>
  </r>
  <r>
    <x v="1116"/>
    <d v="2019-11-19T00:00:00"/>
    <s v="Mujahid (Masson)"/>
    <x v="0"/>
    <x v="1"/>
    <s v="Payment"/>
    <n v="-3000"/>
  </r>
  <r>
    <x v="1117"/>
    <d v="2019-11-19T00:00:00"/>
    <s v="Tea for labour"/>
    <x v="2"/>
    <x v="1"/>
    <s v="Payment"/>
    <n v="-150"/>
  </r>
  <r>
    <x v="1118"/>
    <d v="2019-11-19T00:00:00"/>
    <s v="Rab-Nawaz (Painter)"/>
    <x v="14"/>
    <x v="1"/>
    <s v="Payment"/>
    <n v="-15000"/>
  </r>
  <r>
    <x v="1119"/>
    <d v="2019-11-19T00:00:00"/>
    <s v="Waterproofing Chemical"/>
    <x v="13"/>
    <x v="1"/>
    <s v="Payment"/>
    <n v="-2700"/>
  </r>
  <r>
    <x v="1120"/>
    <d v="2019-11-19T00:00:00"/>
    <s v="Amount Received (Asif received from Ahmed) Cash"/>
    <x v="8"/>
    <x v="1"/>
    <s v="Receipt"/>
    <n v="60000"/>
  </r>
  <r>
    <x v="1121"/>
    <d v="2019-11-20T00:00:00"/>
    <s v="Tea for labour"/>
    <x v="2"/>
    <x v="1"/>
    <s v="Payment"/>
    <n v="-100"/>
  </r>
  <r>
    <x v="1122"/>
    <d v="2019-11-20T00:00:00"/>
    <s v="Babar (Labour)              Month Nov-19 Payment"/>
    <x v="0"/>
    <x v="1"/>
    <s v="Payment"/>
    <n v="-5700"/>
  </r>
  <r>
    <x v="1123"/>
    <d v="2019-11-21T00:00:00"/>
    <s v="Ajjab Khan (Masson)"/>
    <x v="0"/>
    <x v="1"/>
    <s v="Payment"/>
    <n v="-5000"/>
  </r>
  <r>
    <x v="1124"/>
    <d v="2019-11-21T00:00:00"/>
    <s v="Tea for labour"/>
    <x v="2"/>
    <x v="1"/>
    <s v="Payment"/>
    <n v="-100"/>
  </r>
  <r>
    <x v="1125"/>
    <d v="2019-11-21T00:00:00"/>
    <s v="Nawab Zada (Chunai Plaster)"/>
    <x v="12"/>
    <x v="1"/>
    <s v="Payment"/>
    <n v="-50000"/>
  </r>
  <r>
    <x v="1126"/>
    <d v="2019-11-21T00:00:00"/>
    <s v="Haqq Nawaz (Labour)  "/>
    <x v="0"/>
    <x v="1"/>
    <s v="Payment"/>
    <n v="-2000"/>
  </r>
  <r>
    <x v="1127"/>
    <d v="2019-11-21T00:00:00"/>
    <s v="Amount Received (Asif received from Ahmed) Cash"/>
    <x v="8"/>
    <x v="1"/>
    <s v="Receipt"/>
    <n v="30000"/>
  </r>
  <r>
    <x v="1128"/>
    <d v="2019-11-24T00:00:00"/>
    <s v="Nawab Zada (Chunai Plaster)"/>
    <x v="12"/>
    <x v="1"/>
    <s v="Payment"/>
    <n v="-50000"/>
  </r>
  <r>
    <x v="1129"/>
    <d v="2019-11-24T00:00:00"/>
    <s v="Rab-Nawaz (Painter)"/>
    <x v="14"/>
    <x v="1"/>
    <s v="Payment"/>
    <n v="-10000"/>
  </r>
  <r>
    <x v="1130"/>
    <d v="2019-11-24T00:00:00"/>
    <s v="Amount Received (Asif received from Ahmed) Cash"/>
    <x v="8"/>
    <x v="1"/>
    <s v="Receipt"/>
    <n v="60000"/>
  </r>
  <r>
    <x v="1131"/>
    <d v="2019-11-25T00:00:00"/>
    <s v="Shuttring Labour (Baba)"/>
    <x v="4"/>
    <x v="1"/>
    <s v="Payment"/>
    <n v="-1000"/>
  </r>
  <r>
    <x v="1132"/>
    <d v="2019-11-25T00:00:00"/>
    <s v="Khalil (Plumber)"/>
    <x v="15"/>
    <x v="1"/>
    <s v="Payment"/>
    <n v="-5000"/>
  </r>
  <r>
    <x v="1133"/>
    <d v="2019-11-25T00:00:00"/>
    <s v="Haqq Nawaz (Labour)  "/>
    <x v="0"/>
    <x v="1"/>
    <s v="Payment"/>
    <n v="-1000"/>
  </r>
  <r>
    <x v="1134"/>
    <d v="2019-11-28T00:00:00"/>
    <s v="Haq Nawaz Labour"/>
    <x v="0"/>
    <x v="1"/>
    <s v="Payment"/>
    <n v="-1000"/>
  </r>
  <r>
    <x v="1135"/>
    <d v="2019-11-28T00:00:00"/>
    <s v="Received from Ahmed Bhai"/>
    <x v="8"/>
    <x v="1"/>
    <s v="Receipt"/>
    <n v="20000"/>
  </r>
  <r>
    <x v="1136"/>
    <d v="2019-11-28T00:00:00"/>
    <s v="Nawab Chunai Plaster (Rd 5000 from Habib)"/>
    <x v="12"/>
    <x v="1"/>
    <s v="Payment"/>
    <n v="-25000"/>
  </r>
  <r>
    <x v="1137"/>
    <d v="2019-11-30T00:00:00"/>
    <s v="Nawab Zada (Chunai Plaster)"/>
    <x v="12"/>
    <x v="1"/>
    <s v="Payment"/>
    <n v="-100000"/>
  </r>
  <r>
    <x v="1138"/>
    <d v="2019-11-30T00:00:00"/>
    <s v="Rab-Nawaz (Painter)"/>
    <x v="14"/>
    <x v="1"/>
    <s v="Payment"/>
    <n v="-40000"/>
  </r>
  <r>
    <x v="1139"/>
    <d v="2019-11-30T00:00:00"/>
    <s v="Amount Received (Asif received from Ahmed) Cash"/>
    <x v="8"/>
    <x v="1"/>
    <s v="Receipt"/>
    <n v="60000"/>
  </r>
  <r>
    <x v="1140"/>
    <d v="2019-11-30T00:00:00"/>
    <s v="Amount Received (Asif received from Ahmed) Cash"/>
    <x v="8"/>
    <x v="1"/>
    <s v="Receipt"/>
    <n v="120000"/>
  </r>
  <r>
    <x v="1141"/>
    <d v="2019-11-30T00:00:00"/>
    <s v="Tea for labour"/>
    <x v="2"/>
    <x v="1"/>
    <s v="Payment"/>
    <n v="-30"/>
  </r>
  <r>
    <x v="1142"/>
    <d v="2019-11-30T00:00:00"/>
    <s v="Paid to Nawab by Zada"/>
    <x v="12"/>
    <x v="0"/>
    <s v="Payment"/>
    <n v="-15000"/>
  </r>
  <r>
    <x v="1143"/>
    <d v="2019-12-02T00:00:00"/>
    <s v="Haq Nawaz Labour November Payment"/>
    <x v="0"/>
    <x v="1"/>
    <s v="Payment"/>
    <n v="-17500"/>
  </r>
  <r>
    <x v="1144"/>
    <d v="2019-12-02T00:00:00"/>
    <s v="Ajab Khan - Meson + Labour"/>
    <x v="0"/>
    <x v="1"/>
    <s v="Payment"/>
    <n v="-10000"/>
  </r>
  <r>
    <x v="1145"/>
    <d v="2019-12-04T00:00:00"/>
    <s v="Received from Ahmed Bhai"/>
    <x v="8"/>
    <x v="1"/>
    <s v="Receipt"/>
    <n v="50000"/>
  </r>
  <r>
    <x v="1146"/>
    <d v="2019-12-04T00:00:00"/>
    <s v="Nawab - Chunai Plaster"/>
    <x v="12"/>
    <x v="1"/>
    <s v="Payment"/>
    <n v="-25000"/>
  </r>
  <r>
    <x v="1147"/>
    <d v="2019-12-04T00:00:00"/>
    <s v="Rab-Nawaz (Painter)"/>
    <x v="14"/>
    <x v="1"/>
    <s v="Payment"/>
    <n v="-25000"/>
  </r>
  <r>
    <x v="1148"/>
    <d v="2019-12-05T00:00:00"/>
    <s v="Trolly Bearing Repair"/>
    <x v="2"/>
    <x v="1"/>
    <s v="Payment"/>
    <n v="-240"/>
  </r>
  <r>
    <x v="1149"/>
    <d v="2019-12-06T00:00:00"/>
    <s v="Khalil (Plumber)"/>
    <x v="15"/>
    <x v="1"/>
    <s v="Payment"/>
    <n v="-10000"/>
  </r>
  <r>
    <x v="1150"/>
    <d v="2019-12-07T00:00:00"/>
    <s v="Haq Nawaz Labour"/>
    <x v="0"/>
    <x v="1"/>
    <s v="Payment"/>
    <n v="-1000"/>
  </r>
  <r>
    <x v="1151"/>
    <d v="2019-12-11T00:00:00"/>
    <s v="Received from Ahmed Bhai"/>
    <x v="8"/>
    <x v="1"/>
    <s v="Receipt"/>
    <n v="400000"/>
  </r>
  <r>
    <x v="1152"/>
    <d v="2019-12-11T00:00:00"/>
    <s v="Nawab - Chunai Plaster"/>
    <x v="12"/>
    <x v="1"/>
    <s v="Payment"/>
    <n v="-160000"/>
  </r>
  <r>
    <x v="1153"/>
    <d v="2019-12-11T00:00:00"/>
    <s v="Rab-Nawaz (Painter)"/>
    <x v="14"/>
    <x v="1"/>
    <s v="Payment"/>
    <n v="-51000"/>
  </r>
  <r>
    <x v="1154"/>
    <d v="2019-12-11T00:00:00"/>
    <s v="Haq Nawaz Labour"/>
    <x v="0"/>
    <x v="1"/>
    <s v="Payment"/>
    <n v="-20000"/>
  </r>
  <r>
    <x v="1155"/>
    <d v="2019-12-11T00:00:00"/>
    <s v="Asif November Payment"/>
    <x v="1"/>
    <x v="1"/>
    <s v="Payment"/>
    <n v="-60000"/>
  </r>
  <r>
    <x v="1156"/>
    <d v="2019-12-11T00:00:00"/>
    <s v="Liaqat Raity Crush"/>
    <x v="9"/>
    <x v="1"/>
    <s v="Payment"/>
    <n v="-50000"/>
  </r>
  <r>
    <x v="1157"/>
    <d v="2019-12-11T00:00:00"/>
    <s v="Waterproofing Chemical"/>
    <x v="13"/>
    <x v="1"/>
    <s v="Payment"/>
    <n v="-2700"/>
  </r>
  <r>
    <x v="1158"/>
    <d v="2019-12-11T00:00:00"/>
    <s v="Pakka Kaam (Chemical)"/>
    <x v="13"/>
    <x v="1"/>
    <s v="Payment"/>
    <n v="-650"/>
  </r>
  <r>
    <x v="1159"/>
    <d v="2019-12-11T00:00:00"/>
    <s v="Khalil (Plumber)"/>
    <x v="15"/>
    <x v="1"/>
    <s v="Payment"/>
    <n v="-15000"/>
  </r>
  <r>
    <x v="1160"/>
    <d v="2019-12-14T00:00:00"/>
    <s v="Haq Nawaz Advance"/>
    <x v="0"/>
    <x v="1"/>
    <s v="Payment"/>
    <n v="-2000"/>
  </r>
  <r>
    <x v="1161"/>
    <d v="2019-12-16T00:00:00"/>
    <s v="Faisal bank Ch 00004, "/>
    <x v="8"/>
    <x v="0"/>
    <s v="Receipt"/>
    <n v="300000"/>
  </r>
  <r>
    <x v="1162"/>
    <d v="2019-12-17T00:00:00"/>
    <s v="Rab-Nawaz (Painter) Jhoolay Kay Lia"/>
    <x v="14"/>
    <x v="1"/>
    <s v="Payment"/>
    <n v="-760"/>
  </r>
  <r>
    <x v="1163"/>
    <d v="2019-12-17T00:00:00"/>
    <s v="Khalil (Plumber)"/>
    <x v="15"/>
    <x v="1"/>
    <s v="Payment"/>
    <n v="-20000"/>
  </r>
  <r>
    <x v="1164"/>
    <d v="2019-12-19T00:00:00"/>
    <s v="Ch# 00007, "/>
    <x v="8"/>
    <x v="0"/>
    <s v="Receipt"/>
    <n v="300000"/>
  </r>
  <r>
    <x v="1165"/>
    <d v="2019-12-19T00:00:00"/>
    <s v="Received from Ahmed Bhai"/>
    <x v="8"/>
    <x v="1"/>
    <s v="Receipt"/>
    <n v="100000"/>
  </r>
  <r>
    <x v="1166"/>
    <d v="2019-12-19T00:00:00"/>
    <s v="Nawab ( Chunai Plaster)"/>
    <x v="12"/>
    <x v="1"/>
    <s v="Payment"/>
    <n v="-30000"/>
  </r>
  <r>
    <x v="1167"/>
    <d v="2019-12-19T00:00:00"/>
    <s v="Rab Nawaz ( Painter)"/>
    <x v="14"/>
    <x v="1"/>
    <s v="Payment"/>
    <n v="-25000"/>
  </r>
  <r>
    <x v="1168"/>
    <d v="2019-12-19T00:00:00"/>
    <s v="Haq Nawaz "/>
    <x v="0"/>
    <x v="1"/>
    <s v="Payment"/>
    <n v="-5000"/>
  </r>
  <r>
    <x v="1169"/>
    <d v="2019-12-21T00:00:00"/>
    <s v="Electric Pipe Shuttering"/>
    <x v="0"/>
    <x v="1"/>
    <s v="Payment"/>
    <n v="-10000"/>
  </r>
  <r>
    <x v="1170"/>
    <d v="2019-12-23T00:00:00"/>
    <s v="Nawab ( Chunai Plaster)"/>
    <x v="12"/>
    <x v="1"/>
    <s v="Payment"/>
    <n v="-10000"/>
  </r>
  <r>
    <x v="1171"/>
    <d v="2019-12-23T00:00:00"/>
    <s v="Rab Nawaz ( Painter)"/>
    <x v="14"/>
    <x v="1"/>
    <s v="Payment"/>
    <n v="-2000"/>
  </r>
  <r>
    <x v="1172"/>
    <d v="2019-12-23T00:00:00"/>
    <s v="Jale Muta Chaan"/>
    <x v="2"/>
    <x v="1"/>
    <s v="Payment"/>
    <n v="-435"/>
  </r>
  <r>
    <x v="1173"/>
    <d v="2019-12-24T00:00:00"/>
    <s v="Liaqat ( Aggregate)"/>
    <x v="9"/>
    <x v="1"/>
    <s v="Payment"/>
    <n v="-50000"/>
  </r>
  <r>
    <x v="1174"/>
    <d v="2019-12-24T00:00:00"/>
    <s v="Chai"/>
    <x v="2"/>
    <x v="1"/>
    <s v="Payment"/>
    <n v="-70"/>
  </r>
  <r>
    <x v="1175"/>
    <d v="2019-12-24T00:00:00"/>
    <s v="Waterproofing Chemical"/>
    <x v="2"/>
    <x v="1"/>
    <s v="Payment"/>
    <n v="-1500"/>
  </r>
  <r>
    <x v="1176"/>
    <d v="2019-12-24T00:00:00"/>
    <s v="Bashir Electric ( Khalil)"/>
    <x v="10"/>
    <x v="1"/>
    <s v="Payment"/>
    <n v="-15000"/>
  </r>
  <r>
    <x v="1177"/>
    <d v="2019-12-26T00:00:00"/>
    <s v="Received from Ahmed Bhai Ch No  12102057 "/>
    <x v="8"/>
    <x v="1"/>
    <s v="Receipt"/>
    <n v="50000"/>
  </r>
  <r>
    <x v="1178"/>
    <d v="2019-12-26T00:00:00"/>
    <s v="Nawab Chunai Palster"/>
    <x v="12"/>
    <x v="1"/>
    <s v="Payment"/>
    <n v="-40000"/>
  </r>
  <r>
    <x v="1179"/>
    <d v="2019-12-26T00:00:00"/>
    <s v="Electric Pipe Shuttering"/>
    <x v="0"/>
    <x v="1"/>
    <s v="Payment"/>
    <n v="-18000"/>
  </r>
  <r>
    <x v="1180"/>
    <d v="2019-12-26T00:00:00"/>
    <s v="Rab Nawaz ( Painter)"/>
    <x v="14"/>
    <x v="1"/>
    <s v="Payment"/>
    <n v="-8000"/>
  </r>
  <r>
    <x v="1181"/>
    <d v="2019-12-26T00:00:00"/>
    <s v="Haq Nawaz "/>
    <x v="0"/>
    <x v="1"/>
    <s v="Payment"/>
    <n v="-1000"/>
  </r>
  <r>
    <x v="1182"/>
    <d v="2019-12-27T00:00:00"/>
    <s v="Trolly Tube 27/5/19"/>
    <x v="2"/>
    <x v="1"/>
    <s v="Payment"/>
    <n v="-260"/>
  </r>
  <r>
    <x v="1183"/>
    <d v="2019-12-27T00:00:00"/>
    <s v="Steel Nails 21/6/19"/>
    <x v="2"/>
    <x v="1"/>
    <s v="Payment"/>
    <n v="-560"/>
  </r>
  <r>
    <x v="1184"/>
    <d v="2019-12-31T00:00:00"/>
    <s v="Haq Nawaz"/>
    <x v="0"/>
    <x v="1"/>
    <s v="Payment"/>
    <n v="-1800"/>
  </r>
  <r>
    <x v="1185"/>
    <d v="2019-12-31T00:00:00"/>
    <s v="Rab Nawaz ( Painter)"/>
    <x v="14"/>
    <x v="1"/>
    <s v="Payment"/>
    <n v="-2000"/>
  </r>
  <r>
    <x v="1186"/>
    <m/>
    <m/>
    <x v="11"/>
    <x v="2"/>
    <m/>
    <m/>
  </r>
  <r>
    <x v="1187"/>
    <d v="2020-01-02T00:00:00"/>
    <s v="Received from Ahmed Bhai Cash"/>
    <x v="8"/>
    <x v="1"/>
    <s v="Receipt"/>
    <n v="80000"/>
  </r>
  <r>
    <x v="1188"/>
    <d v="2020-01-04T00:00:00"/>
    <s v="Received from Ahmed Bhai Cash"/>
    <x v="8"/>
    <x v="1"/>
    <s v="Receipt"/>
    <n v="80000"/>
  </r>
  <r>
    <x v="1189"/>
    <d v="2020-01-04T00:00:00"/>
    <s v="Nawab Chunai Palster"/>
    <x v="12"/>
    <x v="1"/>
    <s v="Payment"/>
    <n v="-80000"/>
  </r>
  <r>
    <x v="1190"/>
    <d v="2020-01-06T00:00:00"/>
    <s v="Rab Nawaz ( Painter)"/>
    <x v="14"/>
    <x v="1"/>
    <s v="Payment"/>
    <n v="-70000"/>
  </r>
  <r>
    <x v="1191"/>
    <d v="2020-01-06T00:00:00"/>
    <s v="Haq Nawaz "/>
    <x v="0"/>
    <x v="1"/>
    <s v="Payment"/>
    <n v="-2000"/>
  </r>
  <r>
    <x v="1192"/>
    <d v="2020-01-07T00:00:00"/>
    <s v="Received from Ahmed Bhai Cash"/>
    <x v="8"/>
    <x v="1"/>
    <s v="Receipt"/>
    <n v="50000"/>
  </r>
  <r>
    <x v="1193"/>
    <d v="2020-01-07T00:00:00"/>
    <s v="Nawab Chunai Palster"/>
    <x v="12"/>
    <x v="1"/>
    <s v="Payment"/>
    <n v="-10000"/>
  </r>
  <r>
    <x v="1194"/>
    <d v="2020-01-07T00:00:00"/>
    <s v="Babar Labour"/>
    <x v="0"/>
    <x v="1"/>
    <s v="Payment"/>
    <n v="-3000"/>
  </r>
  <r>
    <x v="1195"/>
    <d v="2020-01-07T00:00:00"/>
    <s v="Khalil (Plumber)"/>
    <x v="15"/>
    <x v="1"/>
    <s v="Payment"/>
    <n v="-25000"/>
  </r>
  <r>
    <x v="1196"/>
    <d v="2020-01-07T00:00:00"/>
    <s v="Nawaz (Labour) Month Dec-19 Payment"/>
    <x v="0"/>
    <x v="1"/>
    <s v="Payment"/>
    <n v="-13650"/>
  </r>
  <r>
    <x v="1197"/>
    <d v="2020-01-07T00:00:00"/>
    <s v="Haq Nawaz "/>
    <x v="0"/>
    <x v="1"/>
    <s v="Payment"/>
    <n v="-450"/>
  </r>
  <r>
    <x v="1198"/>
    <d v="2020-01-07T00:00:00"/>
    <s v="Received from Ahmed Bhai Cash"/>
    <x v="8"/>
    <x v="1"/>
    <s v="Receipt"/>
    <n v="150000"/>
  </r>
  <r>
    <x v="1199"/>
    <d v="2020-01-07T00:00:00"/>
    <s v="Nawab Chunai Palster"/>
    <x v="12"/>
    <x v="1"/>
    <s v="Payment"/>
    <n v="-60000"/>
  </r>
  <r>
    <x v="1200"/>
    <d v="2020-01-07T00:00:00"/>
    <s v="Rab Nawaz ( Painter)"/>
    <x v="14"/>
    <x v="1"/>
    <s v="Payment"/>
    <n v="-30000"/>
  </r>
  <r>
    <x v="1201"/>
    <d v="2020-01-14T00:00:00"/>
    <s v="Received from Ahmed Bhai Cash"/>
    <x v="8"/>
    <x v="1"/>
    <s v="Receipt"/>
    <n v="30000"/>
  </r>
  <r>
    <x v="1202"/>
    <d v="2020-01-14T00:00:00"/>
    <s v="Nawab Chunai Palster"/>
    <x v="12"/>
    <x v="1"/>
    <s v="Payment"/>
    <n v="-30000"/>
  </r>
  <r>
    <x v="1203"/>
    <d v="2020-01-15T00:00:00"/>
    <s v="Khalil (Plumber)"/>
    <x v="15"/>
    <x v="1"/>
    <s v="Payment"/>
    <n v="-25000"/>
  </r>
  <r>
    <x v="1204"/>
    <d v="2020-01-15T00:00:00"/>
    <s v="Asif Bhai      Month Dec-19 Payment"/>
    <x v="1"/>
    <x v="1"/>
    <s v="Payment"/>
    <n v="-60000"/>
  </r>
  <r>
    <x v="1205"/>
    <d v="2020-01-15T00:00:00"/>
    <s v="4&quot; Disk, 2Nos"/>
    <x v="2"/>
    <x v="1"/>
    <s v="Payment"/>
    <n v="-100"/>
  </r>
  <r>
    <x v="1206"/>
    <d v="2020-01-15T00:00:00"/>
    <s v="Tea for labour"/>
    <x v="2"/>
    <x v="1"/>
    <s v="Payment"/>
    <n v="-50"/>
  </r>
  <r>
    <x v="1207"/>
    <d v="2020-01-18T00:00:00"/>
    <s v="Received from Ahmed Bhai Cash"/>
    <x v="8"/>
    <x v="1"/>
    <s v="Receipt"/>
    <n v="70000"/>
  </r>
  <r>
    <x v="1208"/>
    <d v="2020-01-18T00:00:00"/>
    <s v="Nawab Chunai Palster"/>
    <x v="12"/>
    <x v="1"/>
    <s v="Payment"/>
    <n v="-50000"/>
  </r>
  <r>
    <x v="1209"/>
    <d v="2020-01-18T00:00:00"/>
    <s v="Haq Nawaz "/>
    <x v="0"/>
    <x v="1"/>
    <s v="Payment"/>
    <n v="-5000"/>
  </r>
  <r>
    <x v="1210"/>
    <d v="2020-01-18T00:00:00"/>
    <s v="Rab Nawaz ( Painter)"/>
    <x v="14"/>
    <x v="1"/>
    <s v="Payment"/>
    <n v="-12000"/>
  </r>
  <r>
    <x v="1211"/>
    <d v="2020-01-20T00:00:00"/>
    <s v="Liaqat ( Aggregate) HBL Chq#-0141"/>
    <x v="9"/>
    <x v="1"/>
    <s v="Payment"/>
    <n v="-60000"/>
  </r>
  <r>
    <x v="1212"/>
    <d v="2020-01-20T00:00:00"/>
    <s v="Received from Ahmed Bhai Cash"/>
    <x v="8"/>
    <x v="1"/>
    <s v="Receipt"/>
    <n v="50000"/>
  </r>
  <r>
    <x v="1213"/>
    <d v="2020-01-20T00:00:00"/>
    <s v="Nawab Chunai Palster"/>
    <x v="12"/>
    <x v="1"/>
    <s v="Payment"/>
    <n v="-30000"/>
  </r>
  <r>
    <x v="1214"/>
    <d v="2020-01-20T00:00:00"/>
    <s v="Rab Nawaz ( Painter)"/>
    <x v="14"/>
    <x v="1"/>
    <s v="Payment"/>
    <n v="-20000"/>
  </r>
  <r>
    <x v="1215"/>
    <d v="2020-01-21T00:00:00"/>
    <s v="Received from Ahmed Bhai Cash"/>
    <x v="8"/>
    <x v="1"/>
    <s v="Receipt"/>
    <n v="200000"/>
  </r>
  <r>
    <x v="1216"/>
    <d v="2020-01-21T00:00:00"/>
    <s v="Nawab Chunai Palster"/>
    <x v="12"/>
    <x v="1"/>
    <s v="Payment"/>
    <n v="-50000"/>
  </r>
  <r>
    <x v="1217"/>
    <d v="2020-01-21T00:00:00"/>
    <s v="Khalil (Plumber)"/>
    <x v="15"/>
    <x v="1"/>
    <s v="Payment"/>
    <n v="-3000"/>
  </r>
  <r>
    <x v="1218"/>
    <d v="2020-01-25T00:00:00"/>
    <s v="Rab Nawaz ( Painter)"/>
    <x v="14"/>
    <x v="1"/>
    <s v="Payment"/>
    <n v="-11000"/>
  </r>
  <r>
    <x v="1219"/>
    <d v="2020-01-25T00:00:00"/>
    <s v="Nawab labour payment"/>
    <x v="0"/>
    <x v="1"/>
    <s v="Payment"/>
    <n v="-14400"/>
  </r>
  <r>
    <x v="1220"/>
    <d v="2020-01-25T00:00:00"/>
    <s v="Haq Nawaz "/>
    <x v="0"/>
    <x v="1"/>
    <s v="Payment"/>
    <n v="-1000"/>
  </r>
  <r>
    <x v="1221"/>
    <d v="2020-01-26T00:00:00"/>
    <s v="Bashir (Electric)"/>
    <x v="10"/>
    <x v="1"/>
    <s v="Payment"/>
    <n v="-15000"/>
  </r>
  <r>
    <x v="1222"/>
    <d v="2020-01-26T00:00:00"/>
    <s v="Rab Nawaz ( Painter)"/>
    <x v="14"/>
    <x v="1"/>
    <s v="Payment"/>
    <n v="-2000"/>
  </r>
  <r>
    <x v="1223"/>
    <d v="2020-01-26T00:00:00"/>
    <s v="Tea for labour"/>
    <x v="2"/>
    <x v="1"/>
    <s v="Payment"/>
    <n v="-100"/>
  </r>
  <r>
    <x v="1224"/>
    <d v="2020-01-29T00:00:00"/>
    <s v="Received from Ahmed Bhai Cash"/>
    <x v="8"/>
    <x v="1"/>
    <s v="Receipt"/>
    <n v="50000"/>
  </r>
  <r>
    <x v="1225"/>
    <d v="2020-01-29T00:00:00"/>
    <s v="Nawab Chunai Palster"/>
    <x v="12"/>
    <x v="1"/>
    <s v="Payment"/>
    <n v="-30000"/>
  </r>
  <r>
    <x v="1226"/>
    <d v="2020-01-29T00:00:00"/>
    <s v="Tea for labour"/>
    <x v="2"/>
    <x v="1"/>
    <s v="Payment"/>
    <n v="-100"/>
  </r>
  <r>
    <x v="1227"/>
    <d v="2020-01-29T00:00:00"/>
    <s v="Cheni Banwai"/>
    <x v="2"/>
    <x v="1"/>
    <s v="Payment"/>
    <n v="-30"/>
  </r>
  <r>
    <x v="1228"/>
    <d v="2020-01-31T00:00:00"/>
    <s v="Tea for labour"/>
    <x v="2"/>
    <x v="1"/>
    <s v="Payment"/>
    <n v="-100"/>
  </r>
  <r>
    <x v="1229"/>
    <d v="2020-02-02T00:00:00"/>
    <s v="Rab Nawaz ( Painter)"/>
    <x v="14"/>
    <x v="1"/>
    <s v="Payment"/>
    <n v="-10000"/>
  </r>
  <r>
    <x v="1230"/>
    <d v="2020-02-02T00:00:00"/>
    <s v="Haq Nawaz   Month Jan-20 Payment"/>
    <x v="0"/>
    <x v="1"/>
    <s v="Payment"/>
    <n v="-15050"/>
  </r>
  <r>
    <x v="1231"/>
    <d v="2020-02-03T00:00:00"/>
    <s v="Received from Ahmed Bhai Cash"/>
    <x v="8"/>
    <x v="1"/>
    <s v="Receipt"/>
    <n v="150000"/>
  </r>
  <r>
    <x v="1232"/>
    <d v="2020-02-04T00:00:00"/>
    <s v="Nawab Chunai Palster"/>
    <x v="12"/>
    <x v="1"/>
    <s v="Payment"/>
    <n v="-80000"/>
  </r>
  <r>
    <x v="1233"/>
    <d v="2020-02-04T00:00:00"/>
    <s v="Rab Nawaz ( Painter)"/>
    <x v="14"/>
    <x v="1"/>
    <s v="Payment"/>
    <n v="-90000"/>
  </r>
  <r>
    <x v="1234"/>
    <d v="2020-02-09T00:00:00"/>
    <s v="Haq Nawaz "/>
    <x v="0"/>
    <x v="1"/>
    <s v="Payment"/>
    <n v="-1000"/>
  </r>
  <r>
    <x v="1235"/>
    <d v="2020-02-01T00:00:00"/>
    <s v="Khalil (Plumber)"/>
    <x v="15"/>
    <x v="1"/>
    <s v="Payment"/>
    <n v="-10000"/>
  </r>
  <r>
    <x v="1236"/>
    <d v="2020-02-08T00:00:00"/>
    <s v="Rab Nawaz ( Painter)"/>
    <x v="14"/>
    <x v="1"/>
    <s v="Payment"/>
    <n v="-5000"/>
  </r>
  <r>
    <x v="1237"/>
    <d v="2020-02-09T00:00:00"/>
    <s v="Received from Ahmed Bhai Cash"/>
    <x v="8"/>
    <x v="1"/>
    <s v="Receipt"/>
    <n v="100000"/>
  </r>
  <r>
    <x v="1238"/>
    <d v="2020-02-09T00:00:00"/>
    <s v="Asif Bhai      Month Jan20 Payment"/>
    <x v="1"/>
    <x v="1"/>
    <s v="Payment"/>
    <n v="-60000"/>
  </r>
  <r>
    <x v="1239"/>
    <d v="2020-02-09T00:00:00"/>
    <s v="Nawab Chunai Palster"/>
    <x v="12"/>
    <x v="1"/>
    <s v="Payment"/>
    <n v="-50000"/>
  </r>
  <r>
    <x v="1240"/>
    <d v="2020-02-09T00:00:00"/>
    <s v="Haq Nawaz "/>
    <x v="0"/>
    <x v="1"/>
    <s v="Payment"/>
    <n v="-5000"/>
  </r>
  <r>
    <x v="1241"/>
    <d v="2020-02-09T00:00:00"/>
    <s v="Rab Nawaz ( Painter)"/>
    <x v="14"/>
    <x v="1"/>
    <s v="Payment"/>
    <n v="-2000"/>
  </r>
  <r>
    <x v="1242"/>
    <d v="2020-02-11T00:00:00"/>
    <s v="Liaqat ( Aggregate)"/>
    <x v="9"/>
    <x v="1"/>
    <s v="Payment"/>
    <n v="-18000"/>
  </r>
  <r>
    <x v="1243"/>
    <d v="2020-02-11T00:00:00"/>
    <s v="Received from Ahmed Bhai Cash"/>
    <x v="8"/>
    <x v="1"/>
    <s v="Receipt"/>
    <n v="30000"/>
  </r>
  <r>
    <x v="1244"/>
    <d v="2020-02-12T00:00:00"/>
    <s v="Nawab Chunai Palster"/>
    <x v="12"/>
    <x v="1"/>
    <s v="Payment"/>
    <n v="-30000"/>
  </r>
  <r>
    <x v="1245"/>
    <d v="2020-02-13T00:00:00"/>
    <s v="Received from Ahmed Bhai Cash"/>
    <x v="8"/>
    <x v="1"/>
    <s v="Receipt"/>
    <n v="30000"/>
  </r>
  <r>
    <x v="1246"/>
    <d v="2020-02-13T00:00:00"/>
    <s v="Jalal Labour"/>
    <x v="0"/>
    <x v="1"/>
    <s v="Payment"/>
    <n v="-500"/>
  </r>
  <r>
    <x v="1247"/>
    <d v="2020-02-13T00:00:00"/>
    <s v="Rab Nawaz ( Painter)"/>
    <x v="14"/>
    <x v="1"/>
    <s v="Payment"/>
    <n v="-12000"/>
  </r>
  <r>
    <x v="1248"/>
    <d v="2020-02-13T00:00:00"/>
    <s v="Khalil (Plumber)"/>
    <x v="15"/>
    <x v="1"/>
    <s v="Payment"/>
    <n v="-20000"/>
  </r>
  <r>
    <x v="1249"/>
    <d v="2020-02-13T00:00:00"/>
    <s v="Rab Nawaz ( Painter)"/>
    <x v="14"/>
    <x v="1"/>
    <s v="Payment"/>
    <n v="-2000"/>
  </r>
  <r>
    <x v="1250"/>
    <d v="2020-02-16T00:00:00"/>
    <s v="Tea for labour"/>
    <x v="2"/>
    <x v="1"/>
    <s v="Payment"/>
    <n v="-100"/>
  </r>
  <r>
    <x v="1251"/>
    <d v="2020-02-16T00:00:00"/>
    <s v="Nawab Chunai Palster"/>
    <x v="12"/>
    <x v="1"/>
    <s v="Payment"/>
    <n v="-5000"/>
  </r>
  <r>
    <x v="1252"/>
    <d v="2020-02-16T00:00:00"/>
    <s v="Haq Nawaz "/>
    <x v="0"/>
    <x v="1"/>
    <s v="Payment"/>
    <n v="-5000"/>
  </r>
  <r>
    <x v="1253"/>
    <d v="2020-02-18T00:00:00"/>
    <s v="Rab Nawaz ( Painter)"/>
    <x v="14"/>
    <x v="1"/>
    <s v="Payment"/>
    <n v="-2000"/>
  </r>
  <r>
    <x v="1254"/>
    <d v="2020-02-19T00:00:00"/>
    <s v="Received from Ahmed Bhai Cash"/>
    <x v="8"/>
    <x v="1"/>
    <s v="Receipt"/>
    <n v="30000"/>
  </r>
  <r>
    <x v="1255"/>
    <d v="2020-02-19T00:00:00"/>
    <s v="Nawab Chunai Palster"/>
    <x v="12"/>
    <x v="1"/>
    <s v="Payment"/>
    <n v="-30000"/>
  </r>
  <r>
    <x v="1256"/>
    <d v="2020-02-20T00:00:00"/>
    <s v="Kashif (Steel)"/>
    <x v="7"/>
    <x v="1"/>
    <s v="Payment"/>
    <n v="-5000"/>
  </r>
  <r>
    <x v="1257"/>
    <d v="2020-02-20T00:00:00"/>
    <s v="Rab Nawaz ( Painter)"/>
    <x v="14"/>
    <x v="1"/>
    <s v="Payment"/>
    <n v="-5000"/>
  </r>
  <r>
    <x v="1258"/>
    <d v="2020-02-20T00:00:00"/>
    <s v="Tea for labour"/>
    <x v="2"/>
    <x v="1"/>
    <s v="Payment"/>
    <n v="-50"/>
  </r>
  <r>
    <x v="1259"/>
    <d v="2020-02-20T00:00:00"/>
    <s v="Received from Ahmed Bhai Cash"/>
    <x v="8"/>
    <x v="1"/>
    <s v="Receipt"/>
    <n v="50000"/>
  </r>
  <r>
    <x v="1260"/>
    <d v="2020-02-20T00:00:00"/>
    <s v="Nawab Chunai Palster"/>
    <x v="12"/>
    <x v="1"/>
    <s v="Payment"/>
    <n v="-50000"/>
  </r>
  <r>
    <x v="1261"/>
    <d v="2020-02-22T00:00:00"/>
    <s v="Bashir (Electric)"/>
    <x v="10"/>
    <x v="1"/>
    <s v="Payment"/>
    <n v="-20000"/>
  </r>
  <r>
    <x v="1262"/>
    <d v="2020-02-22T00:00:00"/>
    <s v="Kashif (Steel)"/>
    <x v="7"/>
    <x v="1"/>
    <s v="Payment"/>
    <n v="-5000"/>
  </r>
  <r>
    <x v="1263"/>
    <d v="2020-02-22T00:00:00"/>
    <s v="Sabir (Bathroom Repairing)"/>
    <x v="0"/>
    <x v="1"/>
    <s v="Payment"/>
    <n v="-4000"/>
  </r>
  <r>
    <x v="1264"/>
    <d v="2020-02-22T00:00:00"/>
    <s v="Received from Ahmed Bhai Cash"/>
    <x v="8"/>
    <x v="1"/>
    <s v="Receipt"/>
    <n v="50000"/>
  </r>
  <r>
    <x v="1265"/>
    <d v="2020-02-25T00:00:00"/>
    <s v="Rab Nawaz ( Painter)"/>
    <x v="14"/>
    <x v="1"/>
    <s v="Payment"/>
    <n v="-2000"/>
  </r>
  <r>
    <x v="1266"/>
    <d v="2020-02-28T00:00:00"/>
    <s v="Nawab Chunai Palster"/>
    <x v="12"/>
    <x v="1"/>
    <s v="Payment"/>
    <n v="-10000"/>
  </r>
  <r>
    <x v="1267"/>
    <d v="2020-02-28T00:00:00"/>
    <s v="Rab Nawaz ( Painter)"/>
    <x v="14"/>
    <x v="1"/>
    <s v="Payment"/>
    <n v="-20000"/>
  </r>
  <r>
    <x v="1268"/>
    <d v="2020-03-02T00:00:00"/>
    <s v="Received from Ahmed Bhai Cash"/>
    <x v="8"/>
    <x v="1"/>
    <s v="Receipt"/>
    <n v="125000"/>
  </r>
  <r>
    <x v="1269"/>
    <d v="2020-03-02T00:00:00"/>
    <s v="Bashir (Electric)"/>
    <x v="10"/>
    <x v="1"/>
    <s v="Payment"/>
    <n v="-50000"/>
  </r>
  <r>
    <x v="1270"/>
    <d v="2020-03-02T00:00:00"/>
    <s v="Nawab Chunai Palster"/>
    <x v="12"/>
    <x v="1"/>
    <s v="Payment"/>
    <n v="-50000"/>
  </r>
  <r>
    <x v="1271"/>
    <d v="2020-03-04T00:00:00"/>
    <s v="Rab Nawaz ( Painter)"/>
    <x v="14"/>
    <x v="1"/>
    <s v="Payment"/>
    <n v="-2000"/>
  </r>
  <r>
    <x v="1272"/>
    <d v="2020-03-10T00:00:00"/>
    <s v="Babar Labour"/>
    <x v="0"/>
    <x v="1"/>
    <s v="Payment"/>
    <n v="-2700"/>
  </r>
  <r>
    <x v="1273"/>
    <d v="2020-03-11T00:00:00"/>
    <s v="Haq Nawaz   Month Feb-20 Payment"/>
    <x v="0"/>
    <x v="1"/>
    <s v="Payment"/>
    <n v="-300"/>
  </r>
  <r>
    <x v="1274"/>
    <d v="2020-03-11T00:00:00"/>
    <s v="Received from Ahmed Bhai Cash"/>
    <x v="8"/>
    <x v="1"/>
    <s v="Receipt"/>
    <n v="50000"/>
  </r>
  <r>
    <x v="1275"/>
    <d v="2020-03-12T00:00:00"/>
    <s v="Received from Ahmed Bhai Cash"/>
    <x v="8"/>
    <x v="1"/>
    <s v="Receipt"/>
    <n v="100000"/>
  </r>
  <r>
    <x v="1276"/>
    <d v="2020-03-12T00:00:00"/>
    <s v="Bashir (Electric)"/>
    <x v="10"/>
    <x v="1"/>
    <s v="Payment"/>
    <n v="-30000"/>
  </r>
  <r>
    <x v="1277"/>
    <d v="2020-03-12T00:00:00"/>
    <s v="Nawab Chunai Palster"/>
    <x v="12"/>
    <x v="1"/>
    <s v="Payment"/>
    <n v="-50000"/>
  </r>
  <r>
    <x v="1278"/>
    <d v="2020-03-12T00:00:00"/>
    <s v="Asif Bhai      Month Feb-20 Payment"/>
    <x v="1"/>
    <x v="1"/>
    <s v="Payment"/>
    <n v="-60000"/>
  </r>
  <r>
    <x v="1279"/>
    <d v="2020-03-15T00:00:00"/>
    <s v="4th floor block shifting"/>
    <x v="0"/>
    <x v="1"/>
    <s v="Payment"/>
    <n v="-12400"/>
  </r>
  <r>
    <x v="1280"/>
    <d v="2020-03-15T00:00:00"/>
    <s v="Rab Nawaz ( Painter)"/>
    <x v="14"/>
    <x v="1"/>
    <s v="Payment"/>
    <n v="-2000"/>
  </r>
  <r>
    <x v="1281"/>
    <d v="2020-03-15T00:00:00"/>
    <s v="Sand shifting on roof top"/>
    <x v="0"/>
    <x v="1"/>
    <s v="Payment"/>
    <n v="-4500"/>
  </r>
  <r>
    <x v="1282"/>
    <d v="2020-03-18T00:00:00"/>
    <s v="Received from Ahmed Bhai Cash"/>
    <x v="8"/>
    <x v="1"/>
    <s v="Receipt"/>
    <n v="80000"/>
  </r>
  <r>
    <x v="1283"/>
    <d v="2020-03-18T00:00:00"/>
    <s v="Bashir (Electric)"/>
    <x v="10"/>
    <x v="1"/>
    <s v="Payment"/>
    <n v="-20000"/>
  </r>
  <r>
    <x v="1284"/>
    <d v="2020-03-18T00:00:00"/>
    <s v="Rab Nawaz ( Painter)"/>
    <x v="14"/>
    <x v="1"/>
    <s v="Payment"/>
    <n v="-10000"/>
  </r>
  <r>
    <x v="1285"/>
    <d v="2020-03-18T00:00:00"/>
    <s v="Nawab Chunai Palster"/>
    <x v="12"/>
    <x v="1"/>
    <s v="Payment"/>
    <n v="-13000"/>
  </r>
  <r>
    <x v="1286"/>
    <d v="2020-03-29T00:00:00"/>
    <s v="Received from Ahmed Bhai Cash"/>
    <x v="8"/>
    <x v="1"/>
    <s v="Receipt"/>
    <n v="50000"/>
  </r>
  <r>
    <x v="1287"/>
    <d v="2020-03-29T00:00:00"/>
    <s v="Nawab Chunai Palster"/>
    <x v="12"/>
    <x v="1"/>
    <s v="Payment"/>
    <n v="-50000"/>
  </r>
  <r>
    <x v="1288"/>
    <d v="2020-04-02T00:00:00"/>
    <s v="Haq Nawaz   Month Mar-20 Payment"/>
    <x v="0"/>
    <x v="1"/>
    <s v="Payment"/>
    <n v="-6650"/>
  </r>
  <r>
    <x v="1289"/>
    <d v="2020-04-07T00:00:00"/>
    <s v="Rab Nawaz ( Painter)"/>
    <x v="14"/>
    <x v="1"/>
    <s v="Payment"/>
    <n v="-10000"/>
  </r>
  <r>
    <x v="1290"/>
    <d v="2020-04-18T00:00:00"/>
    <s v="Asif Bhai      Month Mar-20 Payment"/>
    <x v="1"/>
    <x v="1"/>
    <s v="Payment"/>
    <n v="-60000"/>
  </r>
  <r>
    <x v="1291"/>
    <d v="2020-04-27T00:00:00"/>
    <s v="Haq Nawaz "/>
    <x v="0"/>
    <x v="1"/>
    <s v="Payment"/>
    <n v="-1000"/>
  </r>
  <r>
    <x v="1292"/>
    <d v="2020-04-27T00:00:00"/>
    <s v="Haq Nawaz "/>
    <x v="0"/>
    <x v="1"/>
    <s v="Payment"/>
    <n v="-2000"/>
  </r>
  <r>
    <x v="1293"/>
    <d v="2020-04-27T00:00:00"/>
    <s v="Roof Leveling/Thiya (Masson+Labour)"/>
    <x v="0"/>
    <x v="1"/>
    <s v="Payment"/>
    <n v="-6500"/>
  </r>
  <r>
    <x v="1294"/>
    <d v="2020-04-29T00:00:00"/>
    <s v="Received from Ahmed Bhai Cash"/>
    <x v="8"/>
    <x v="1"/>
    <s v="Receipt"/>
    <n v="80000"/>
  </r>
  <r>
    <x v="1295"/>
    <d v="2020-04-29T00:00:00"/>
    <s v="Slab Cutting Hilti"/>
    <x v="0"/>
    <x v="1"/>
    <s v="Payment"/>
    <n v="-2600"/>
  </r>
  <r>
    <x v="1296"/>
    <d v="2020-04-29T00:00:00"/>
    <s v="Rab Nawaz ( Painter)"/>
    <x v="14"/>
    <x v="1"/>
    <s v="Payment"/>
    <n v="-5000"/>
  </r>
  <r>
    <x v="1297"/>
    <d v="2020-05-01T00:00:00"/>
    <s v="Haq Nawaz "/>
    <x v="0"/>
    <x v="1"/>
    <s v="Payment"/>
    <n v="-1000"/>
  </r>
  <r>
    <x v="1298"/>
    <d v="2020-05-02T00:00:00"/>
    <s v="Haq Nawaz "/>
    <x v="0"/>
    <x v="1"/>
    <s v="Payment"/>
    <n v="-1000"/>
  </r>
  <r>
    <x v="1299"/>
    <d v="2020-05-03T00:00:00"/>
    <s v="Received from Ahmed Bhai Cash"/>
    <x v="8"/>
    <x v="1"/>
    <s v="Receipt"/>
    <n v="100000"/>
  </r>
  <r>
    <x v="1300"/>
    <d v="2020-05-04T00:00:00"/>
    <s v="Gull Nawaz (Pouring) Screeding"/>
    <x v="6"/>
    <x v="1"/>
    <s v="Payment"/>
    <n v="-55000"/>
  </r>
  <r>
    <x v="1301"/>
    <d v="2020-05-04T00:00:00"/>
    <s v="Masson+Labour (Screeding)"/>
    <x v="0"/>
    <x v="1"/>
    <s v="Payment"/>
    <n v="-26500"/>
  </r>
  <r>
    <x v="1302"/>
    <d v="2020-05-04T00:00:00"/>
    <s v="Gloves 2 Nos."/>
    <x v="2"/>
    <x v="1"/>
    <s v="Payment"/>
    <n v="-450"/>
  </r>
  <r>
    <x v="1303"/>
    <d v="2020-05-04T00:00:00"/>
    <s v="Haq Nawaz   Month Apr-20 Payment"/>
    <x v="0"/>
    <x v="1"/>
    <s v="Payment"/>
    <n v="-4600"/>
  </r>
  <r>
    <x v="1304"/>
    <d v="2020-05-04T00:00:00"/>
    <s v="Rab Nawaz ( Painter)"/>
    <x v="14"/>
    <x v="1"/>
    <s v="Payment"/>
    <n v="-2000"/>
  </r>
  <r>
    <x v="1305"/>
    <d v="2020-05-13T00:00:00"/>
    <s v="Masson+Labour (Shop Repairing)"/>
    <x v="0"/>
    <x v="1"/>
    <s v="Payment"/>
    <n v="-3000"/>
  </r>
  <r>
    <x v="1306"/>
    <d v="2020-05-13T00:00:00"/>
    <s v="Rab Nawaz ( Painter)"/>
    <x v="14"/>
    <x v="1"/>
    <s v="Payment"/>
    <n v="-2000"/>
  </r>
  <r>
    <x v="1307"/>
    <d v="2020-05-14T00:00:00"/>
    <s v="Grinder Disk"/>
    <x v="2"/>
    <x v="1"/>
    <s v="Payment"/>
    <n v="-410"/>
  </r>
  <r>
    <x v="1308"/>
    <d v="2020-05-14T00:00:00"/>
    <s v="Received from Ahmed Bhai Cash"/>
    <x v="8"/>
    <x v="1"/>
    <s v="Receipt"/>
    <n v="90000"/>
  </r>
  <r>
    <x v="1309"/>
    <d v="2020-05-14T00:00:00"/>
    <s v="Khalil (Plumber)"/>
    <x v="15"/>
    <x v="1"/>
    <s v="Payment"/>
    <n v="-10000"/>
  </r>
  <r>
    <x v="1310"/>
    <d v="2020-05-16T00:00:00"/>
    <s v="Labour Nawab (Ali Shop Tile Work)"/>
    <x v="0"/>
    <x v="1"/>
    <s v="Payment"/>
    <n v="-12300"/>
  </r>
  <r>
    <x v="1311"/>
    <d v="2020-05-16T00:00:00"/>
    <s v="Haq Nawaz "/>
    <x v="0"/>
    <x v="1"/>
    <s v="Payment"/>
    <n v="-2000"/>
  </r>
  <r>
    <x v="1312"/>
    <d v="2020-05-17T00:00:00"/>
    <s v="Haq Nawaz "/>
    <x v="0"/>
    <x v="1"/>
    <s v="Payment"/>
    <n v="-1000"/>
  </r>
  <r>
    <x v="1313"/>
    <d v="2020-05-18T00:00:00"/>
    <s v="Received from Ahmed Bhai Cash"/>
    <x v="8"/>
    <x v="1"/>
    <s v="Receipt"/>
    <n v="180000"/>
  </r>
  <r>
    <x v="1314"/>
    <d v="2020-05-19T00:00:00"/>
    <s v="Nawab Chunai Palster"/>
    <x v="12"/>
    <x v="1"/>
    <s v="Payment"/>
    <n v="-100000"/>
  </r>
  <r>
    <x v="1315"/>
    <d v="2020-05-19T00:00:00"/>
    <s v="Khalil (Plumber)"/>
    <x v="15"/>
    <x v="1"/>
    <s v="Payment"/>
    <n v="-10000"/>
  </r>
  <r>
    <x v="1316"/>
    <d v="2020-05-20T00:00:00"/>
    <s v="Rab Nawaz ( Painter)"/>
    <x v="14"/>
    <x v="1"/>
    <s v="Payment"/>
    <n v="-25000"/>
  </r>
  <r>
    <x v="1317"/>
    <d v="2020-05-20T00:00:00"/>
    <s v="Haq Nawaz "/>
    <x v="0"/>
    <x v="1"/>
    <s v="Payment"/>
    <n v="-10000"/>
  </r>
  <r>
    <x v="1318"/>
    <d v="2020-05-20T00:00:00"/>
    <s v="Asif Eidi-2020"/>
    <x v="1"/>
    <x v="1"/>
    <s v="Payment"/>
    <n v="-10000"/>
  </r>
  <r>
    <x v="1319"/>
    <d v="2020-06-02T00:00:00"/>
    <s v="Labour Nawab (Ali Shop Bath Work)"/>
    <x v="0"/>
    <x v="1"/>
    <s v="Payment"/>
    <n v="-2000"/>
  </r>
  <r>
    <x v="1320"/>
    <d v="2020-06-02T00:00:00"/>
    <s v="Rab Nawaz ( Painter)"/>
    <x v="14"/>
    <x v="1"/>
    <s v="Payment"/>
    <n v="-1000"/>
  </r>
  <r>
    <x v="1321"/>
    <d v="2020-06-02T00:00:00"/>
    <s v="Haq Nawaz   Month May-20 Payment"/>
    <x v="0"/>
    <x v="1"/>
    <s v="Payment"/>
    <n v="-4000"/>
  </r>
  <r>
    <x v="1322"/>
    <d v="2020-06-04T00:00:00"/>
    <s v="Lift Slab Shuttring "/>
    <x v="0"/>
    <x v="1"/>
    <s v="Payment"/>
    <n v="-8000"/>
  </r>
  <r>
    <x v="1323"/>
    <d v="2020-06-04T00:00:00"/>
    <s v="Received from Ahmed BhaiChq#A-2763"/>
    <x v="8"/>
    <x v="1"/>
    <s v="Receipt"/>
    <n v="200000"/>
  </r>
  <r>
    <x v="1324"/>
    <d v="2020-06-07T00:00:00"/>
    <s v="Haq Nawaz "/>
    <x v="0"/>
    <x v="1"/>
    <s v="Payment"/>
    <n v="-5000"/>
  </r>
  <r>
    <x v="1325"/>
    <d v="2020-06-07T00:00:00"/>
    <s v="Lift Back Side Concrete"/>
    <x v="0"/>
    <x v="1"/>
    <s v="Payment"/>
    <n v="-1800"/>
  </r>
  <r>
    <x v="1326"/>
    <d v="2020-06-08T00:00:00"/>
    <s v="Nawab Chunai Palster"/>
    <x v="12"/>
    <x v="1"/>
    <s v="Payment"/>
    <n v="-50000"/>
  </r>
  <r>
    <x v="1327"/>
    <d v="2020-06-15T00:00:00"/>
    <s v="Lift Slab Shuttring "/>
    <x v="0"/>
    <x v="1"/>
    <s v="Payment"/>
    <n v="-2000"/>
  </r>
  <r>
    <x v="1328"/>
    <d v="2020-06-15T00:00:00"/>
    <s v="Haq Nawaz "/>
    <x v="0"/>
    <x v="1"/>
    <s v="Payment"/>
    <n v="-1000"/>
  </r>
  <r>
    <x v="1329"/>
    <d v="2020-06-15T00:00:00"/>
    <s v="Grinder Disk Steel Cutting"/>
    <x v="2"/>
    <x v="1"/>
    <s v="Payment"/>
    <n v="-200"/>
  </r>
  <r>
    <x v="1330"/>
    <d v="2020-06-15T00:00:00"/>
    <s v="Haq Nawaz "/>
    <x v="0"/>
    <x v="1"/>
    <s v="Payment"/>
    <n v="-3000"/>
  </r>
  <r>
    <x v="1331"/>
    <d v="2020-06-15T00:00:00"/>
    <s v="Grinder Disk Steel Cutting"/>
    <x v="2"/>
    <x v="1"/>
    <s v="Payment"/>
    <n v="-200"/>
  </r>
  <r>
    <x v="1332"/>
    <d v="2020-06-15T00:00:00"/>
    <s v="Tea for labour"/>
    <x v="2"/>
    <x v="1"/>
    <s v="Payment"/>
    <n v="-100"/>
  </r>
  <r>
    <x v="1333"/>
    <d v="2020-06-21T00:00:00"/>
    <s v="Steel Bar Anchoring"/>
    <x v="2"/>
    <x v="1"/>
    <s v="Payment"/>
    <n v="-7000"/>
  </r>
  <r>
    <x v="1334"/>
    <d v="2020-06-21T00:00:00"/>
    <s v="Kashif (Steel)"/>
    <x v="7"/>
    <x v="1"/>
    <s v="Payment"/>
    <n v="-2500"/>
  </r>
  <r>
    <x v="1335"/>
    <d v="2020-06-21T00:00:00"/>
    <s v="Asif Bhai      Month May-20 Payment"/>
    <x v="1"/>
    <x v="1"/>
    <s v="Payment"/>
    <n v="-60000"/>
  </r>
  <r>
    <x v="1336"/>
    <d v="2020-06-22T00:00:00"/>
    <s v="Received from Ahmed BhaiChq#A-0000"/>
    <x v="8"/>
    <x v="1"/>
    <s v="Receipt"/>
    <n v="150000"/>
  </r>
  <r>
    <x v="1337"/>
    <d v="2020-06-22T00:00:00"/>
    <s v="Liaqat ( Aggregate) Cash"/>
    <x v="9"/>
    <x v="1"/>
    <s v="Payment"/>
    <n v="-50000"/>
  </r>
  <r>
    <x v="1338"/>
    <d v="2020-06-23T00:00:00"/>
    <s v="Nawab Chunai Palster"/>
    <x v="12"/>
    <x v="1"/>
    <s v="Payment"/>
    <n v="-35000"/>
  </r>
  <r>
    <x v="1339"/>
    <d v="2020-06-23T00:00:00"/>
    <s v="Babar Labour"/>
    <x v="0"/>
    <x v="1"/>
    <s v="Payment"/>
    <n v="-900"/>
  </r>
  <r>
    <x v="1340"/>
    <d v="2020-06-23T00:00:00"/>
    <s v="Tea for labour"/>
    <x v="2"/>
    <x v="1"/>
    <s v="Payment"/>
    <n v="-100"/>
  </r>
  <r>
    <x v="1341"/>
    <d v="2020-06-23T00:00:00"/>
    <s v="Sidiq Shuttring"/>
    <x v="4"/>
    <x v="1"/>
    <s v="Payment"/>
    <n v="-10000"/>
  </r>
  <r>
    <x v="1342"/>
    <d v="2020-06-23T00:00:00"/>
    <s v="Haq Nawaz "/>
    <x v="0"/>
    <x v="1"/>
    <s v="Payment"/>
    <n v="-1000"/>
  </r>
  <r>
    <x v="1343"/>
    <d v="2020-06-23T00:00:00"/>
    <s v="Silicone Gun"/>
    <x v="2"/>
    <x v="1"/>
    <s v="Payment"/>
    <n v="-250"/>
  </r>
  <r>
    <x v="1344"/>
    <d v="2020-06-23T00:00:00"/>
    <s v="Drill Machine Bit"/>
    <x v="2"/>
    <x v="1"/>
    <s v="Payment"/>
    <n v="-90"/>
  </r>
  <r>
    <x v="1345"/>
    <d v="2020-06-23T00:00:00"/>
    <s v="Babar Labour"/>
    <x v="0"/>
    <x v="1"/>
    <s v="Payment"/>
    <n v="-900"/>
  </r>
  <r>
    <x v="1346"/>
    <d v="2020-06-23T00:00:00"/>
    <s v="Grinder Disk Steel Cutting"/>
    <x v="2"/>
    <x v="1"/>
    <s v="Payment"/>
    <n v="-100"/>
  </r>
  <r>
    <x v="1347"/>
    <d v="2020-07-01T00:00:00"/>
    <s v="Haq Nawaz "/>
    <x v="0"/>
    <x v="1"/>
    <s v="Payment"/>
    <n v="-1000"/>
  </r>
  <r>
    <x v="1348"/>
    <d v="2020-07-03T00:00:00"/>
    <s v="Haq Nawaz "/>
    <x v="0"/>
    <x v="1"/>
    <s v="Payment"/>
    <n v="-1000"/>
  </r>
  <r>
    <x v="1349"/>
    <d v="2020-07-07T00:00:00"/>
    <s v="Haq Nawaz "/>
    <x v="0"/>
    <x v="1"/>
    <s v="Payment"/>
    <n v="-1000"/>
  </r>
  <r>
    <x v="1350"/>
    <d v="2020-07-09T00:00:00"/>
    <s v="Haq Nawaz   Month June -20 Payment"/>
    <x v="0"/>
    <x v="1"/>
    <s v="Payment"/>
    <n v="-7950"/>
  </r>
  <r>
    <x v="1351"/>
    <d v="2020-07-11T00:00:00"/>
    <s v="Sidiq Shuttring"/>
    <x v="4"/>
    <x v="1"/>
    <s v="Payment"/>
    <n v="-3000"/>
  </r>
  <r>
    <x v="1352"/>
    <d v="2020-07-14T00:00:00"/>
    <s v="Haq Nawaz "/>
    <x v="0"/>
    <x v="1"/>
    <s v="Payment"/>
    <n v="-2000"/>
  </r>
  <r>
    <x v="1353"/>
    <d v="2020-07-19T00:00:00"/>
    <s v="Received from Ahmed Bhai  Cash"/>
    <x v="8"/>
    <x v="1"/>
    <s v="Receipt"/>
    <n v="50000"/>
  </r>
  <r>
    <x v="1354"/>
    <d v="2020-07-17T00:00:00"/>
    <s v="Haq Nawaz "/>
    <x v="0"/>
    <x v="1"/>
    <s v="Payment"/>
    <n v="-1000"/>
  </r>
  <r>
    <x v="1355"/>
    <d v="2020-07-21T00:00:00"/>
    <s v="Haq Nawaz "/>
    <x v="0"/>
    <x v="1"/>
    <s v="Payment"/>
    <n v="-1000"/>
  </r>
  <r>
    <x v="1356"/>
    <d v="2020-07-21T00:00:00"/>
    <s v="Asif Bhai      Month June -20 Payment"/>
    <x v="1"/>
    <x v="1"/>
    <s v="Payment"/>
    <n v="-60000"/>
  </r>
  <r>
    <x v="1357"/>
    <d v="2020-07-21T00:00:00"/>
    <s v="Door Rubber Fixing Labour"/>
    <x v="0"/>
    <x v="1"/>
    <s v="Payment"/>
    <n v="-2000"/>
  </r>
  <r>
    <x v="1358"/>
    <d v="2020-07-22T00:00:00"/>
    <s v="Arif (Tile Fixer)"/>
    <x v="16"/>
    <x v="1"/>
    <s v="Payment"/>
    <n v="-5000"/>
  </r>
  <r>
    <x v="1359"/>
    <d v="2020-07-22T00:00:00"/>
    <s v="Zafar Labour (Parking 1:4:8)"/>
    <x v="0"/>
    <x v="1"/>
    <s v="Payment"/>
    <n v="-1800"/>
  </r>
  <r>
    <x v="1360"/>
    <d v="2020-07-25T00:00:00"/>
    <s v="Arif (Tile Fixer)"/>
    <x v="16"/>
    <x v="1"/>
    <s v="Payment"/>
    <n v="-5000"/>
  </r>
  <r>
    <x v="1361"/>
    <d v="2020-07-25T00:00:00"/>
    <s v="Tea for labour"/>
    <x v="2"/>
    <x v="1"/>
    <s v="Payment"/>
    <n v="-100"/>
  </r>
  <r>
    <x v="1362"/>
    <d v="2020-07-25T00:00:00"/>
    <s v="1 Nos Bailcha"/>
    <x v="2"/>
    <x v="1"/>
    <s v="Payment"/>
    <n v="-450"/>
  </r>
  <r>
    <x v="1363"/>
    <d v="2020-07-25T00:00:00"/>
    <s v="1 Nos Grinder Disk "/>
    <x v="2"/>
    <x v="1"/>
    <s v="Payment"/>
    <n v="-40"/>
  </r>
  <r>
    <x v="1364"/>
    <d v="2020-07-25T00:00:00"/>
    <s v="Haq Nawaz "/>
    <x v="0"/>
    <x v="1"/>
    <s v="Payment"/>
    <n v="-1800"/>
  </r>
  <r>
    <x v="1365"/>
    <d v="2020-07-25T00:00:00"/>
    <s v="Arif (Tile Fixer)"/>
    <x v="16"/>
    <x v="1"/>
    <s v="Payment"/>
    <n v="-1000"/>
  </r>
  <r>
    <x v="1366"/>
    <d v="2020-07-28T00:00:00"/>
    <s v="Received from Ahmed Bhai  Cash"/>
    <x v="8"/>
    <x v="1"/>
    <s v="Receipt"/>
    <n v="140000"/>
  </r>
  <r>
    <x v="1367"/>
    <d v="2020-07-28T00:00:00"/>
    <s v="Phatoon ka Karaya"/>
    <x v="2"/>
    <x v="1"/>
    <s v="Payment"/>
    <n v="-1200"/>
  </r>
  <r>
    <x v="1368"/>
    <d v="2020-07-28T00:00:00"/>
    <s v="Khalil (Plumber)"/>
    <x v="15"/>
    <x v="1"/>
    <s v="Payment"/>
    <n v="-30000"/>
  </r>
  <r>
    <x v="1369"/>
    <d v="2020-07-28T00:00:00"/>
    <s v="Tea for labour"/>
    <x v="2"/>
    <x v="1"/>
    <s v="Payment"/>
    <n v="-100"/>
  </r>
  <r>
    <x v="1370"/>
    <d v="2020-07-29T00:00:00"/>
    <s v="Sidiq Shuttring"/>
    <x v="4"/>
    <x v="1"/>
    <s v="Payment"/>
    <n v="-10000"/>
  </r>
  <r>
    <x v="1371"/>
    <d v="2020-07-29T00:00:00"/>
    <s v="Bashir (Electric)"/>
    <x v="10"/>
    <x v="1"/>
    <s v="Payment"/>
    <n v="-30000"/>
  </r>
  <r>
    <x v="1372"/>
    <d v="2020-07-29T00:00:00"/>
    <s v="Tea for labour"/>
    <x v="2"/>
    <x v="1"/>
    <s v="Payment"/>
    <n v="-100"/>
  </r>
  <r>
    <x v="1373"/>
    <d v="2020-07-29T00:00:00"/>
    <s v="Nawab Chunai Palster"/>
    <x v="12"/>
    <x v="1"/>
    <s v="Payment"/>
    <n v="-30000"/>
  </r>
  <r>
    <x v="1374"/>
    <d v="2020-07-29T00:00:00"/>
    <s v="Zafar Labour (Beam Pouring 1:4:8)"/>
    <x v="0"/>
    <x v="1"/>
    <s v="Payment"/>
    <n v="-900"/>
  </r>
  <r>
    <x v="1375"/>
    <d v="2020-07-29T00:00:00"/>
    <s v="Arif (Tile Fixer)"/>
    <x v="16"/>
    <x v="1"/>
    <s v="Payment"/>
    <n v="-5000"/>
  </r>
  <r>
    <x v="1376"/>
    <d v="2020-07-29T00:00:00"/>
    <s v="Haq Nawaz "/>
    <x v="0"/>
    <x v="1"/>
    <s v="Payment"/>
    <n v="-11000"/>
  </r>
  <r>
    <x v="1377"/>
    <d v="2020-07-31T00:00:00"/>
    <s v="Arif (Tile Fixer)"/>
    <x v="16"/>
    <x v="1"/>
    <s v="Payment"/>
    <n v="-7000"/>
  </r>
  <r>
    <x v="1378"/>
    <d v="2020-07-31T00:00:00"/>
    <s v="1 Nos Grinder Disk "/>
    <x v="2"/>
    <x v="1"/>
    <s v="Payment"/>
    <n v="-40"/>
  </r>
  <r>
    <x v="1379"/>
    <d v="2020-08-10T00:00:00"/>
    <s v="Rab Nawaz ( Painter)"/>
    <x v="14"/>
    <x v="1"/>
    <s v="Payment"/>
    <n v="-5000"/>
  </r>
  <r>
    <x v="1380"/>
    <d v="2020-08-11T00:00:00"/>
    <s v="Rab Nawaz ( Painter)"/>
    <x v="14"/>
    <x v="1"/>
    <s v="Payment"/>
    <n v="-1000"/>
  </r>
  <r>
    <x v="1381"/>
    <d v="2020-08-11T00:00:00"/>
    <s v="Haq Nawaz   Month July -20 Payment"/>
    <x v="0"/>
    <x v="1"/>
    <s v="Payment"/>
    <n v="-1100"/>
  </r>
  <r>
    <x v="1382"/>
    <d v="2020-08-11T00:00:00"/>
    <s v="Received from Ahmed Bhai  Cash"/>
    <x v="8"/>
    <x v="1"/>
    <s v="Receipt"/>
    <n v="100000"/>
  </r>
  <r>
    <x v="1383"/>
    <d v="2020-08-11T00:00:00"/>
    <s v="Nawab Chunai Palster"/>
    <x v="12"/>
    <x v="1"/>
    <s v="Payment"/>
    <n v="-20000"/>
  </r>
  <r>
    <x v="1384"/>
    <d v="2020-08-13T00:00:00"/>
    <s v="Nawab Chunai Palster"/>
    <x v="12"/>
    <x v="1"/>
    <s v="Payment"/>
    <n v="-10000"/>
  </r>
  <r>
    <x v="1385"/>
    <d v="2020-08-13T00:00:00"/>
    <s v="Rab Nawaz ( Painter)"/>
    <x v="14"/>
    <x v="1"/>
    <s v="Payment"/>
    <n v="-2000"/>
  </r>
  <r>
    <x v="1386"/>
    <d v="2020-08-15T00:00:00"/>
    <s v="Haq Nawaz "/>
    <x v="0"/>
    <x v="1"/>
    <s v="Payment"/>
    <n v="-1000"/>
  </r>
  <r>
    <x v="1387"/>
    <d v="2020-08-16T00:00:00"/>
    <s v="Rab Nawaz ( Painter)"/>
    <x v="14"/>
    <x v="1"/>
    <s v="Payment"/>
    <n v="-5000"/>
  </r>
  <r>
    <x v="1388"/>
    <d v="2020-08-16T00:00:00"/>
    <s v="Zafar (Labour)"/>
    <x v="0"/>
    <x v="1"/>
    <s v="Payment"/>
    <n v="-6500"/>
  </r>
  <r>
    <x v="1389"/>
    <d v="2020-08-16T00:00:00"/>
    <s v="Asif Bhai      Month July -20 Payment"/>
    <x v="1"/>
    <x v="1"/>
    <s v="Payment"/>
    <n v="-60000"/>
  </r>
  <r>
    <x v="1390"/>
    <d v="2020-08-17T00:00:00"/>
    <s v="Bashir (Electric)"/>
    <x v="10"/>
    <x v="1"/>
    <s v="Payment"/>
    <n v="-10000"/>
  </r>
  <r>
    <x v="1391"/>
    <d v="2020-08-19T00:00:00"/>
    <s v="Khalil (Plumber)"/>
    <x v="15"/>
    <x v="1"/>
    <s v="Payment"/>
    <n v="-10000"/>
  </r>
  <r>
    <x v="1392"/>
    <d v="2020-08-21T00:00:00"/>
    <s v="Haq Nawaz "/>
    <x v="0"/>
    <x v="1"/>
    <s v="Payment"/>
    <n v="-5000"/>
  </r>
  <r>
    <x v="1393"/>
    <d v="2020-08-22T00:00:00"/>
    <s v="Nawab Chunai Palster"/>
    <x v="12"/>
    <x v="1"/>
    <s v="Payment"/>
    <n v="-10000"/>
  </r>
  <r>
    <x v="1394"/>
    <d v="2020-08-22T00:00:00"/>
    <s v="Rab Nawaz ( Painter)"/>
    <x v="14"/>
    <x v="1"/>
    <s v="Payment"/>
    <n v="-2000"/>
  </r>
  <r>
    <x v="1395"/>
    <d v="2020-08-23T00:00:00"/>
    <s v="Rab Nawaz ( Painter)"/>
    <x v="14"/>
    <x v="1"/>
    <s v="Payment"/>
    <n v="-2000"/>
  </r>
  <r>
    <x v="1396"/>
    <d v="2020-08-23T00:00:00"/>
    <s v="Core Cutting"/>
    <x v="2"/>
    <x v="1"/>
    <s v="Payment"/>
    <n v="-7000"/>
  </r>
  <r>
    <x v="1397"/>
    <d v="2020-08-24T00:00:00"/>
    <s v="Received from Ahmed Bhai  Cash"/>
    <x v="8"/>
    <x v="1"/>
    <s v="Receipt"/>
    <n v="50000"/>
  </r>
  <r>
    <x v="1398"/>
    <d v="2020-08-24T00:00:00"/>
    <s v="Nawab Chunai Palster"/>
    <x v="12"/>
    <x v="1"/>
    <s v="Payment"/>
    <n v="-20000"/>
  </r>
  <r>
    <x v="1399"/>
    <d v="2020-08-25T00:00:00"/>
    <s v="Tea for labour"/>
    <x v="2"/>
    <x v="1"/>
    <s v="Payment"/>
    <n v="-100"/>
  </r>
  <r>
    <x v="1400"/>
    <d v="2020-08-25T00:00:00"/>
    <s v="Bar-Anchoring"/>
    <x v="2"/>
    <x v="1"/>
    <s v="Payment"/>
    <n v="-2000"/>
  </r>
  <r>
    <x v="1401"/>
    <d v="2020-08-26T00:00:00"/>
    <s v="Khalil (Plumber)"/>
    <x v="15"/>
    <x v="1"/>
    <s v="Payment"/>
    <n v="-10000"/>
  </r>
  <r>
    <x v="1402"/>
    <d v="2020-08-29T00:00:00"/>
    <s v="Haq Nawaz "/>
    <x v="0"/>
    <x v="1"/>
    <s v="Payment"/>
    <n v="-1000"/>
  </r>
  <r>
    <x v="1403"/>
    <d v="2020-08-31T00:00:00"/>
    <s v="Haq Nawaz "/>
    <x v="0"/>
    <x v="1"/>
    <s v="Payment"/>
    <n v="-1000"/>
  </r>
  <r>
    <x v="1404"/>
    <d v="2020-08-31T00:00:00"/>
    <s v="Nawab Chunai Palster"/>
    <x v="12"/>
    <x v="1"/>
    <s v="Payment"/>
    <n v="-10000"/>
  </r>
  <r>
    <x v="1405"/>
    <d v="2020-09-01T00:00:00"/>
    <s v="Arif (Tile Fixer)"/>
    <x v="16"/>
    <x v="1"/>
    <s v="Payment"/>
    <n v="-30000"/>
  </r>
  <r>
    <x v="1406"/>
    <d v="2020-09-01T00:00:00"/>
    <s v="Bashir (Electric)"/>
    <x v="10"/>
    <x v="1"/>
    <s v="Payment"/>
    <n v="-15000"/>
  </r>
  <r>
    <x v="1407"/>
    <d v="2020-09-01T00:00:00"/>
    <s v="Bar-Anchoring"/>
    <x v="2"/>
    <x v="1"/>
    <s v="Payment"/>
    <n v="-2000"/>
  </r>
  <r>
    <x v="1408"/>
    <d v="2020-09-01T00:00:00"/>
    <s v="Nawab Chunai Palster"/>
    <x v="12"/>
    <x v="1"/>
    <s v="Payment"/>
    <n v="-20000"/>
  </r>
  <r>
    <x v="1409"/>
    <d v="2020-09-01T00:00:00"/>
    <s v="Received from Ahmed Bhai  Cash"/>
    <x v="8"/>
    <x v="1"/>
    <s v="Receipt"/>
    <n v="70000"/>
  </r>
  <r>
    <x v="1410"/>
    <d v="2020-09-02T00:00:00"/>
    <s v="Bashir (Electric)"/>
    <x v="10"/>
    <x v="1"/>
    <s v="Payment"/>
    <n v="-1200"/>
  </r>
  <r>
    <x v="1411"/>
    <d v="2020-09-02T00:00:00"/>
    <s v="Haq Nawaz "/>
    <x v="0"/>
    <x v="1"/>
    <s v="Payment"/>
    <n v="-2000"/>
  </r>
  <r>
    <x v="1412"/>
    <d v="2020-09-02T00:00:00"/>
    <s v="Rab Nawaz ( Painter)"/>
    <x v="14"/>
    <x v="1"/>
    <s v="Payment"/>
    <n v="-1000"/>
  </r>
  <r>
    <x v="1413"/>
    <d v="2020-09-03T00:00:00"/>
    <s v="1 Nos Bailcha"/>
    <x v="2"/>
    <x v="1"/>
    <s v="Payment"/>
    <n v="-200"/>
  </r>
  <r>
    <x v="1414"/>
    <d v="2020-09-03T00:00:00"/>
    <s v="Rab Nawaz ( Painter)"/>
    <x v="14"/>
    <x v="1"/>
    <s v="Payment"/>
    <n v="-2000"/>
  </r>
  <r>
    <x v="1415"/>
    <d v="2020-09-03T00:00:00"/>
    <s v="1 Nos Grinder Disk "/>
    <x v="2"/>
    <x v="1"/>
    <s v="Payment"/>
    <n v="-100"/>
  </r>
  <r>
    <x v="1416"/>
    <d v="2020-09-04T00:00:00"/>
    <s v="Rab Nawaz ( Painter)"/>
    <x v="14"/>
    <x v="1"/>
    <s v="Payment"/>
    <n v="-10000"/>
  </r>
  <r>
    <x v="1417"/>
    <d v="2020-09-04T00:00:00"/>
    <s v="Zafar (Labour)"/>
    <x v="0"/>
    <x v="1"/>
    <s v="Payment"/>
    <n v="-3600"/>
  </r>
  <r>
    <x v="1418"/>
    <d v="2020-09-05T00:00:00"/>
    <s v="Haq Nawaz "/>
    <x v="0"/>
    <x v="1"/>
    <s v="Payment"/>
    <n v="-2000"/>
  </r>
  <r>
    <x v="1419"/>
    <d v="2020-09-05T00:00:00"/>
    <s v="Bashir (Electric)"/>
    <x v="10"/>
    <x v="1"/>
    <s v="Payment"/>
    <n v="-500"/>
  </r>
  <r>
    <x v="1420"/>
    <d v="2020-09-09T00:00:00"/>
    <s v="Haq Nawaz "/>
    <x v="0"/>
    <x v="1"/>
    <s v="Payment"/>
    <n v="-2000"/>
  </r>
  <r>
    <x v="1421"/>
    <d v="2020-09-09T00:00:00"/>
    <s v="Tea for labour"/>
    <x v="2"/>
    <x v="1"/>
    <s v="Payment"/>
    <n v="-100"/>
  </r>
  <r>
    <x v="1422"/>
    <d v="2020-09-09T00:00:00"/>
    <s v="Received from Ahmed Bhai  Cash"/>
    <x v="8"/>
    <x v="1"/>
    <s v="Receipt"/>
    <n v="150000"/>
  </r>
  <r>
    <x v="1423"/>
    <d v="2020-09-09T00:00:00"/>
    <s v="Nawab Chunai Palster"/>
    <x v="12"/>
    <x v="1"/>
    <s v="Payment"/>
    <n v="-25000"/>
  </r>
  <r>
    <x v="1424"/>
    <d v="2020-09-09T00:00:00"/>
    <s v="Bashir (Electric)"/>
    <x v="10"/>
    <x v="1"/>
    <s v="Payment"/>
    <n v="-20000"/>
  </r>
  <r>
    <x v="1425"/>
    <d v="2020-09-09T00:00:00"/>
    <s v="Haq Nawaz   Month Aug -20 Payment"/>
    <x v="0"/>
    <x v="1"/>
    <s v="Payment"/>
    <n v="-8050"/>
  </r>
  <r>
    <x v="1426"/>
    <d v="2020-09-09T00:00:00"/>
    <s v="Haq Nawaz "/>
    <x v="0"/>
    <x v="1"/>
    <s v="Payment"/>
    <n v="-3000"/>
  </r>
  <r>
    <x v="1427"/>
    <d v="2020-09-09T00:00:00"/>
    <s v="Rab Nawaz ( Painter)"/>
    <x v="14"/>
    <x v="1"/>
    <s v="Payment"/>
    <n v="-2000"/>
  </r>
  <r>
    <x v="1428"/>
    <d v="2020-09-12T00:00:00"/>
    <s v="Rab Nawaz ( Painter)"/>
    <x v="14"/>
    <x v="1"/>
    <s v="Payment"/>
    <n v="-3000"/>
  </r>
  <r>
    <x v="1429"/>
    <d v="2020-09-14T00:00:00"/>
    <s v="Khalil (Plumber)"/>
    <x v="15"/>
    <x v="1"/>
    <s v="Payment"/>
    <n v="-2000"/>
  </r>
  <r>
    <x v="1430"/>
    <d v="2020-09-14T00:00:00"/>
    <s v="Received from Ahmed Bhai  Cash"/>
    <x v="8"/>
    <x v="1"/>
    <s v="Receipt"/>
    <n v="50000"/>
  </r>
  <r>
    <x v="1431"/>
    <d v="2020-09-15T00:00:00"/>
    <s v="Arif (Tile Fixer)"/>
    <x v="16"/>
    <x v="1"/>
    <s v="Payment"/>
    <n v="-25000"/>
  </r>
  <r>
    <x v="1432"/>
    <d v="2020-09-15T00:00:00"/>
    <s v="Rab Nawaz ( Painter)"/>
    <x v="14"/>
    <x v="1"/>
    <s v="Payment"/>
    <n v="-2000"/>
  </r>
  <r>
    <x v="1433"/>
    <d v="2020-09-15T00:00:00"/>
    <s v="Nawab Chunai Palster"/>
    <x v="12"/>
    <x v="1"/>
    <s v="Payment"/>
    <n v="-15000"/>
  </r>
  <r>
    <x v="1434"/>
    <d v="2020-09-16T00:00:00"/>
    <s v="Rab Nawaz ( Painter)"/>
    <x v="14"/>
    <x v="1"/>
    <s v="Payment"/>
    <n v="-10000"/>
  </r>
  <r>
    <x v="1435"/>
    <d v="2020-09-16T00:00:00"/>
    <s v="Haq Nawaz "/>
    <x v="0"/>
    <x v="1"/>
    <s v="Payment"/>
    <n v="-1000"/>
  </r>
  <r>
    <x v="1436"/>
    <d v="2020-09-19T00:00:00"/>
    <s v="Rab Nawaz ( Painter)"/>
    <x v="14"/>
    <x v="1"/>
    <s v="Payment"/>
    <n v="-17000"/>
  </r>
  <r>
    <x v="1437"/>
    <d v="2020-09-19T00:00:00"/>
    <s v="Received from Ahmed Bhai  Cash"/>
    <x v="8"/>
    <x v="1"/>
    <s v="Receipt"/>
    <n v="125000"/>
  </r>
  <r>
    <x v="1438"/>
    <d v="2020-09-19T00:00:00"/>
    <s v="Received from Ahmed Bhai  Cash"/>
    <x v="8"/>
    <x v="1"/>
    <s v="Receipt"/>
    <n v="50000"/>
  </r>
  <r>
    <x v="1439"/>
    <d v="2020-09-19T00:00:00"/>
    <s v="Bashir (Electric)"/>
    <x v="10"/>
    <x v="1"/>
    <s v="Payment"/>
    <n v="-50000"/>
  </r>
  <r>
    <x v="1440"/>
    <d v="2020-09-19T00:00:00"/>
    <s v="Nawab Chunai Palster"/>
    <x v="12"/>
    <x v="1"/>
    <s v="Payment"/>
    <n v="-35000"/>
  </r>
  <r>
    <x v="1441"/>
    <d v="2020-09-19T00:00:00"/>
    <s v="Wahab (Labour)"/>
    <x v="0"/>
    <x v="1"/>
    <s v="Payment"/>
    <n v="-1800"/>
  </r>
  <r>
    <x v="1442"/>
    <d v="2020-09-21T00:00:00"/>
    <s v="Tea for labour"/>
    <x v="2"/>
    <x v="1"/>
    <s v="Payment"/>
    <n v="-100"/>
  </r>
  <r>
    <x v="1443"/>
    <d v="2020-09-21T00:00:00"/>
    <s v="Drill Machine Bit"/>
    <x v="2"/>
    <x v="1"/>
    <s v="Payment"/>
    <n v="-100"/>
  </r>
  <r>
    <x v="1444"/>
    <d v="2020-09-23T00:00:00"/>
    <s v="Rab Nawaz ( Painter)"/>
    <x v="14"/>
    <x v="1"/>
    <s v="Payment"/>
    <n v="-3000"/>
  </r>
  <r>
    <x v="1445"/>
    <d v="2020-09-24T00:00:00"/>
    <s v="Khalil (Plumber)"/>
    <x v="15"/>
    <x v="1"/>
    <s v="Payment"/>
    <n v="-15000"/>
  </r>
  <r>
    <x v="1446"/>
    <d v="2020-09-25T00:00:00"/>
    <s v="Asif Bhai      Month Aug -20 Payment"/>
    <x v="1"/>
    <x v="1"/>
    <s v="Payment"/>
    <n v="-60000"/>
  </r>
  <r>
    <x v="1447"/>
    <d v="2020-09-26T00:00:00"/>
    <s v="Received from Ahmed Bhai  Cash"/>
    <x v="8"/>
    <x v="1"/>
    <s v="Receipt"/>
    <n v="50000"/>
  </r>
  <r>
    <x v="1448"/>
    <d v="2020-09-26T00:00:00"/>
    <s v="Nawab Chunai Palster"/>
    <x v="12"/>
    <x v="1"/>
    <s v="Payment"/>
    <n v="-20000"/>
  </r>
  <r>
    <x v="1449"/>
    <d v="2020-09-26T00:00:00"/>
    <s v="Rab Nawaz ( Painter)"/>
    <x v="14"/>
    <x v="1"/>
    <s v="Payment"/>
    <n v="-2000"/>
  </r>
  <r>
    <x v="1450"/>
    <d v="2020-09-27T00:00:00"/>
    <s v="Arif (Tile Fixer)"/>
    <x v="16"/>
    <x v="1"/>
    <s v="Payment"/>
    <n v="-20000"/>
  </r>
  <r>
    <x v="1451"/>
    <d v="2020-09-27T00:00:00"/>
    <s v="Rab Nawaz ( Painter)"/>
    <x v="14"/>
    <x v="1"/>
    <s v="Payment"/>
    <n v="-1000"/>
  </r>
  <r>
    <x v="1452"/>
    <d v="2020-09-29T00:00:00"/>
    <s v="Nawab Chunai Palster"/>
    <x v="12"/>
    <x v="1"/>
    <s v="Payment"/>
    <n v="-12000"/>
  </r>
  <r>
    <x v="1453"/>
    <d v="2020-09-29T00:00:00"/>
    <s v="Rab Nawaz ( Painter)"/>
    <x v="14"/>
    <x v="1"/>
    <s v="Payment"/>
    <n v="-2000"/>
  </r>
  <r>
    <x v="1454"/>
    <d v="2020-09-29T00:00:00"/>
    <s v="Zafar (Labour)"/>
    <x v="0"/>
    <x v="1"/>
    <s v="Payment"/>
    <n v="-3600"/>
  </r>
  <r>
    <x v="1455"/>
    <d v="2020-09-29T00:00:00"/>
    <s v="Drill Machine Bit"/>
    <x v="2"/>
    <x v="1"/>
    <s v="Payment"/>
    <n v="-120"/>
  </r>
  <r>
    <x v="1456"/>
    <d v="2020-09-29T00:00:00"/>
    <s v="Tea for labour"/>
    <x v="2"/>
    <x v="1"/>
    <s v="Payment"/>
    <n v="-100"/>
  </r>
  <r>
    <x v="1457"/>
    <d v="2020-09-30T00:00:00"/>
    <s v="Haq Nawaz   Month Sep -20 Payment"/>
    <x v="0"/>
    <x v="1"/>
    <s v="Payment"/>
    <n v="-9850"/>
  </r>
  <r>
    <x v="1458"/>
    <d v="2020-09-30T00:00:00"/>
    <s v="Received from Ahmed Bhai  Cash"/>
    <x v="8"/>
    <x v="1"/>
    <s v="Receipt"/>
    <n v="16000"/>
  </r>
  <r>
    <x v="1459"/>
    <d v="2020-09-30T00:00:00"/>
    <s v="Tea for labour"/>
    <x v="2"/>
    <x v="1"/>
    <s v="Payment"/>
    <n v="-100"/>
  </r>
  <r>
    <x v="1460"/>
    <d v="2020-10-01T00:00:00"/>
    <s v="Received from Ahmed Bhai  Cash"/>
    <x v="8"/>
    <x v="1"/>
    <s v="Receipt"/>
    <n v="50000"/>
  </r>
  <r>
    <x v="1461"/>
    <d v="2020-10-01T00:00:00"/>
    <s v="Nawab Chunai Palster"/>
    <x v="12"/>
    <x v="1"/>
    <s v="Payment"/>
    <n v="-10000"/>
  </r>
  <r>
    <x v="1462"/>
    <d v="2020-10-02T00:00:00"/>
    <s v="Rab Nawaz ( Painter)"/>
    <x v="14"/>
    <x v="1"/>
    <s v="Payment"/>
    <n v="-2000"/>
  </r>
  <r>
    <x v="1463"/>
    <d v="2020-10-05T00:00:00"/>
    <s v="Rab Nawaz ( Painter)"/>
    <x v="14"/>
    <x v="1"/>
    <s v="Payment"/>
    <n v="-2000"/>
  </r>
  <r>
    <x v="1464"/>
    <d v="2020-10-05T00:00:00"/>
    <s v="Nawab Chunai Palster"/>
    <x v="12"/>
    <x v="1"/>
    <s v="Payment"/>
    <n v="-5000"/>
  </r>
  <r>
    <x v="1465"/>
    <d v="2020-10-07T00:00:00"/>
    <s v="Rab Nawaz ( Painter)"/>
    <x v="14"/>
    <x v="1"/>
    <s v="Payment"/>
    <n v="-22000"/>
  </r>
  <r>
    <x v="1466"/>
    <d v="2020-10-09T00:00:00"/>
    <s v="Nawab Chunai Palster"/>
    <x v="12"/>
    <x v="1"/>
    <s v="Payment"/>
    <n v="-10000"/>
  </r>
  <r>
    <x v="1467"/>
    <d v="2020-10-10T00:00:00"/>
    <s v="Rab Nawaz ( Painter)"/>
    <x v="14"/>
    <x v="1"/>
    <s v="Payment"/>
    <n v="-6000"/>
  </r>
  <r>
    <x v="1468"/>
    <d v="2020-10-10T00:00:00"/>
    <s v="Wooden Lader"/>
    <x v="2"/>
    <x v="1"/>
    <s v="Payment"/>
    <n v="-1700"/>
  </r>
  <r>
    <x v="1469"/>
    <d v="2020-10-11T00:00:00"/>
    <s v="Received from Ahmed Bhai  Cash"/>
    <x v="8"/>
    <x v="1"/>
    <s v="Receipt"/>
    <n v="200000"/>
  </r>
  <r>
    <x v="1470"/>
    <d v="2020-10-11T00:00:00"/>
    <s v="Received from Ahmed BhaiChq#A-7877"/>
    <x v="8"/>
    <x v="1"/>
    <s v="Receipt"/>
    <n v="60000"/>
  </r>
  <r>
    <x v="1471"/>
    <d v="2020-10-11T00:00:00"/>
    <s v="Nawab Chunai Palster"/>
    <x v="12"/>
    <x v="1"/>
    <s v="Payment"/>
    <n v="-30000"/>
  </r>
  <r>
    <x v="1472"/>
    <d v="2020-10-12T00:00:00"/>
    <s v="Rab Nawaz ( Painter)"/>
    <x v="14"/>
    <x v="1"/>
    <s v="Payment"/>
    <n v="-2500"/>
  </r>
  <r>
    <x v="1473"/>
    <d v="2020-10-13T00:00:00"/>
    <s v="Bashir (Electric)"/>
    <x v="10"/>
    <x v="1"/>
    <s v="Payment"/>
    <n v="-20000"/>
  </r>
  <r>
    <x v="1474"/>
    <d v="2020-10-13T00:00:00"/>
    <s v="Rab Nawaz ( Painter)"/>
    <x v="14"/>
    <x v="1"/>
    <s v="Payment"/>
    <n v="-2500"/>
  </r>
  <r>
    <x v="1475"/>
    <d v="2020-10-14T00:00:00"/>
    <s v="Received from Ahmed Bhai  Cash"/>
    <x v="8"/>
    <x v="1"/>
    <s v="Receipt"/>
    <n v="25000"/>
  </r>
  <r>
    <x v="1476"/>
    <d v="2020-10-14T00:00:00"/>
    <s v="Nawab Chunai Palster"/>
    <x v="12"/>
    <x v="1"/>
    <s v="Payment"/>
    <n v="-25000"/>
  </r>
  <r>
    <x v="1477"/>
    <d v="2020-10-14T00:00:00"/>
    <s v="Rab Nawaz ( Painter)"/>
    <x v="14"/>
    <x v="1"/>
    <s v="Payment"/>
    <n v="-2000"/>
  </r>
  <r>
    <x v="1478"/>
    <d v="2020-10-15T00:00:00"/>
    <s v="Rab Nawaz ( Painter)"/>
    <x v="14"/>
    <x v="1"/>
    <s v="Payment"/>
    <n v="-2000"/>
  </r>
  <r>
    <x v="1479"/>
    <d v="2020-10-15T00:00:00"/>
    <s v="Received from Ahmed BhaiChq#A-0000"/>
    <x v="8"/>
    <x v="1"/>
    <s v="Receipt"/>
    <n v="200000"/>
  </r>
  <r>
    <x v="1480"/>
    <d v="2020-10-15T00:00:00"/>
    <s v="Received from Ahmed BhaiChq#A-0000"/>
    <x v="8"/>
    <x v="1"/>
    <s v="Receipt"/>
    <n v="100000"/>
  </r>
  <r>
    <x v="1481"/>
    <d v="2020-10-15T00:00:00"/>
    <s v="Paid to Arif Sahab"/>
    <x v="11"/>
    <x v="2"/>
    <m/>
    <n v="-200000"/>
  </r>
  <r>
    <x v="1482"/>
    <d v="2020-10-17T00:00:00"/>
    <s v="Rab Nawaz ( Painter)"/>
    <x v="14"/>
    <x v="1"/>
    <s v="Payment"/>
    <n v="-5000"/>
  </r>
  <r>
    <x v="1483"/>
    <d v="2020-10-19T00:00:00"/>
    <s v="Rab Nawaz ( Painter)"/>
    <x v="14"/>
    <x v="1"/>
    <s v="Payment"/>
    <n v="-15000"/>
  </r>
  <r>
    <x v="1484"/>
    <d v="2020-10-19T00:00:00"/>
    <s v="Khalil (Plumber)"/>
    <x v="15"/>
    <x v="1"/>
    <s v="Payment"/>
    <n v="-25000"/>
  </r>
  <r>
    <x v="1485"/>
    <d v="2020-10-21T00:00:00"/>
    <s v="Nawab Chunai Palster"/>
    <x v="12"/>
    <x v="1"/>
    <s v="Payment"/>
    <n v="-5500"/>
  </r>
  <r>
    <x v="1486"/>
    <d v="2020-10-21T00:00:00"/>
    <s v="Masson+Labour"/>
    <x v="0"/>
    <x v="1"/>
    <s v="Payment"/>
    <n v="-34500"/>
  </r>
  <r>
    <x v="1487"/>
    <d v="2020-10-21T00:00:00"/>
    <s v="1 Nos Bailcha"/>
    <x v="2"/>
    <x v="1"/>
    <s v="Payment"/>
    <n v="-450"/>
  </r>
  <r>
    <x v="1488"/>
    <d v="2020-10-21T00:00:00"/>
    <s v="Tea for labour"/>
    <x v="2"/>
    <x v="1"/>
    <s v="Payment"/>
    <n v="-200"/>
  </r>
  <r>
    <x v="1489"/>
    <d v="2020-10-21T00:00:00"/>
    <s v="Rab Nawaz ( Painter)"/>
    <x v="14"/>
    <x v="1"/>
    <s v="Payment"/>
    <n v="-3000"/>
  </r>
  <r>
    <x v="1490"/>
    <d v="2020-10-22T00:00:00"/>
    <s v="Rab Nawaz ( Painter)"/>
    <x v="14"/>
    <x v="1"/>
    <s v="Payment"/>
    <n v="-2000"/>
  </r>
  <r>
    <x v="1491"/>
    <d v="2020-10-23T00:00:00"/>
    <s v="Rab Nawaz ( Painter)"/>
    <x v="14"/>
    <x v="1"/>
    <s v="Payment"/>
    <n v="-2500"/>
  </r>
  <r>
    <x v="1492"/>
    <d v="2020-10-23T00:00:00"/>
    <s v="Pakka Kaam (Chemical)"/>
    <x v="13"/>
    <x v="1"/>
    <s v="Payment"/>
    <n v="-550"/>
  </r>
  <r>
    <x v="1493"/>
    <d v="2020-10-25T00:00:00"/>
    <s v="Rab Nawaz ( Painter)"/>
    <x v="14"/>
    <x v="1"/>
    <s v="Payment"/>
    <n v="-4000"/>
  </r>
  <r>
    <x v="1494"/>
    <d v="2020-10-26T00:00:00"/>
    <s v="Rab Nawaz ( Painter)"/>
    <x v="14"/>
    <x v="1"/>
    <s v="Payment"/>
    <n v="-2000"/>
  </r>
  <r>
    <x v="1495"/>
    <d v="2020-10-26T00:00:00"/>
    <s v="Doori"/>
    <x v="2"/>
    <x v="1"/>
    <s v="Payment"/>
    <n v="-100"/>
  </r>
  <r>
    <x v="1496"/>
    <d v="2020-10-26T00:00:00"/>
    <s v="Electric Cable Hole"/>
    <x v="0"/>
    <x v="1"/>
    <s v="Payment"/>
    <n v="-2000"/>
  </r>
  <r>
    <x v="1497"/>
    <d v="2020-10-26T00:00:00"/>
    <s v="Received from Ahmed BhaiChq#A-5599"/>
    <x v="8"/>
    <x v="1"/>
    <s v="Receipt"/>
    <n v="50000"/>
  </r>
  <r>
    <x v="1498"/>
    <d v="2020-10-26T00:00:00"/>
    <s v="Asif Bhai      Month Sep -20 Payment"/>
    <x v="1"/>
    <x v="1"/>
    <s v="Payment"/>
    <n v="-60000"/>
  </r>
  <r>
    <x v="1499"/>
    <d v="2020-10-27T00:00:00"/>
    <s v="Nawab Chunai Palster"/>
    <x v="12"/>
    <x v="1"/>
    <s v="Payment"/>
    <n v="-5000"/>
  </r>
  <r>
    <x v="1500"/>
    <d v="2020-10-27T00:00:00"/>
    <s v="Rab Nawaz ( Painter)"/>
    <x v="14"/>
    <x v="1"/>
    <s v="Payment"/>
    <n v="-20000"/>
  </r>
  <r>
    <x v="1501"/>
    <d v="2020-10-28T00:00:00"/>
    <s v="Bashir (Electric)"/>
    <x v="10"/>
    <x v="1"/>
    <s v="Payment"/>
    <n v="-10000"/>
  </r>
  <r>
    <x v="1502"/>
    <d v="2020-10-29T00:00:00"/>
    <s v="Received from Ahmed BhaiChq#A-5599"/>
    <x v="8"/>
    <x v="1"/>
    <s v="Receipt"/>
    <n v="40000"/>
  </r>
  <r>
    <x v="1503"/>
    <d v="2020-10-29T00:00:00"/>
    <s v="Nawab Chunai Palster"/>
    <x v="12"/>
    <x v="1"/>
    <s v="Payment"/>
    <n v="-20000"/>
  </r>
  <r>
    <x v="1504"/>
    <d v="2020-10-29T00:00:00"/>
    <s v="Trolly Barring"/>
    <x v="2"/>
    <x v="1"/>
    <s v="Payment"/>
    <n v="-150"/>
  </r>
  <r>
    <x v="1505"/>
    <d v="2020-10-29T00:00:00"/>
    <s v="Shuttring Cartage"/>
    <x v="2"/>
    <x v="1"/>
    <s v="Payment"/>
    <n v="-1500"/>
  </r>
  <r>
    <x v="1506"/>
    <d v="2020-10-31T00:00:00"/>
    <s v="Arif (Tile Fixer)"/>
    <x v="16"/>
    <x v="1"/>
    <s v="Payment"/>
    <n v="-4600"/>
  </r>
  <r>
    <x v="1507"/>
    <d v="2020-10-31T00:00:00"/>
    <s v="Tea for labour"/>
    <x v="2"/>
    <x v="1"/>
    <s v="Payment"/>
    <n v="-150"/>
  </r>
  <r>
    <x v="1508"/>
    <d v="2020-11-01T00:00:00"/>
    <s v="Haq Nawaz   Month Oct-20 Payment"/>
    <x v="0"/>
    <x v="1"/>
    <s v="Payment"/>
    <n v="-4000"/>
  </r>
  <r>
    <x v="1509"/>
    <d v="2020-11-02T00:00:00"/>
    <s v="Rab Nawaz ( Painter)"/>
    <x v="14"/>
    <x v="1"/>
    <s v="Payment"/>
    <n v="-2200"/>
  </r>
  <r>
    <x v="1510"/>
    <d v="2020-11-02T00:00:00"/>
    <s v="Received from Ahmed BhaiChq#A-0000"/>
    <x v="8"/>
    <x v="1"/>
    <s v="Receipt"/>
    <n v="100000"/>
  </r>
  <r>
    <x v="1511"/>
    <d v="2020-11-03T00:00:00"/>
    <s v="Nawab Chunai Palster"/>
    <x v="12"/>
    <x v="1"/>
    <s v="Payment"/>
    <n v="-20000"/>
  </r>
  <r>
    <x v="1512"/>
    <d v="2020-11-03T00:00:00"/>
    <s v="Masson+Labour"/>
    <x v="0"/>
    <x v="1"/>
    <s v="Payment"/>
    <n v="-6500"/>
  </r>
  <r>
    <x v="1513"/>
    <d v="2020-11-03T00:00:00"/>
    <s v="Haq Nawaz "/>
    <x v="0"/>
    <x v="1"/>
    <s v="Payment"/>
    <n v="-4000"/>
  </r>
  <r>
    <x v="1514"/>
    <d v="2020-11-03T00:00:00"/>
    <s v="Rab Nawaz ( Painter)"/>
    <x v="14"/>
    <x v="1"/>
    <s v="Payment"/>
    <n v="-2000"/>
  </r>
  <r>
    <x v="1515"/>
    <d v="2020-11-03T00:00:00"/>
    <s v="Liaqat (Contractor)         HBL Chq: 00000046"/>
    <x v="9"/>
    <x v="1"/>
    <s v="Payment"/>
    <n v="-20000"/>
  </r>
  <r>
    <x v="1516"/>
    <d v="2020-11-04T00:00:00"/>
    <s v="Rab Nawaz ( Painter)"/>
    <x v="14"/>
    <x v="1"/>
    <s v="Payment"/>
    <n v="-2000"/>
  </r>
  <r>
    <x v="1517"/>
    <d v="2020-11-05T00:00:00"/>
    <s v="Rab Nawaz ( Painter)"/>
    <x v="14"/>
    <x v="1"/>
    <s v="Payment"/>
    <n v="-2000"/>
  </r>
  <r>
    <x v="1518"/>
    <d v="2020-11-06T00:00:00"/>
    <s v="Rab Nawaz ( Painter)"/>
    <x v="14"/>
    <x v="1"/>
    <s v="Payment"/>
    <n v="-2500"/>
  </r>
  <r>
    <x v="1519"/>
    <d v="2020-11-07T00:00:00"/>
    <s v="Bashir (Electric)"/>
    <x v="10"/>
    <x v="1"/>
    <s v="Payment"/>
    <n v="-10000"/>
  </r>
  <r>
    <x v="1520"/>
    <d v="2020-11-07T00:00:00"/>
    <s v="Rab Nawaz ( Painter)"/>
    <x v="14"/>
    <x v="1"/>
    <s v="Payment"/>
    <n v="-5000"/>
  </r>
  <r>
    <x v="1521"/>
    <d v="2020-11-11T00:00:00"/>
    <s v="Received from Ahmed Bhai  Cash"/>
    <x v="8"/>
    <x v="1"/>
    <s v="Receipt"/>
    <n v="20000"/>
  </r>
  <r>
    <x v="1522"/>
    <d v="2020-11-11T00:00:00"/>
    <s v="Nawab Chunai Palster"/>
    <x v="12"/>
    <x v="1"/>
    <s v="Payment"/>
    <n v="-20000"/>
  </r>
  <r>
    <x v="1523"/>
    <d v="2020-11-12T00:00:00"/>
    <s v="Haq Nawaz "/>
    <x v="0"/>
    <x v="1"/>
    <s v="Payment"/>
    <n v="-1000"/>
  </r>
  <r>
    <x v="1524"/>
    <d v="2020-11-12T00:00:00"/>
    <s v="Khalil (Plumber)"/>
    <x v="15"/>
    <x v="1"/>
    <s v="Payment"/>
    <n v="-1000"/>
  </r>
  <r>
    <x v="1525"/>
    <d v="2020-11-14T00:00:00"/>
    <s v="Bashir (Electric)"/>
    <x v="10"/>
    <x v="1"/>
    <s v="Payment"/>
    <n v="-10000"/>
  </r>
  <r>
    <x v="1526"/>
    <d v="2020-11-17T00:00:00"/>
    <s v="Shuttring Cartage"/>
    <x v="2"/>
    <x v="1"/>
    <s v="Payment"/>
    <n v="-8000"/>
  </r>
  <r>
    <x v="1527"/>
    <d v="2020-11-19T00:00:00"/>
    <s v="Haq Nawaz "/>
    <x v="0"/>
    <x v="1"/>
    <s v="Payment"/>
    <n v="-1000"/>
  </r>
  <r>
    <x v="1528"/>
    <d v="2020-11-19T00:00:00"/>
    <s v="Rab Nawaz ( Painter)"/>
    <x v="14"/>
    <x v="1"/>
    <s v="Payment"/>
    <n v="-1000"/>
  </r>
  <r>
    <x v="1529"/>
    <d v="2020-11-19T00:00:00"/>
    <s v="Geti ka Dasta"/>
    <x v="2"/>
    <x v="1"/>
    <s v="Payment"/>
    <n v="-100"/>
  </r>
  <r>
    <x v="1530"/>
    <d v="2020-11-21T00:00:00"/>
    <s v="Rab Nawaz ( Painter)"/>
    <x v="14"/>
    <x v="1"/>
    <s v="Payment"/>
    <n v="-1000"/>
  </r>
  <r>
    <x v="1531"/>
    <d v="2020-11-21T00:00:00"/>
    <s v="Received from Ahmed Bhai  Cash"/>
    <x v="8"/>
    <x v="1"/>
    <s v="Receipt"/>
    <n v="80000"/>
  </r>
  <r>
    <x v="1532"/>
    <d v="2020-11-21T00:00:00"/>
    <s v="Sabir (Bathroom Repairing)"/>
    <x v="0"/>
    <x v="1"/>
    <s v="Payment"/>
    <n v="-1000"/>
  </r>
  <r>
    <x v="1533"/>
    <d v="2020-11-21T00:00:00"/>
    <s v="Masson+Labour"/>
    <x v="0"/>
    <x v="1"/>
    <s v="Payment"/>
    <n v="-8100"/>
  </r>
  <r>
    <x v="1534"/>
    <d v="2020-11-21T00:00:00"/>
    <s v="Haq Nawaz "/>
    <x v="0"/>
    <x v="1"/>
    <s v="Payment"/>
    <n v="-1000"/>
  </r>
  <r>
    <x v="1535"/>
    <d v="2020-11-23T00:00:00"/>
    <s v="Nawab Chunai Palster"/>
    <x v="12"/>
    <x v="1"/>
    <s v="Payment"/>
    <n v="-20000"/>
  </r>
  <r>
    <x v="1536"/>
    <d v="2020-11-23T00:00:00"/>
    <s v="Haq Nawaz "/>
    <x v="0"/>
    <x v="1"/>
    <s v="Payment"/>
    <n v="-1000"/>
  </r>
  <r>
    <x v="1537"/>
    <d v="2020-11-23T00:00:00"/>
    <s v="Rab Nawaz ( Painter)"/>
    <x v="14"/>
    <x v="1"/>
    <s v="Payment"/>
    <n v="-2000"/>
  </r>
  <r>
    <x v="1538"/>
    <d v="2020-11-23T00:00:00"/>
    <s v="Tea for labour"/>
    <x v="2"/>
    <x v="1"/>
    <s v="Payment"/>
    <n v="-100"/>
  </r>
  <r>
    <x v="1539"/>
    <d v="2020-11-24T00:00:00"/>
    <s v="Rab Nawaz ( Painter)"/>
    <x v="14"/>
    <x v="1"/>
    <s v="Payment"/>
    <n v="-3000"/>
  </r>
  <r>
    <x v="1540"/>
    <d v="2020-11-25T00:00:00"/>
    <s v="Asif Bhai      Month Oct -20 Payment"/>
    <x v="1"/>
    <x v="1"/>
    <s v="Payment"/>
    <n v="-60000"/>
  </r>
  <r>
    <x v="1541"/>
    <d v="2020-11-26T00:00:00"/>
    <s v="Received from Ahmed Bhai  Cash"/>
    <x v="8"/>
    <x v="1"/>
    <s v="Receipt"/>
    <n v="20000"/>
  </r>
  <r>
    <x v="1542"/>
    <d v="2020-11-26T00:00:00"/>
    <s v="Nawab Chunai Palster"/>
    <x v="12"/>
    <x v="1"/>
    <s v="Payment"/>
    <n v="-20000"/>
  </r>
  <r>
    <x v="1543"/>
    <d v="2020-11-28T00:00:00"/>
    <s v="Rab Nawaz ( Painter)"/>
    <x v="14"/>
    <x v="1"/>
    <s v="Payment"/>
    <n v="-2000"/>
  </r>
  <r>
    <x v="1544"/>
    <d v="2020-11-29T00:00:00"/>
    <s v="Rab Nawaz ( Painter)"/>
    <x v="14"/>
    <x v="1"/>
    <s v="Payment"/>
    <n v="-1000"/>
  </r>
  <r>
    <x v="1545"/>
    <d v="2020-11-30T00:00:00"/>
    <s v="Received from Ahmed Bhai  Cash"/>
    <x v="8"/>
    <x v="1"/>
    <s v="Receipt"/>
    <n v="80000"/>
  </r>
  <r>
    <x v="1546"/>
    <d v="2020-11-30T00:00:00"/>
    <s v="Rab Nawaz ( Painter)"/>
    <x v="14"/>
    <x v="1"/>
    <s v="Payment"/>
    <n v="-10000"/>
  </r>
  <r>
    <x v="1547"/>
    <d v="2020-11-30T00:00:00"/>
    <s v="Khalil (Plumber)"/>
    <x v="15"/>
    <x v="1"/>
    <s v="Payment"/>
    <n v="-20000"/>
  </r>
  <r>
    <x v="1548"/>
    <d v="2020-11-30T00:00:00"/>
    <s v="Bashir (Electric)"/>
    <x v="10"/>
    <x v="1"/>
    <s v="Payment"/>
    <n v="-20000"/>
  </r>
  <r>
    <x v="1549"/>
    <d v="2020-12-01T00:00:00"/>
    <s v="Nawab Chunai Palster"/>
    <x v="12"/>
    <x v="1"/>
    <s v="Payment"/>
    <n v="-10000"/>
  </r>
  <r>
    <x v="1550"/>
    <d v="2020-12-03T00:00:00"/>
    <s v="Rab Nawaz ( Painter)"/>
    <x v="14"/>
    <x v="1"/>
    <s v="Payment"/>
    <n v="-2000"/>
  </r>
  <r>
    <x v="1551"/>
    <d v="2020-12-06T00:00:00"/>
    <s v="Received from Ahmed Bhai  Cash"/>
    <x v="8"/>
    <x v="1"/>
    <s v="Receipt"/>
    <n v="20000"/>
  </r>
  <r>
    <x v="1552"/>
    <d v="2020-12-06T00:00:00"/>
    <s v="Rab Nawaz ( Painter)"/>
    <x v="14"/>
    <x v="1"/>
    <s v="Payment"/>
    <n v="-3000"/>
  </r>
  <r>
    <x v="1553"/>
    <d v="2020-12-06T00:00:00"/>
    <s v="Haq Nawaz   Month Nov-20 Payment"/>
    <x v="0"/>
    <x v="1"/>
    <s v="Payment"/>
    <n v="-15000"/>
  </r>
  <r>
    <x v="1554"/>
    <d v="2020-12-09T00:00:00"/>
    <s v="Haq Nawaz "/>
    <x v="0"/>
    <x v="1"/>
    <s v="Payment"/>
    <n v="-2000"/>
  </r>
  <r>
    <x v="1555"/>
    <d v="2020-12-13T00:00:00"/>
    <s v="Received from Ahmed Bhai  Cash"/>
    <x v="8"/>
    <x v="1"/>
    <s v="Receipt"/>
    <n v="80000"/>
  </r>
  <r>
    <x v="1556"/>
    <d v="2020-12-13T00:00:00"/>
    <s v="Haq Nawaz "/>
    <x v="0"/>
    <x v="1"/>
    <s v="Payment"/>
    <n v="-2000"/>
  </r>
  <r>
    <x v="1557"/>
    <d v="2020-12-13T00:00:00"/>
    <s v="Rab Nawaz ( Painter)"/>
    <x v="14"/>
    <x v="1"/>
    <s v="Payment"/>
    <n v="-5000"/>
  </r>
  <r>
    <x v="1558"/>
    <d v="2020-12-16T00:00:00"/>
    <s v="Rab Nawaz ( Painter)"/>
    <x v="14"/>
    <x v="1"/>
    <s v="Payment"/>
    <n v="-2000"/>
  </r>
  <r>
    <x v="1559"/>
    <d v="2020-12-18T00:00:00"/>
    <s v="Rab Nawaz ( Painter)"/>
    <x v="14"/>
    <x v="1"/>
    <s v="Payment"/>
    <n v="-1000"/>
  </r>
  <r>
    <x v="1560"/>
    <d v="2020-12-20T00:00:00"/>
    <s v="Rab Nawaz ( Painter)"/>
    <x v="14"/>
    <x v="1"/>
    <s v="Payment"/>
    <n v="-2000"/>
  </r>
  <r>
    <x v="1561"/>
    <d v="2020-12-20T00:00:00"/>
    <s v="Haq Nawaz "/>
    <x v="0"/>
    <x v="1"/>
    <s v="Payment"/>
    <n v="-5000"/>
  </r>
  <r>
    <x v="1562"/>
    <d v="2020-12-21T00:00:00"/>
    <s v="Asif Bhai      Month Nov -20 Payment"/>
    <x v="1"/>
    <x v="1"/>
    <s v="Payment"/>
    <n v="-60000"/>
  </r>
  <r>
    <x v="1563"/>
    <d v="2020-12-22T00:00:00"/>
    <s v="Received from Ahmed Bhai  Cash"/>
    <x v="8"/>
    <x v="1"/>
    <s v="Receipt"/>
    <n v="70000"/>
  </r>
  <r>
    <x v="1564"/>
    <d v="2020-12-22T00:00:00"/>
    <s v="Nawab Chunai Palster"/>
    <x v="12"/>
    <x v="1"/>
    <s v="Payment"/>
    <n v="-70000"/>
  </r>
  <r>
    <x v="1565"/>
    <d v="2020-12-27T00:00:00"/>
    <s v="Received from Ahmed Bhai  Cash"/>
    <x v="8"/>
    <x v="1"/>
    <s v="Receipt"/>
    <n v="10000"/>
  </r>
  <r>
    <x v="1566"/>
    <d v="2020-12-27T00:00:00"/>
    <s v="Rab Nawaz ( Painter)"/>
    <x v="14"/>
    <x v="1"/>
    <s v="Payment"/>
    <n v="-10000"/>
  </r>
  <r>
    <x v="1567"/>
    <d v="2020-12-30T00:00:00"/>
    <s v="Received from Ahmed Bhai  Cash"/>
    <x v="8"/>
    <x v="1"/>
    <s v="Receipt"/>
    <n v="100000"/>
  </r>
  <r>
    <x v="1568"/>
    <d v="2020-12-30T00:00:00"/>
    <s v="Rab Nawaz ( Painter)"/>
    <x v="14"/>
    <x v="1"/>
    <s v="Payment"/>
    <n v="-10000"/>
  </r>
  <r>
    <x v="1569"/>
    <d v="2020-12-31T00:00:00"/>
    <s v="Liaqat (Contractor)         Cash"/>
    <x v="9"/>
    <x v="1"/>
    <s v="Payment"/>
    <n v="-20000"/>
  </r>
  <r>
    <x v="1570"/>
    <d v="2020-12-31T00:00:00"/>
    <s v="Liaqat (Contractor)         HBL Chq: 00000046"/>
    <x v="9"/>
    <x v="1"/>
    <s v="Payment"/>
    <n v="-30000"/>
  </r>
  <r>
    <x v="1571"/>
    <d v="2021-01-02T00:00:00"/>
    <s v="Nawab Chunai Palster"/>
    <x v="12"/>
    <x v="1"/>
    <s v="Payment"/>
    <n v="-30000"/>
  </r>
  <r>
    <x v="1572"/>
    <d v="2021-01-03T00:00:00"/>
    <s v="Haq Nawaz   Month Dec-20 Payment"/>
    <x v="0"/>
    <x v="1"/>
    <s v="Payment"/>
    <n v="-13000"/>
  </r>
  <r>
    <x v="1573"/>
    <d v="2021-01-07T00:00:00"/>
    <s v="Khalil (Plumber)"/>
    <x v="15"/>
    <x v="1"/>
    <s v="Payment"/>
    <n v="-15000"/>
  </r>
  <r>
    <x v="1574"/>
    <d v="2021-01-26T00:00:00"/>
    <s v="Received from Ahmed Bhai  Cash"/>
    <x v="8"/>
    <x v="0"/>
    <s v="Receipt"/>
    <n v="4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N222" firstHeaderRow="1" firstDataRow="2" firstDataCol="1" rowPageCount="1" colPageCount="1"/>
  <pivotFields count="7">
    <pivotField axis="axisRow" showAll="0">
      <items count="15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0"/>
        <item x="1143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t="default"/>
      </items>
    </pivotField>
    <pivotField numFmtId="14" showAll="0"/>
    <pivotField showAll="0"/>
    <pivotField axis="axisCol" showAll="0">
      <items count="18">
        <item x="3"/>
        <item x="8"/>
        <item x="13"/>
        <item x="5"/>
        <item x="7"/>
        <item x="4"/>
        <item x="9"/>
        <item x="12"/>
        <item x="6"/>
        <item x="10"/>
        <item x="14"/>
        <item x="15"/>
        <item x="1"/>
        <item x="0"/>
        <item x="2"/>
        <item x="11"/>
        <item x="16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showAll="0"/>
    <pivotField dataField="1" showAll="0" defaultSubtotal="0"/>
  </pivotFields>
  <rowFields count="1">
    <field x="0"/>
  </rowFields>
  <rowItems count="218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6"/>
    </i>
    <i>
      <x v="97"/>
    </i>
    <i>
      <x v="98"/>
    </i>
    <i>
      <x v="99"/>
    </i>
    <i>
      <x v="100"/>
    </i>
    <i>
      <x v="101"/>
    </i>
    <i>
      <x v="108"/>
    </i>
    <i>
      <x v="111"/>
    </i>
    <i>
      <x v="112"/>
    </i>
    <i>
      <x v="113"/>
    </i>
    <i>
      <x v="114"/>
    </i>
    <i>
      <x v="115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2"/>
    </i>
    <i>
      <x v="153"/>
    </i>
    <i>
      <x v="155"/>
    </i>
    <i>
      <x v="156"/>
    </i>
    <i>
      <x v="162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204"/>
    </i>
    <i>
      <x v="205"/>
    </i>
    <i>
      <x v="206"/>
    </i>
    <i>
      <x v="207"/>
    </i>
    <i>
      <x v="208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8"/>
    </i>
    <i>
      <x v="249"/>
    </i>
    <i>
      <x v="250"/>
    </i>
    <i>
      <x v="251"/>
    </i>
    <i>
      <x v="252"/>
    </i>
    <i>
      <x v="256"/>
    </i>
    <i>
      <x v="257"/>
    </i>
    <i>
      <x v="260"/>
    </i>
    <i>
      <x v="319"/>
    </i>
    <i>
      <x v="320"/>
    </i>
    <i>
      <x v="327"/>
    </i>
    <i>
      <x v="370"/>
    </i>
    <i>
      <x v="662"/>
    </i>
    <i>
      <x v="755"/>
    </i>
    <i>
      <x v="764"/>
    </i>
    <i>
      <x v="812"/>
    </i>
    <i>
      <x v="953"/>
    </i>
    <i>
      <x v="1141"/>
    </i>
    <i>
      <x v="1159"/>
    </i>
    <i>
      <x v="1162"/>
    </i>
    <i>
      <x v="1574"/>
    </i>
    <i t="grand">
      <x/>
    </i>
  </rowItems>
  <colFields count="1">
    <field x="3"/>
  </colFields>
  <col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 t="grand">
      <x/>
    </i>
  </colItems>
  <pageFields count="1">
    <pageField fld="4" item="1" hier="-1"/>
  </pageFields>
  <dataFields count="1">
    <dataField name="Sum of Dr. or (Cr)                Rs." fld="6" baseField="0" baseItem="0"/>
  </dataFields>
  <formats count="34">
    <format dxfId="1474">
      <pivotArea field="0" type="button" dataOnly="0" labelOnly="1" outline="0" axis="axisRow" fieldPosition="0"/>
    </format>
    <format dxfId="1473">
      <pivotArea dataOnly="0" labelOnly="1" fieldPosition="0">
        <references count="1">
          <reference field="3" count="0"/>
        </references>
      </pivotArea>
    </format>
    <format dxfId="1472">
      <pivotArea dataOnly="0" labelOnly="1" grandCol="1" outline="0" fieldPosition="0"/>
    </format>
    <format dxfId="1471">
      <pivotArea outline="0" collapsedLevelsAreSubtotals="1" fieldPosition="0"/>
    </format>
    <format dxfId="1470">
      <pivotArea field="0" type="button" dataOnly="0" labelOnly="1" outline="0" axis="axisRow" fieldPosition="0"/>
    </format>
    <format dxfId="1469">
      <pivotArea dataOnly="0" labelOnly="1" fieldPosition="0">
        <references count="1">
          <reference field="0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468">
      <pivotArea dataOnly="0" labelOnly="1" fieldPosition="0">
        <references count="1">
          <reference field="0" count="50">
            <x v="51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7"/>
            <x v="98"/>
            <x v="99"/>
            <x v="100"/>
            <x v="101"/>
            <x v="102"/>
          </reference>
        </references>
      </pivotArea>
    </format>
    <format dxfId="1467">
      <pivotArea dataOnly="0" labelOnly="1" fieldPosition="0">
        <references count="1">
          <reference field="0" count="50">
            <x v="109"/>
            <x v="112"/>
            <x v="113"/>
            <x v="114"/>
            <x v="115"/>
            <x v="116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6"/>
            <x v="137"/>
            <x v="138"/>
            <x v="139"/>
            <x v="140"/>
            <x v="141"/>
            <x v="142"/>
            <x v="144"/>
            <x v="145"/>
            <x v="146"/>
            <x v="147"/>
            <x v="148"/>
            <x v="149"/>
            <x v="150"/>
            <x v="153"/>
            <x v="154"/>
            <x v="156"/>
            <x v="157"/>
            <x v="163"/>
            <x v="171"/>
            <x v="172"/>
            <x v="173"/>
            <x v="174"/>
            <x v="175"/>
            <x v="176"/>
            <x v="177"/>
            <x v="178"/>
          </reference>
        </references>
      </pivotArea>
    </format>
    <format dxfId="1466">
      <pivotArea dataOnly="0" labelOnly="1" fieldPosition="0">
        <references count="1">
          <reference field="0" count="50">
            <x v="179"/>
            <x v="180"/>
            <x v="181"/>
            <x v="182"/>
            <x v="183"/>
            <x v="184"/>
            <x v="185"/>
            <x v="186"/>
            <x v="187"/>
            <x v="188"/>
            <x v="205"/>
            <x v="206"/>
            <x v="207"/>
            <x v="208"/>
            <x v="209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9"/>
            <x v="250"/>
            <x v="251"/>
          </reference>
        </references>
      </pivotArea>
    </format>
    <format dxfId="1465">
      <pivotArea dataOnly="0" labelOnly="1" fieldPosition="0">
        <references count="1">
          <reference field="0" count="14">
            <x v="252"/>
            <x v="253"/>
            <x v="257"/>
            <x v="258"/>
            <x v="261"/>
            <x v="320"/>
            <x v="321"/>
            <x v="328"/>
            <x v="371"/>
            <x v="663"/>
            <x v="756"/>
            <x v="765"/>
            <x v="813"/>
            <x v="954"/>
          </reference>
        </references>
      </pivotArea>
    </format>
    <format dxfId="1464">
      <pivotArea dataOnly="0" labelOnly="1" grandRow="1" outline="0" fieldPosition="0"/>
    </format>
    <format dxfId="1463">
      <pivotArea dataOnly="0" labelOnly="1" fieldPosition="0">
        <references count="1">
          <reference field="3" count="11">
            <x v="0"/>
            <x v="1"/>
            <x v="3"/>
            <x v="4"/>
            <x v="5"/>
            <x v="6"/>
            <x v="8"/>
            <x v="9"/>
            <x v="12"/>
            <x v="13"/>
            <x v="14"/>
          </reference>
        </references>
      </pivotArea>
    </format>
    <format dxfId="1462">
      <pivotArea dataOnly="0" labelOnly="1" grandCol="1" outline="0" fieldPosition="0"/>
    </format>
    <format dxfId="1461">
      <pivotArea dataOnly="0" labelOnly="1" fieldPosition="0">
        <references count="1">
          <reference field="3" count="1">
            <x v="7"/>
          </reference>
        </references>
      </pivotArea>
    </format>
    <format dxfId="1460">
      <pivotArea field="0" type="button" dataOnly="0" labelOnly="1" outline="0" axis="axisRow" fieldPosition="0"/>
    </format>
    <format dxfId="1459">
      <pivotArea dataOnly="0" labelOnly="1" fieldPosition="0">
        <references count="1">
          <reference field="3" count="12">
            <x v="0"/>
            <x v="1"/>
            <x v="3"/>
            <x v="4"/>
            <x v="5"/>
            <x v="6"/>
            <x v="7"/>
            <x v="8"/>
            <x v="9"/>
            <x v="12"/>
            <x v="13"/>
            <x v="14"/>
          </reference>
        </references>
      </pivotArea>
    </format>
    <format dxfId="1458">
      <pivotArea dataOnly="0" labelOnly="1" grandCol="1" outline="0" fieldPosition="0"/>
    </format>
    <format dxfId="1457">
      <pivotArea field="0" type="button" dataOnly="0" labelOnly="1" outline="0" axis="axisRow" fieldPosition="0"/>
    </format>
    <format dxfId="1456">
      <pivotArea dataOnly="0" labelOnly="1" fieldPosition="0">
        <references count="1">
          <reference field="3" count="12">
            <x v="0"/>
            <x v="1"/>
            <x v="3"/>
            <x v="4"/>
            <x v="5"/>
            <x v="6"/>
            <x v="7"/>
            <x v="8"/>
            <x v="9"/>
            <x v="12"/>
            <x v="13"/>
            <x v="14"/>
          </reference>
        </references>
      </pivotArea>
    </format>
    <format dxfId="1455">
      <pivotArea dataOnly="0" labelOnly="1" grandCol="1" outline="0" fieldPosition="0"/>
    </format>
    <format dxfId="1454">
      <pivotArea field="0" type="button" dataOnly="0" labelOnly="1" outline="0" axis="axisRow" fieldPosition="0"/>
    </format>
    <format dxfId="1453">
      <pivotArea dataOnly="0" labelOnly="1" fieldPosition="0">
        <references count="1">
          <reference field="3" count="12">
            <x v="0"/>
            <x v="1"/>
            <x v="3"/>
            <x v="4"/>
            <x v="5"/>
            <x v="6"/>
            <x v="7"/>
            <x v="8"/>
            <x v="9"/>
            <x v="12"/>
            <x v="13"/>
            <x v="14"/>
          </reference>
        </references>
      </pivotArea>
    </format>
    <format dxfId="1452">
      <pivotArea dataOnly="0" labelOnly="1" grandCol="1" outline="0" fieldPosition="0"/>
    </format>
    <format dxfId="1451">
      <pivotArea field="3" grandRow="1" outline="0" collapsedLevelsAreSubtotals="1" axis="axisCol" fieldPosition="0">
        <references count="1">
          <reference field="3" count="7" selected="0">
            <x v="3"/>
            <x v="4"/>
            <x v="5"/>
            <x v="6"/>
            <x v="7"/>
            <x v="8"/>
            <x v="9"/>
          </reference>
        </references>
      </pivotArea>
    </format>
    <format dxfId="1450">
      <pivotArea field="3" grandRow="1" outline="0" collapsedLevelsAreSubtotals="1" axis="axisCol" fieldPosition="0">
        <references count="1">
          <reference field="3" count="1" selected="0">
            <x v="14"/>
          </reference>
        </references>
      </pivotArea>
    </format>
    <format dxfId="1449">
      <pivotArea field="3" grandRow="1" outline="0" collapsedLevelsAreSubtotals="1" axis="axisCol" fieldPosition="0">
        <references count="1">
          <reference field="3" count="1" selected="0">
            <x v="13"/>
          </reference>
        </references>
      </pivotArea>
    </format>
    <format dxfId="1448">
      <pivotArea outline="0" collapsedLevelsAreSubtotals="1" fieldPosition="0">
        <references count="1">
          <reference field="3" count="7" selected="0">
            <x v="3"/>
            <x v="4"/>
            <x v="5"/>
            <x v="6"/>
            <x v="7"/>
            <x v="8"/>
            <x v="9"/>
          </reference>
        </references>
      </pivotArea>
    </format>
    <format dxfId="1447">
      <pivotArea outline="0" collapsedLevelsAreSubtotals="1" fieldPosition="0">
        <references count="1">
          <reference field="3" count="2" selected="0">
            <x v="13"/>
            <x v="14"/>
          </reference>
        </references>
      </pivotArea>
    </format>
    <format dxfId="1446">
      <pivotArea field="3" grandRow="1" outline="0" collapsedLevelsAreSubtotals="1" axis="axisCol" fieldPosition="0">
        <references count="1">
          <reference field="3" count="10" selected="0">
            <x v="3"/>
            <x v="4"/>
            <x v="5"/>
            <x v="6"/>
            <x v="7"/>
            <x v="8"/>
            <x v="9"/>
            <x v="12"/>
            <x v="13"/>
            <x v="14"/>
          </reference>
        </references>
      </pivotArea>
    </format>
    <format dxfId="1445">
      <pivotArea grandRow="1" grandCol="1" outline="0" collapsedLevelsAreSubtotals="1" fieldPosition="0"/>
    </format>
    <format dxfId="1444">
      <pivotArea field="3" grandRow="1" outline="0" collapsedLevelsAreSubtotals="1" axis="axisCol" fieldPosition="0">
        <references count="1">
          <reference field="3" count="10" selected="0">
            <x v="3"/>
            <x v="4"/>
            <x v="5"/>
            <x v="6"/>
            <x v="7"/>
            <x v="8"/>
            <x v="9"/>
            <x v="12"/>
            <x v="13"/>
            <x v="14"/>
          </reference>
        </references>
      </pivotArea>
    </format>
    <format dxfId="1443">
      <pivotArea grandRow="1" grandCol="1" outline="0" collapsedLevelsAreSubtotals="1" fieldPosition="0"/>
    </format>
    <format dxfId="1442">
      <pivotArea field="3" grandRow="1" outline="0" collapsedLevelsAreSubtotals="1" axis="axisCol" fieldPosition="0">
        <references count="1">
          <reference field="3" count="10" selected="0">
            <x v="3"/>
            <x v="4"/>
            <x v="5"/>
            <x v="6"/>
            <x v="7"/>
            <x v="8"/>
            <x v="9"/>
            <x v="12"/>
            <x v="13"/>
            <x v="14"/>
          </reference>
        </references>
      </pivotArea>
    </format>
    <format dxfId="1441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Q1359" firstHeaderRow="1" firstDataRow="2" firstDataCol="1" rowPageCount="1" colPageCount="1"/>
  <pivotFields count="7">
    <pivotField axis="axisRow" showAll="0">
      <items count="15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7"/>
        <item x="1188"/>
        <item x="1189"/>
        <item x="1190"/>
        <item x="1191"/>
        <item x="1192"/>
        <item x="1193"/>
        <item x="1194"/>
        <item x="1195"/>
        <item x="1196"/>
        <item x="1186"/>
        <item x="110"/>
        <item x="1143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t="default"/>
      </items>
    </pivotField>
    <pivotField numFmtId="14" showAll="0"/>
    <pivotField showAll="0"/>
    <pivotField axis="axisCol" showAll="0">
      <items count="18">
        <item x="8"/>
        <item x="13"/>
        <item x="9"/>
        <item x="12"/>
        <item x="10"/>
        <item x="2"/>
        <item x="5"/>
        <item x="3"/>
        <item x="14"/>
        <item x="15"/>
        <item x="6"/>
        <item x="1"/>
        <item x="4"/>
        <item x="7"/>
        <item x="0"/>
        <item x="11"/>
        <item x="16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showAll="0"/>
    <pivotField dataField="1" showAll="0" defaultSubtotal="0"/>
  </pivotFields>
  <rowFields count="1">
    <field x="0"/>
  </rowFields>
  <rowItems count="1355">
    <i>
      <x v="5"/>
    </i>
    <i>
      <x v="52"/>
    </i>
    <i>
      <x v="95"/>
    </i>
    <i>
      <x v="102"/>
    </i>
    <i>
      <x v="103"/>
    </i>
    <i>
      <x v="104"/>
    </i>
    <i>
      <x v="105"/>
    </i>
    <i>
      <x v="106"/>
    </i>
    <i>
      <x v="107"/>
    </i>
    <i>
      <x v="109"/>
    </i>
    <i>
      <x v="110"/>
    </i>
    <i>
      <x v="116"/>
    </i>
    <i>
      <x v="134"/>
    </i>
    <i>
      <x v="142"/>
    </i>
    <i>
      <x v="150"/>
    </i>
    <i>
      <x v="154"/>
    </i>
    <i>
      <x v="157"/>
    </i>
    <i>
      <x v="158"/>
    </i>
    <i>
      <x v="159"/>
    </i>
    <i>
      <x v="160"/>
    </i>
    <i>
      <x v="161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9"/>
    </i>
    <i>
      <x v="210"/>
    </i>
    <i>
      <x v="243"/>
    </i>
    <i>
      <x v="244"/>
    </i>
    <i>
      <x v="245"/>
    </i>
    <i>
      <x v="247"/>
    </i>
    <i>
      <x v="253"/>
    </i>
    <i>
      <x v="254"/>
    </i>
    <i>
      <x v="255"/>
    </i>
    <i>
      <x v="258"/>
    </i>
    <i>
      <x v="259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21"/>
    </i>
    <i>
      <x v="322"/>
    </i>
    <i>
      <x v="323"/>
    </i>
    <i>
      <x v="324"/>
    </i>
    <i>
      <x v="325"/>
    </i>
    <i>
      <x v="326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60"/>
    </i>
    <i>
      <x v="1161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 t="grand">
      <x/>
    </i>
  </rowItems>
  <colFields count="1">
    <field x="3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 t="grand">
      <x/>
    </i>
  </colItems>
  <pageFields count="1">
    <pageField fld="4" item="0" hier="-1"/>
  </pageFields>
  <dataFields count="1">
    <dataField name="Sum of Dr. or (Cr)                Rs." fld="6" baseField="0" baseItem="1178"/>
  </dataFields>
  <formats count="30">
    <format dxfId="1440">
      <pivotArea outline="0" collapsedLevelsAreSubtotals="1" fieldPosition="0"/>
    </format>
    <format dxfId="1439">
      <pivotArea field="0" type="button" dataOnly="0" labelOnly="1" outline="0" axis="axisRow" fieldPosition="0"/>
    </format>
    <format dxfId="143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37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36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35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34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33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32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31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430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429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428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427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426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425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424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423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422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421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420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419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418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417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416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415">
      <pivotArea dataOnly="0" labelOnly="1" fieldPosition="0">
        <references count="1">
          <reference field="0" count="31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</reference>
        </references>
      </pivotArea>
    </format>
    <format dxfId="1414">
      <pivotArea dataOnly="0" labelOnly="1" grandRow="1" outline="0" fieldPosition="0"/>
    </format>
    <format dxfId="1413">
      <pivotArea dataOnly="0" labelOnly="1" fieldPosition="0">
        <references count="1">
          <reference field="3" count="0"/>
        </references>
      </pivotArea>
    </format>
    <format dxfId="1412">
      <pivotArea dataOnly="0" labelOnly="1" grandCol="1" outline="0" fieldPosition="0"/>
    </format>
    <format dxfId="1411">
      <pivotArea dataOnly="0" labelOnly="1" fieldPosition="0">
        <references count="1">
          <reference field="0" count="13"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4:E534" firstHeaderRow="1" firstDataRow="2" firstDataCol="1" rowPageCount="1" colPageCount="1"/>
  <pivotFields count="7">
    <pivotField showAll="0"/>
    <pivotField axis="axisRow" numFmtId="14" showAll="0" sortType="ascending">
      <items count="5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m="1" x="53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m="1" x="529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12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m="1" x="531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8"/>
        <item x="374"/>
        <item x="375"/>
        <item x="376"/>
        <item x="379"/>
        <item x="377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9"/>
        <item x="428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360"/>
        <item t="default"/>
      </items>
    </pivotField>
    <pivotField showAll="0">
      <items count="508">
        <item x="128"/>
        <item x="7"/>
        <item x="42"/>
        <item x="43"/>
        <item x="48"/>
        <item x="53"/>
        <item x="54"/>
        <item x="62"/>
        <item x="65"/>
        <item x="66"/>
        <item x="87"/>
        <item x="88"/>
        <item x="89"/>
        <item x="101"/>
        <item x="80"/>
        <item x="81"/>
        <item x="475"/>
        <item x="476"/>
        <item x="356"/>
        <item x="167"/>
        <item x="57"/>
        <item x="60"/>
        <item x="150"/>
        <item x="151"/>
        <item x="142"/>
        <item x="431"/>
        <item x="442"/>
        <item x="259"/>
        <item x="97"/>
        <item x="272"/>
        <item x="154"/>
        <item x="398"/>
        <item x="306"/>
        <item x="309"/>
        <item x="301"/>
        <item x="96"/>
        <item x="201"/>
        <item x="334"/>
        <item x="77"/>
        <item x="406"/>
        <item x="397"/>
        <item x="59"/>
        <item x="238"/>
        <item x="251"/>
        <item x="76"/>
        <item x="82"/>
        <item x="267"/>
        <item x="250"/>
        <item x="44"/>
        <item x="190"/>
        <item x="189"/>
        <item x="279"/>
        <item x="263"/>
        <item x="176"/>
        <item x="173"/>
        <item x="223"/>
        <item x="265"/>
        <item x="307"/>
        <item x="361"/>
        <item x="262"/>
        <item x="362"/>
        <item x="369"/>
        <item x="384"/>
        <item x="373"/>
        <item x="288"/>
        <item x="280"/>
        <item x="281"/>
        <item x="315"/>
        <item x="237"/>
        <item x="217"/>
        <item x="273"/>
        <item x="274"/>
        <item x="258"/>
        <item x="473"/>
        <item x="102"/>
        <item x="45"/>
        <item x="46"/>
        <item x="56"/>
        <item x="231"/>
        <item x="342"/>
        <item x="115"/>
        <item x="205"/>
        <item x="325"/>
        <item x="378"/>
        <item x="249"/>
        <item x="285"/>
        <item x="276"/>
        <item x="371"/>
        <item x="360"/>
        <item x="303"/>
        <item x="341"/>
        <item x="240"/>
        <item x="394"/>
        <item x="385"/>
        <item x="166"/>
        <item x="179"/>
        <item x="485"/>
        <item x="430"/>
        <item x="441"/>
        <item x="437"/>
        <item x="481"/>
        <item x="471"/>
        <item x="445"/>
        <item x="463"/>
        <item x="501"/>
        <item x="499"/>
        <item x="494"/>
        <item x="148"/>
        <item x="455"/>
        <item x="409"/>
        <item x="63"/>
        <item x="51"/>
        <item x="199"/>
        <item x="335"/>
        <item x="327"/>
        <item x="386"/>
        <item x="400"/>
        <item x="392"/>
        <item x="299"/>
        <item x="428"/>
        <item x="291"/>
        <item x="159"/>
        <item x="381"/>
        <item x="181"/>
        <item x="233"/>
        <item x="482"/>
        <item x="86"/>
        <item x="434"/>
        <item x="203"/>
        <item x="422"/>
        <item x="37"/>
        <item x="0"/>
        <item x="257"/>
        <item x="304"/>
        <item x="178"/>
        <item x="55"/>
        <item x="162"/>
        <item x="144"/>
        <item x="49"/>
        <item x="104"/>
        <item x="158"/>
        <item x="114"/>
        <item x="103"/>
        <item x="143"/>
        <item x="372"/>
        <item x="100"/>
        <item x="414"/>
        <item x="79"/>
        <item x="78"/>
        <item x="222"/>
        <item x="109"/>
        <item x="75"/>
        <item x="139"/>
        <item x="318"/>
        <item x="421"/>
        <item x="349"/>
        <item x="74"/>
        <item x="70"/>
        <item x="31"/>
        <item x="435"/>
        <item x="58"/>
        <item x="98"/>
        <item x="12"/>
        <item x="346"/>
        <item x="213"/>
        <item x="127"/>
        <item x="126"/>
        <item x="171"/>
        <item x="472"/>
        <item x="491"/>
        <item x="161"/>
        <item x="29"/>
        <item x="468"/>
        <item x="17"/>
        <item x="11"/>
        <item x="71"/>
        <item x="492"/>
        <item x="418"/>
        <item x="230"/>
        <item x="6"/>
        <item x="8"/>
        <item x="10"/>
        <item x="412"/>
        <item x="110"/>
        <item x="38"/>
        <item x="3"/>
        <item x="169"/>
        <item x="149"/>
        <item x="64"/>
        <item x="320"/>
        <item x="498"/>
        <item x="68"/>
        <item x="450"/>
        <item x="355"/>
        <item x="124"/>
        <item x="140"/>
        <item x="242"/>
        <item x="453"/>
        <item x="461"/>
        <item x="367"/>
        <item x="211"/>
        <item x="239"/>
        <item x="244"/>
        <item x="260"/>
        <item x="264"/>
        <item x="289"/>
        <item x="83"/>
        <item x="322"/>
        <item x="332"/>
        <item x="359"/>
        <item x="448"/>
        <item x="271"/>
        <item x="284"/>
        <item x="175"/>
        <item x="92"/>
        <item x="30"/>
        <item x="191"/>
        <item x="319"/>
        <item x="311"/>
        <item x="147"/>
        <item x="131"/>
        <item x="27"/>
        <item x="106"/>
        <item x="417"/>
        <item x="451"/>
        <item x="483"/>
        <item x="503"/>
        <item x="440"/>
        <item x="436"/>
        <item x="479"/>
        <item x="469"/>
        <item x="444"/>
        <item x="457"/>
        <item x="500"/>
        <item x="497"/>
        <item x="486"/>
        <item x="411"/>
        <item x="401"/>
        <item x="405"/>
        <item x="152"/>
        <item x="305"/>
        <item x="333"/>
        <item x="278"/>
        <item x="344"/>
        <item x="283"/>
        <item x="297"/>
        <item x="298"/>
        <item x="324"/>
        <item x="376"/>
        <item x="363"/>
        <item x="352"/>
        <item x="300"/>
        <item x="343"/>
        <item x="391"/>
        <item x="380"/>
        <item x="73"/>
        <item x="122"/>
        <item x="165"/>
        <item x="118"/>
        <item x="133"/>
        <item x="138"/>
        <item x="339"/>
        <item x="22"/>
        <item x="188"/>
        <item x="254"/>
        <item x="438"/>
        <item x="419"/>
        <item x="269"/>
        <item x="256"/>
        <item x="155"/>
        <item x="16"/>
        <item x="353"/>
        <item x="374"/>
        <item x="137"/>
        <item x="292"/>
        <item x="36"/>
        <item x="227"/>
        <item x="336"/>
        <item x="218"/>
        <item x="9"/>
        <item x="69"/>
        <item x="4"/>
        <item x="377"/>
        <item x="456"/>
        <item x="454"/>
        <item x="225"/>
        <item x="168"/>
        <item x="153"/>
        <item x="420"/>
        <item x="465"/>
        <item x="432"/>
        <item x="116"/>
        <item x="282"/>
        <item x="290"/>
        <item x="502"/>
        <item x="177"/>
        <item x="210"/>
        <item x="209"/>
        <item x="293"/>
        <item x="340"/>
        <item x="399"/>
        <item x="383"/>
        <item x="358"/>
        <item x="294"/>
        <item x="330"/>
        <item x="410"/>
        <item x="460"/>
        <item x="458"/>
        <item x="90"/>
        <item x="91"/>
        <item x="20"/>
        <item x="145"/>
        <item x="312"/>
        <item x="506"/>
        <item x="505"/>
        <item x="107"/>
        <item x="129"/>
        <item x="34"/>
        <item x="212"/>
        <item x="232"/>
        <item x="197"/>
        <item x="248"/>
        <item x="261"/>
        <item x="229"/>
        <item x="180"/>
        <item x="207"/>
        <item x="136"/>
        <item x="135"/>
        <item x="95"/>
        <item x="490"/>
        <item x="449"/>
        <item x="452"/>
        <item x="393"/>
        <item x="208"/>
        <item x="202"/>
        <item x="85"/>
        <item x="5"/>
        <item x="348"/>
        <item x="198"/>
        <item x="364"/>
        <item x="156"/>
        <item x="396"/>
        <item x="121"/>
        <item x="61"/>
        <item x="504"/>
        <item x="235"/>
        <item x="268"/>
        <item x="252"/>
        <item x="350"/>
        <item x="347"/>
        <item x="224"/>
        <item x="111"/>
        <item x="407"/>
        <item x="415"/>
        <item x="424"/>
        <item x="403"/>
        <item x="270"/>
        <item x="433"/>
        <item x="316"/>
        <item x="164"/>
        <item x="317"/>
        <item x="314"/>
        <item x="308"/>
        <item x="295"/>
        <item x="187"/>
        <item x="247"/>
        <item x="357"/>
        <item x="302"/>
        <item x="33"/>
        <item x="40"/>
        <item x="277"/>
        <item x="246"/>
        <item x="275"/>
        <item x="226"/>
        <item x="206"/>
        <item x="184"/>
        <item x="429"/>
        <item x="134"/>
        <item x="93"/>
        <item x="220"/>
        <item x="287"/>
        <item x="141"/>
        <item x="52"/>
        <item x="489"/>
        <item x="404"/>
        <item x="214"/>
        <item x="215"/>
        <item x="219"/>
        <item x="395"/>
        <item x="120"/>
        <item x="117"/>
        <item x="194"/>
        <item x="366"/>
        <item x="200"/>
        <item x="41"/>
        <item x="13"/>
        <item x="25"/>
        <item x="24"/>
        <item x="67"/>
        <item x="18"/>
        <item x="477"/>
        <item x="119"/>
        <item x="21"/>
        <item x="72"/>
        <item x="375"/>
        <item x="35"/>
        <item x="146"/>
        <item x="130"/>
        <item x="157"/>
        <item x="337"/>
        <item x="329"/>
        <item x="331"/>
        <item x="416"/>
        <item x="388"/>
        <item x="413"/>
        <item x="50"/>
        <item x="108"/>
        <item x="286"/>
        <item x="39"/>
        <item x="15"/>
        <item x="19"/>
        <item x="321"/>
        <item x="323"/>
        <item x="326"/>
        <item x="402"/>
        <item x="470"/>
        <item x="427"/>
        <item x="423"/>
        <item x="464"/>
        <item x="459"/>
        <item x="493"/>
        <item x="488"/>
        <item x="99"/>
        <item x="28"/>
        <item x="132"/>
        <item x="26"/>
        <item x="84"/>
        <item x="2"/>
        <item x="266"/>
        <item x="113"/>
        <item x="390"/>
        <item x="328"/>
        <item x="125"/>
        <item x="370"/>
        <item x="387"/>
        <item x="216"/>
        <item x="351"/>
        <item x="313"/>
        <item x="446"/>
        <item x="382"/>
        <item x="368"/>
        <item x="439"/>
        <item x="365"/>
        <item x="163"/>
        <item x="1"/>
        <item x="443"/>
        <item x="338"/>
        <item x="345"/>
        <item x="204"/>
        <item x="32"/>
        <item x="174"/>
        <item x="170"/>
        <item x="496"/>
        <item x="379"/>
        <item x="466"/>
        <item x="467"/>
        <item x="105"/>
        <item x="228"/>
        <item x="221"/>
        <item x="296"/>
        <item x="354"/>
        <item x="447"/>
        <item x="23"/>
        <item x="192"/>
        <item x="462"/>
        <item x="426"/>
        <item x="195"/>
        <item x="255"/>
        <item x="182"/>
        <item x="94"/>
        <item x="123"/>
        <item x="310"/>
        <item x="236"/>
        <item x="234"/>
        <item x="241"/>
        <item x="253"/>
        <item x="14"/>
        <item x="495"/>
        <item x="408"/>
        <item x="183"/>
        <item x="185"/>
        <item x="425"/>
        <item x="172"/>
        <item x="245"/>
        <item x="193"/>
        <item x="47"/>
        <item x="160"/>
        <item x="243"/>
        <item x="484"/>
        <item x="196"/>
        <item x="186"/>
        <item x="487"/>
        <item x="389"/>
        <item x="480"/>
        <item x="478"/>
        <item x="474"/>
        <item x="112"/>
        <item t="default"/>
      </items>
    </pivotField>
    <pivotField showAll="0">
      <items count="18">
        <item x="13"/>
        <item x="9"/>
        <item x="16"/>
        <item x="12"/>
        <item x="8"/>
        <item x="10"/>
        <item x="2"/>
        <item x="5"/>
        <item x="3"/>
        <item x="14"/>
        <item x="15"/>
        <item x="6"/>
        <item x="1"/>
        <item x="4"/>
        <item x="7"/>
        <item x="0"/>
        <item x="11"/>
        <item t="default"/>
      </items>
    </pivotField>
    <pivotField axis="axisPage" multipleItemSelectionAllowed="1" showAll="0" defaultSubtotal="0">
      <items count="4">
        <item x="1"/>
        <item x="0"/>
        <item h="1" x="2"/>
        <item h="1" x="3"/>
      </items>
    </pivotField>
    <pivotField axis="axisCol" showAll="0">
      <items count="7">
        <item x="0"/>
        <item x="2"/>
        <item x="3"/>
        <item m="1" x="5"/>
        <item x="1"/>
        <item x="4"/>
        <item t="default"/>
      </items>
    </pivotField>
    <pivotField dataField="1" showAll="0" defaultSubtotal="0">
      <items count="255">
        <item x="27"/>
        <item x="35"/>
        <item x="4"/>
        <item x="230"/>
        <item x="30"/>
        <item x="26"/>
        <item x="226"/>
        <item x="32"/>
        <item x="68"/>
        <item x="5"/>
        <item x="237"/>
        <item x="92"/>
        <item x="163"/>
        <item x="67"/>
        <item x="206"/>
        <item x="146"/>
        <item x="161"/>
        <item x="207"/>
        <item x="44"/>
        <item x="96"/>
        <item x="122"/>
        <item x="162"/>
        <item x="83"/>
        <item x="174"/>
        <item x="6"/>
        <item x="182"/>
        <item x="53"/>
        <item x="231"/>
        <item x="101"/>
        <item x="34"/>
        <item x="48"/>
        <item x="218"/>
        <item x="195"/>
        <item x="1"/>
        <item x="66"/>
        <item x="69"/>
        <item x="61"/>
        <item x="37"/>
        <item x="251"/>
        <item x="183"/>
        <item x="188"/>
        <item x="158"/>
        <item x="59"/>
        <item x="171"/>
        <item x="52"/>
        <item x="150"/>
        <item x="187"/>
        <item x="241"/>
        <item x="55"/>
        <item x="198"/>
        <item x="51"/>
        <item x="31"/>
        <item x="131"/>
        <item x="10"/>
        <item x="63"/>
        <item x="65"/>
        <item x="213"/>
        <item x="234"/>
        <item x="229"/>
        <item x="223"/>
        <item x="209"/>
        <item x="200"/>
        <item x="193"/>
        <item x="114"/>
        <item x="130"/>
        <item x="111"/>
        <item x="203"/>
        <item x="167"/>
        <item x="225"/>
        <item x="45"/>
        <item x="236"/>
        <item x="212"/>
        <item x="202"/>
        <item x="60"/>
        <item x="235"/>
        <item x="179"/>
        <item x="153"/>
        <item x="113"/>
        <item x="128"/>
        <item x="104"/>
        <item x="103"/>
        <item x="199"/>
        <item x="244"/>
        <item x="121"/>
        <item x="201"/>
        <item x="54"/>
        <item x="172"/>
        <item x="219"/>
        <item x="57"/>
        <item x="88"/>
        <item x="210"/>
        <item x="132"/>
        <item x="147"/>
        <item x="107"/>
        <item x="42"/>
        <item x="159"/>
        <item x="253"/>
        <item x="249"/>
        <item x="7"/>
        <item x="245"/>
        <item x="102"/>
        <item x="79"/>
        <item x="239"/>
        <item x="133"/>
        <item x="142"/>
        <item x="240"/>
        <item x="175"/>
        <item x="118"/>
        <item x="228"/>
        <item x="116"/>
        <item x="169"/>
        <item x="38"/>
        <item x="205"/>
        <item x="115"/>
        <item x="41"/>
        <item x="84"/>
        <item x="186"/>
        <item x="166"/>
        <item x="151"/>
        <item x="12"/>
        <item x="77"/>
        <item x="185"/>
        <item x="82"/>
        <item x="123"/>
        <item x="248"/>
        <item x="157"/>
        <item x="224"/>
        <item x="227"/>
        <item x="14"/>
        <item x="155"/>
        <item x="194"/>
        <item x="64"/>
        <item x="140"/>
        <item x="89"/>
        <item x="90"/>
        <item x="138"/>
        <item x="154"/>
        <item x="160"/>
        <item x="143"/>
        <item x="178"/>
        <item x="148"/>
        <item x="9"/>
        <item x="220"/>
        <item x="181"/>
        <item x="215"/>
        <item x="190"/>
        <item x="15"/>
        <item x="197"/>
        <item x="2"/>
        <item x="99"/>
        <item x="184"/>
        <item x="168"/>
        <item x="208"/>
        <item x="137"/>
        <item x="8"/>
        <item x="204"/>
        <item x="139"/>
        <item x="177"/>
        <item x="17"/>
        <item x="247"/>
        <item x="98"/>
        <item x="94"/>
        <item x="149"/>
        <item x="39"/>
        <item x="191"/>
        <item x="97"/>
        <item x="75"/>
        <item x="232"/>
        <item x="214"/>
        <item x="110"/>
        <item x="50"/>
        <item x="49"/>
        <item x="21"/>
        <item x="141"/>
        <item x="129"/>
        <item x="70"/>
        <item x="80"/>
        <item x="145"/>
        <item x="85"/>
        <item x="24"/>
        <item x="13"/>
        <item x="62"/>
        <item x="73"/>
        <item x="20"/>
        <item x="189"/>
        <item x="233"/>
        <item x="156"/>
        <item x="242"/>
        <item x="134"/>
        <item x="74"/>
        <item x="22"/>
        <item x="25"/>
        <item x="100"/>
        <item x="16"/>
        <item x="71"/>
        <item x="119"/>
        <item x="152"/>
        <item x="58"/>
        <item x="87"/>
        <item x="11"/>
        <item x="72"/>
        <item x="46"/>
        <item x="176"/>
        <item x="56"/>
        <item x="93"/>
        <item x="40"/>
        <item x="108"/>
        <item x="165"/>
        <item x="18"/>
        <item x="221"/>
        <item x="125"/>
        <item x="124"/>
        <item x="23"/>
        <item x="47"/>
        <item x="127"/>
        <item x="19"/>
        <item x="196"/>
        <item x="86"/>
        <item x="0"/>
        <item x="173"/>
        <item x="109"/>
        <item x="254"/>
        <item x="250"/>
        <item x="117"/>
        <item x="217"/>
        <item x="120"/>
        <item x="105"/>
        <item x="252"/>
        <item x="126"/>
        <item x="81"/>
        <item x="91"/>
        <item x="106"/>
        <item x="136"/>
        <item x="112"/>
        <item x="144"/>
        <item x="243"/>
        <item x="164"/>
        <item x="76"/>
        <item x="211"/>
        <item x="238"/>
        <item x="135"/>
        <item x="3"/>
        <item x="246"/>
        <item x="78"/>
        <item x="180"/>
        <item x="216"/>
        <item x="192"/>
        <item x="95"/>
        <item x="170"/>
        <item x="29"/>
        <item x="36"/>
        <item x="222"/>
        <item x="33"/>
        <item x="28"/>
        <item x="43"/>
      </items>
    </pivotField>
  </pivotFields>
  <rowFields count="1">
    <field x="1"/>
  </rowFields>
  <rowItems count="5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Fields count="1">
    <field x="5"/>
  </colFields>
  <colItems count="4">
    <i>
      <x/>
    </i>
    <i>
      <x v="1"/>
    </i>
    <i>
      <x v="4"/>
    </i>
    <i t="grand">
      <x/>
    </i>
  </colItems>
  <pageFields count="1">
    <pageField fld="4" hier="-1"/>
  </pageFields>
  <dataFields count="1">
    <dataField name="Count of Dr. or (Cr)                Rs." fld="6" subtotal="count" baseField="0" baseItem="0"/>
  </dataFields>
  <formats count="36">
    <format dxfId="755">
      <pivotArea outline="0" collapsedLevelsAreSubtotals="1" fieldPosition="0"/>
    </format>
    <format dxfId="754">
      <pivotArea outline="0" collapsedLevelsAreSubtotals="1" fieldPosition="0"/>
    </format>
    <format dxfId="753">
      <pivotArea dataOnly="0" labelOnly="1" fieldPosition="0">
        <references count="1">
          <reference field="1" count="50">
            <x v="0"/>
            <x v="1"/>
            <x v="3"/>
            <x v="5"/>
            <x v="6"/>
            <x v="8"/>
            <x v="9"/>
            <x v="11"/>
            <x v="13"/>
            <x v="15"/>
            <x v="16"/>
            <x v="17"/>
            <x v="18"/>
            <x v="19"/>
            <x v="22"/>
            <x v="25"/>
            <x v="26"/>
            <x v="28"/>
            <x v="32"/>
            <x v="36"/>
            <x v="38"/>
            <x v="39"/>
            <x v="40"/>
            <x v="42"/>
            <x v="43"/>
            <x v="44"/>
            <x v="46"/>
            <x v="47"/>
            <x v="49"/>
            <x v="50"/>
            <x v="51"/>
            <x v="52"/>
            <x v="53"/>
            <x v="54"/>
            <x v="55"/>
            <x v="59"/>
            <x v="60"/>
            <x v="61"/>
            <x v="62"/>
            <x v="63"/>
            <x v="65"/>
            <x v="67"/>
            <x v="68"/>
            <x v="69"/>
            <x v="70"/>
            <x v="71"/>
            <x v="72"/>
            <x v="73"/>
            <x v="74"/>
            <x v="75"/>
          </reference>
        </references>
      </pivotArea>
    </format>
    <format dxfId="752">
      <pivotArea dataOnly="0" labelOnly="1" fieldPosition="0">
        <references count="1">
          <reference field="1" count="50"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751">
      <pivotArea dataOnly="0" labelOnly="1" fieldPosition="0">
        <references count="1">
          <reference field="1" count="50"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</reference>
        </references>
      </pivotArea>
    </format>
    <format dxfId="750">
      <pivotArea dataOnly="0" labelOnly="1" fieldPosition="0">
        <references count="1">
          <reference field="1" count="50"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</reference>
        </references>
      </pivotArea>
    </format>
    <format dxfId="749">
      <pivotArea dataOnly="0" labelOnly="1" fieldPosition="0">
        <references count="1">
          <reference field="1" count="50">
            <x v="228"/>
            <x v="229"/>
            <x v="230"/>
            <x v="231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</reference>
        </references>
      </pivotArea>
    </format>
    <format dxfId="748">
      <pivotArea dataOnly="0" labelOnly="1" fieldPosition="0">
        <references count="1">
          <reference field="1" count="50"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</reference>
        </references>
      </pivotArea>
    </format>
    <format dxfId="747">
      <pivotArea dataOnly="0" labelOnly="1" fieldPosition="0">
        <references count="1">
          <reference field="1" count="14"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5"/>
          </reference>
        </references>
      </pivotArea>
    </format>
    <format dxfId="746">
      <pivotArea dataOnly="0" labelOnly="1" grandRow="1" outline="0" fieldPosition="0"/>
    </format>
    <format dxfId="745">
      <pivotArea dataOnly="0" labelOnly="1" fieldPosition="0">
        <references count="1">
          <reference field="1" count="50">
            <x v="0"/>
            <x v="1"/>
            <x v="3"/>
            <x v="5"/>
            <x v="6"/>
            <x v="8"/>
            <x v="9"/>
            <x v="11"/>
            <x v="13"/>
            <x v="15"/>
            <x v="16"/>
            <x v="17"/>
            <x v="18"/>
            <x v="19"/>
            <x v="22"/>
            <x v="25"/>
            <x v="26"/>
            <x v="28"/>
            <x v="32"/>
            <x v="36"/>
            <x v="38"/>
            <x v="39"/>
            <x v="40"/>
            <x v="42"/>
            <x v="43"/>
            <x v="44"/>
            <x v="46"/>
            <x v="47"/>
            <x v="49"/>
            <x v="50"/>
            <x v="51"/>
            <x v="52"/>
            <x v="53"/>
            <x v="54"/>
            <x v="55"/>
            <x v="59"/>
            <x v="60"/>
            <x v="61"/>
            <x v="62"/>
            <x v="63"/>
            <x v="65"/>
            <x v="67"/>
            <x v="68"/>
            <x v="69"/>
            <x v="70"/>
            <x v="71"/>
            <x v="72"/>
            <x v="73"/>
            <x v="74"/>
            <x v="75"/>
          </reference>
        </references>
      </pivotArea>
    </format>
    <format dxfId="744">
      <pivotArea dataOnly="0" labelOnly="1" fieldPosition="0">
        <references count="1">
          <reference field="1" count="50"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743">
      <pivotArea dataOnly="0" labelOnly="1" fieldPosition="0">
        <references count="1">
          <reference field="1" count="50"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</reference>
        </references>
      </pivotArea>
    </format>
    <format dxfId="742">
      <pivotArea dataOnly="0" labelOnly="1" fieldPosition="0">
        <references count="1">
          <reference field="1" count="50"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</reference>
        </references>
      </pivotArea>
    </format>
    <format dxfId="741">
      <pivotArea dataOnly="0" labelOnly="1" fieldPosition="0">
        <references count="1">
          <reference field="1" count="50">
            <x v="228"/>
            <x v="229"/>
            <x v="230"/>
            <x v="231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</reference>
        </references>
      </pivotArea>
    </format>
    <format dxfId="740">
      <pivotArea dataOnly="0" labelOnly="1" fieldPosition="0">
        <references count="1">
          <reference field="1" count="50"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</reference>
        </references>
      </pivotArea>
    </format>
    <format dxfId="739">
      <pivotArea collapsedLevelsAreSubtotals="1" fieldPosition="0">
        <references count="1">
          <reference field="1" count="0"/>
        </references>
      </pivotArea>
    </format>
    <format dxfId="73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30"/>
            <x v="31"/>
            <x v="32"/>
            <x v="33"/>
            <x v="34"/>
            <x v="36"/>
            <x v="37"/>
            <x v="38"/>
            <x v="39"/>
            <x v="40"/>
            <x v="42"/>
            <x v="43"/>
            <x v="44"/>
            <x v="46"/>
            <x v="47"/>
            <x v="49"/>
            <x v="50"/>
            <x v="51"/>
            <x v="52"/>
            <x v="53"/>
            <x v="54"/>
          </reference>
        </references>
      </pivotArea>
    </format>
    <format dxfId="737">
      <pivotArea dataOnly="0" labelOnly="1" fieldPosition="0">
        <references count="1">
          <reference field="1" count="50"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3"/>
            <x v="104"/>
            <x v="105"/>
          </reference>
        </references>
      </pivotArea>
    </format>
    <format dxfId="736">
      <pivotArea dataOnly="0" labelOnly="1" fieldPosition="0">
        <references count="1">
          <reference field="1" count="50"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</reference>
        </references>
      </pivotArea>
    </format>
    <format dxfId="735">
      <pivotArea dataOnly="0" labelOnly="1" fieldPosition="0">
        <references count="1">
          <reference field="1" count="50"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</reference>
        </references>
      </pivotArea>
    </format>
    <format dxfId="734">
      <pivotArea dataOnly="0" labelOnly="1" fieldPosition="0">
        <references count="1">
          <reference field="1" count="50"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</reference>
        </references>
      </pivotArea>
    </format>
    <format dxfId="733">
      <pivotArea dataOnly="0" labelOnly="1" fieldPosition="0">
        <references count="1">
          <reference field="1" count="50">
            <x v="258"/>
            <x v="259"/>
            <x v="260"/>
            <x v="261"/>
            <x v="262"/>
            <x v="263"/>
            <x v="264"/>
            <x v="265"/>
            <x v="266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</reference>
        </references>
      </pivotArea>
    </format>
    <format dxfId="732">
      <pivotArea dataOnly="0" labelOnly="1" fieldPosition="0">
        <references count="1">
          <reference field="1" count="44"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2"/>
            <x v="531"/>
          </reference>
        </references>
      </pivotArea>
    </format>
    <format dxfId="731">
      <pivotArea outline="0" collapsedLevelsAreSubtotals="1" fieldPosition="0"/>
    </format>
    <format dxfId="730">
      <pivotArea field="1" type="button" dataOnly="0" labelOnly="1" outline="0" axis="axisRow" fieldPosition="0"/>
    </format>
    <format dxfId="729">
      <pivotArea dataOnly="0" labelOnly="1" fieldPosition="0">
        <references count="1">
          <reference field="1" count="49">
            <x v="1"/>
            <x v="5"/>
            <x v="15"/>
            <x v="22"/>
            <x v="25"/>
            <x v="29"/>
            <x v="35"/>
            <x v="36"/>
            <x v="38"/>
            <x v="40"/>
            <x v="42"/>
            <x v="43"/>
            <x v="45"/>
            <x v="46"/>
            <x v="47"/>
            <x v="48"/>
            <x v="49"/>
            <x v="50"/>
            <x v="51"/>
            <x v="54"/>
            <x v="71"/>
            <x v="72"/>
            <x v="73"/>
            <x v="75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728">
      <pivotArea dataOnly="0" labelOnly="1" fieldPosition="0">
        <references count="1">
          <reference field="1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727">
      <pivotArea dataOnly="0" labelOnly="1" fieldPosition="0">
        <references count="1">
          <reference field="1" count="50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</reference>
        </references>
      </pivotArea>
    </format>
    <format dxfId="726">
      <pivotArea dataOnly="0" labelOnly="1" fieldPosition="0">
        <references count="1">
          <reference field="1" count="50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</reference>
        </references>
      </pivotArea>
    </format>
    <format dxfId="725">
      <pivotArea dataOnly="0" labelOnly="1" fieldPosition="0">
        <references count="1">
          <reference field="1" count="50"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</reference>
        </references>
      </pivotArea>
    </format>
    <format dxfId="724">
      <pivotArea dataOnly="0" labelOnly="1" fieldPosition="0">
        <references count="1">
          <reference field="1" count="50"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2"/>
            <x v="353"/>
          </reference>
        </references>
      </pivotArea>
    </format>
    <format dxfId="723">
      <pivotArea dataOnly="0" labelOnly="1" fieldPosition="0">
        <references count="1">
          <reference field="1" count="12"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722">
      <pivotArea dataOnly="0" labelOnly="1" grandRow="1" outline="0" fieldPosition="0"/>
    </format>
    <format dxfId="721">
      <pivotArea dataOnly="0" labelOnly="1" fieldPosition="0">
        <references count="1">
          <reference field="5" count="2">
            <x v="0"/>
            <x v="1"/>
          </reference>
        </references>
      </pivotArea>
    </format>
    <format dxfId="7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179"/>
  <sheetViews>
    <sheetView topLeftCell="A3" zoomScale="115" zoomScaleNormal="115" zoomScaleSheetLayoutView="115" workbookViewId="0">
      <selection activeCell="B123" sqref="B123"/>
    </sheetView>
  </sheetViews>
  <sheetFormatPr defaultRowHeight="14.4" x14ac:dyDescent="0.3"/>
  <cols>
    <col min="1" max="1" width="5.33203125" style="18" customWidth="1"/>
    <col min="2" max="2" width="12.6640625" style="28" customWidth="1"/>
    <col min="3" max="3" width="37" hidden="1" customWidth="1"/>
    <col min="4" max="5" width="12.5546875" customWidth="1"/>
    <col min="6" max="6" width="15.6640625" style="17" customWidth="1"/>
    <col min="7" max="7" width="15.5546875" customWidth="1"/>
  </cols>
  <sheetData>
    <row r="1" spans="1:7" ht="15.6" x14ac:dyDescent="0.3">
      <c r="A1" s="33"/>
      <c r="B1" s="21"/>
      <c r="C1" s="19"/>
      <c r="D1" s="19"/>
      <c r="E1" s="19"/>
      <c r="F1" s="19"/>
    </row>
    <row r="3" spans="1:7" ht="18" x14ac:dyDescent="0.35">
      <c r="A3" s="34" t="s">
        <v>0</v>
      </c>
      <c r="B3" s="22"/>
      <c r="C3" s="20"/>
      <c r="D3" s="20"/>
      <c r="E3" s="20"/>
      <c r="F3" s="20"/>
    </row>
    <row r="4" spans="1:7" s="4" customFormat="1" ht="30.75" customHeight="1" x14ac:dyDescent="0.3">
      <c r="A4" s="1" t="s">
        <v>1</v>
      </c>
      <c r="B4" s="23" t="s">
        <v>2</v>
      </c>
      <c r="C4" s="1" t="s">
        <v>3</v>
      </c>
      <c r="D4" s="2" t="s">
        <v>267</v>
      </c>
      <c r="E4" s="2" t="s">
        <v>270</v>
      </c>
      <c r="F4" s="3" t="s">
        <v>268</v>
      </c>
    </row>
    <row r="5" spans="1:7" s="4" customFormat="1" ht="15" hidden="1" customHeight="1" x14ac:dyDescent="0.3">
      <c r="A5" s="5" t="s">
        <v>1136</v>
      </c>
      <c r="B5" s="24">
        <v>43160</v>
      </c>
      <c r="C5" s="9" t="s">
        <v>8</v>
      </c>
      <c r="D5" s="9" t="s">
        <v>1137</v>
      </c>
      <c r="E5" s="9" t="s">
        <v>1138</v>
      </c>
      <c r="F5" s="35">
        <v>-13200</v>
      </c>
      <c r="G5" s="73"/>
    </row>
    <row r="6" spans="1:7" s="4" customFormat="1" ht="15" hidden="1" customHeight="1" x14ac:dyDescent="0.3">
      <c r="A6" s="5" t="s">
        <v>1139</v>
      </c>
      <c r="B6" s="31">
        <v>43160</v>
      </c>
      <c r="C6" s="9" t="s">
        <v>1140</v>
      </c>
      <c r="D6" s="9" t="s">
        <v>1137</v>
      </c>
      <c r="E6" s="36" t="s">
        <v>1138</v>
      </c>
      <c r="F6" s="35">
        <v>-2400</v>
      </c>
      <c r="G6" s="73"/>
    </row>
    <row r="7" spans="1:7" s="4" customFormat="1" ht="15" hidden="1" customHeight="1" x14ac:dyDescent="0.3">
      <c r="A7" s="5" t="s">
        <v>1141</v>
      </c>
      <c r="B7" s="32">
        <v>43160</v>
      </c>
      <c r="C7" s="9" t="s">
        <v>11</v>
      </c>
      <c r="D7" s="9" t="s">
        <v>1137</v>
      </c>
      <c r="E7" s="9" t="s">
        <v>1138</v>
      </c>
      <c r="F7" s="35">
        <v>-9350</v>
      </c>
      <c r="G7" s="73"/>
    </row>
    <row r="8" spans="1:7" s="4" customFormat="1" ht="15" hidden="1" customHeight="1" x14ac:dyDescent="0.3">
      <c r="A8" s="5" t="s">
        <v>1142</v>
      </c>
      <c r="B8" s="24">
        <v>43160</v>
      </c>
      <c r="C8" s="9" t="s">
        <v>1143</v>
      </c>
      <c r="D8" s="9" t="s">
        <v>1137</v>
      </c>
      <c r="E8" s="9" t="s">
        <v>1138</v>
      </c>
      <c r="F8" s="35">
        <v>-16500</v>
      </c>
      <c r="G8" s="73"/>
    </row>
    <row r="9" spans="1:7" s="4" customFormat="1" ht="15" hidden="1" customHeight="1" x14ac:dyDescent="0.3">
      <c r="A9" s="5" t="s">
        <v>1144</v>
      </c>
      <c r="B9" s="24">
        <v>43160</v>
      </c>
      <c r="C9" s="9" t="s">
        <v>1145</v>
      </c>
      <c r="D9" s="9" t="s">
        <v>1137</v>
      </c>
      <c r="E9" s="9" t="s">
        <v>1138</v>
      </c>
      <c r="F9" s="35">
        <v>-1600</v>
      </c>
      <c r="G9" s="73"/>
    </row>
    <row r="10" spans="1:7" s="4" customFormat="1" ht="15" customHeight="1" x14ac:dyDescent="0.3">
      <c r="A10" s="5" t="s">
        <v>271</v>
      </c>
      <c r="B10" s="24">
        <v>43180</v>
      </c>
      <c r="C10" s="6" t="s">
        <v>4</v>
      </c>
      <c r="D10" s="6" t="s">
        <v>269</v>
      </c>
      <c r="E10" s="6" t="s">
        <v>1138</v>
      </c>
      <c r="F10" s="7">
        <v>-2000</v>
      </c>
    </row>
    <row r="11" spans="1:7" s="4" customFormat="1" ht="15" hidden="1" customHeight="1" x14ac:dyDescent="0.3">
      <c r="A11" s="5" t="s">
        <v>1146</v>
      </c>
      <c r="B11" s="24">
        <v>43180</v>
      </c>
      <c r="C11" s="9" t="s">
        <v>1147</v>
      </c>
      <c r="D11" s="9" t="s">
        <v>1137</v>
      </c>
      <c r="E11" s="9" t="s">
        <v>1148</v>
      </c>
      <c r="F11" s="37">
        <v>134700</v>
      </c>
    </row>
    <row r="12" spans="1:7" s="4" customFormat="1" ht="15" hidden="1" customHeight="1" x14ac:dyDescent="0.3">
      <c r="A12" s="5" t="s">
        <v>1149</v>
      </c>
      <c r="B12" s="24">
        <v>43191</v>
      </c>
      <c r="C12" s="11" t="s">
        <v>1150</v>
      </c>
      <c r="D12" s="9" t="s">
        <v>1137</v>
      </c>
      <c r="E12" s="9" t="s">
        <v>1138</v>
      </c>
      <c r="F12" s="35">
        <v>-100000</v>
      </c>
      <c r="G12" s="73"/>
    </row>
    <row r="13" spans="1:7" s="4" customFormat="1" ht="15" hidden="1" customHeight="1" x14ac:dyDescent="0.3">
      <c r="A13" s="5" t="s">
        <v>1151</v>
      </c>
      <c r="B13" s="24">
        <v>43191</v>
      </c>
      <c r="C13" s="11" t="s">
        <v>1152</v>
      </c>
      <c r="D13" s="9" t="s">
        <v>1137</v>
      </c>
      <c r="E13" s="9" t="s">
        <v>1138</v>
      </c>
      <c r="F13" s="35">
        <v>-54800</v>
      </c>
      <c r="G13" s="73"/>
    </row>
    <row r="14" spans="1:7" s="4" customFormat="1" ht="15" hidden="1" customHeight="1" x14ac:dyDescent="0.3">
      <c r="A14" s="5" t="s">
        <v>1153</v>
      </c>
      <c r="B14" s="24">
        <v>43191</v>
      </c>
      <c r="C14" s="11" t="s">
        <v>1154</v>
      </c>
      <c r="D14" s="9" t="s">
        <v>1137</v>
      </c>
      <c r="E14" s="9" t="s">
        <v>1138</v>
      </c>
      <c r="F14" s="35">
        <v>-8000</v>
      </c>
      <c r="G14" s="73"/>
    </row>
    <row r="15" spans="1:7" s="4" customFormat="1" ht="15" hidden="1" customHeight="1" x14ac:dyDescent="0.3">
      <c r="A15" s="5" t="s">
        <v>1155</v>
      </c>
      <c r="B15" s="24">
        <v>43191</v>
      </c>
      <c r="C15" s="11" t="s">
        <v>1154</v>
      </c>
      <c r="D15" s="9" t="s">
        <v>1137</v>
      </c>
      <c r="E15" s="9" t="s">
        <v>1138</v>
      </c>
      <c r="F15" s="35">
        <v>-1500</v>
      </c>
      <c r="G15" s="73"/>
    </row>
    <row r="16" spans="1:7" s="4" customFormat="1" ht="15" hidden="1" customHeight="1" x14ac:dyDescent="0.3">
      <c r="A16" s="5" t="s">
        <v>1156</v>
      </c>
      <c r="B16" s="24">
        <v>43191</v>
      </c>
      <c r="C16" s="11" t="s">
        <v>1157</v>
      </c>
      <c r="D16" s="9" t="s">
        <v>1137</v>
      </c>
      <c r="E16" s="9" t="s">
        <v>1138</v>
      </c>
      <c r="F16" s="35">
        <v>-2500</v>
      </c>
      <c r="G16" s="73"/>
    </row>
    <row r="17" spans="1:7" s="4" customFormat="1" ht="15" hidden="1" customHeight="1" x14ac:dyDescent="0.3">
      <c r="A17" s="5" t="s">
        <v>1158</v>
      </c>
      <c r="B17" s="24">
        <v>43191</v>
      </c>
      <c r="C17" s="11" t="s">
        <v>1159</v>
      </c>
      <c r="D17" s="9" t="s">
        <v>1137</v>
      </c>
      <c r="E17" s="9" t="s">
        <v>1138</v>
      </c>
      <c r="F17" s="35">
        <v>-22000</v>
      </c>
      <c r="G17" s="73"/>
    </row>
    <row r="18" spans="1:7" s="4" customFormat="1" ht="15" hidden="1" customHeight="1" x14ac:dyDescent="0.3">
      <c r="A18" s="5" t="s">
        <v>1160</v>
      </c>
      <c r="B18" s="24">
        <v>43191</v>
      </c>
      <c r="C18" s="11" t="s">
        <v>1161</v>
      </c>
      <c r="D18" s="9" t="s">
        <v>1137</v>
      </c>
      <c r="E18" s="9" t="s">
        <v>1138</v>
      </c>
      <c r="F18" s="35">
        <v>-2500</v>
      </c>
      <c r="G18" s="73"/>
    </row>
    <row r="19" spans="1:7" ht="15.6" hidden="1" x14ac:dyDescent="0.3">
      <c r="A19" s="5" t="s">
        <v>1162</v>
      </c>
      <c r="B19" s="24">
        <v>43191</v>
      </c>
      <c r="C19" s="11" t="s">
        <v>1163</v>
      </c>
      <c r="D19" s="9" t="s">
        <v>1137</v>
      </c>
      <c r="E19" s="9" t="s">
        <v>1138</v>
      </c>
      <c r="F19" s="35">
        <v>-200</v>
      </c>
      <c r="G19" s="73"/>
    </row>
    <row r="20" spans="1:7" ht="15.6" hidden="1" x14ac:dyDescent="0.3">
      <c r="A20" s="5" t="s">
        <v>1164</v>
      </c>
      <c r="B20" s="24">
        <v>43191</v>
      </c>
      <c r="C20" s="11" t="s">
        <v>1165</v>
      </c>
      <c r="D20" s="9" t="s">
        <v>1137</v>
      </c>
      <c r="E20" s="9" t="s">
        <v>1138</v>
      </c>
      <c r="F20" s="35">
        <v>-4500</v>
      </c>
      <c r="G20" s="73"/>
    </row>
    <row r="21" spans="1:7" ht="15.6" hidden="1" x14ac:dyDescent="0.3">
      <c r="A21" s="5" t="s">
        <v>1166</v>
      </c>
      <c r="B21" s="24">
        <v>43191</v>
      </c>
      <c r="C21" s="11" t="s">
        <v>1167</v>
      </c>
      <c r="D21" s="9" t="s">
        <v>1137</v>
      </c>
      <c r="E21" s="9" t="s">
        <v>1138</v>
      </c>
      <c r="F21" s="35">
        <v>-500</v>
      </c>
      <c r="G21" s="73"/>
    </row>
    <row r="22" spans="1:7" ht="15.6" hidden="1" x14ac:dyDescent="0.3">
      <c r="A22" s="5" t="s">
        <v>1168</v>
      </c>
      <c r="B22" s="24">
        <v>43191</v>
      </c>
      <c r="C22" s="11" t="s">
        <v>1169</v>
      </c>
      <c r="D22" s="9" t="s">
        <v>1137</v>
      </c>
      <c r="E22" s="9" t="s">
        <v>1138</v>
      </c>
      <c r="F22" s="35">
        <v>-500</v>
      </c>
      <c r="G22" s="73"/>
    </row>
    <row r="23" spans="1:7" ht="15.6" hidden="1" x14ac:dyDescent="0.3">
      <c r="A23" s="5" t="s">
        <v>1170</v>
      </c>
      <c r="B23" s="24">
        <v>43191</v>
      </c>
      <c r="C23" s="11" t="s">
        <v>1171</v>
      </c>
      <c r="D23" s="9" t="s">
        <v>1137</v>
      </c>
      <c r="E23" s="9" t="s">
        <v>1138</v>
      </c>
      <c r="F23" s="35">
        <v>-3380</v>
      </c>
      <c r="G23" s="73"/>
    </row>
    <row r="24" spans="1:7" ht="15.6" hidden="1" x14ac:dyDescent="0.3">
      <c r="A24" s="5" t="s">
        <v>1172</v>
      </c>
      <c r="B24" s="24">
        <v>43191</v>
      </c>
      <c r="C24" s="11" t="s">
        <v>1173</v>
      </c>
      <c r="D24" s="9" t="s">
        <v>1137</v>
      </c>
      <c r="E24" s="9" t="s">
        <v>1138</v>
      </c>
      <c r="F24" s="35">
        <v>-200</v>
      </c>
      <c r="G24" s="73"/>
    </row>
    <row r="25" spans="1:7" ht="15.6" hidden="1" x14ac:dyDescent="0.3">
      <c r="A25" s="5" t="s">
        <v>1174</v>
      </c>
      <c r="B25" s="24">
        <v>43191</v>
      </c>
      <c r="C25" s="11" t="s">
        <v>1175</v>
      </c>
      <c r="D25" s="9" t="s">
        <v>1137</v>
      </c>
      <c r="E25" s="9" t="s">
        <v>1138</v>
      </c>
      <c r="F25" s="35">
        <v>-2200</v>
      </c>
      <c r="G25" s="73"/>
    </row>
    <row r="26" spans="1:7" ht="15.6" hidden="1" x14ac:dyDescent="0.3">
      <c r="A26" s="5" t="s">
        <v>1176</v>
      </c>
      <c r="B26" s="24">
        <v>43191</v>
      </c>
      <c r="C26" s="11" t="s">
        <v>1163</v>
      </c>
      <c r="D26" s="9" t="s">
        <v>1137</v>
      </c>
      <c r="E26" s="9" t="s">
        <v>1138</v>
      </c>
      <c r="F26" s="35">
        <v>-300</v>
      </c>
      <c r="G26" s="73"/>
    </row>
    <row r="27" spans="1:7" ht="15.6" hidden="1" x14ac:dyDescent="0.3">
      <c r="A27" s="5" t="s">
        <v>1177</v>
      </c>
      <c r="B27" s="24">
        <v>43191</v>
      </c>
      <c r="C27" s="11" t="s">
        <v>1178</v>
      </c>
      <c r="D27" s="9" t="s">
        <v>1137</v>
      </c>
      <c r="E27" s="9" t="s">
        <v>1138</v>
      </c>
      <c r="F27" s="35">
        <v>-1210</v>
      </c>
      <c r="G27" s="73"/>
    </row>
    <row r="28" spans="1:7" ht="15.6" hidden="1" x14ac:dyDescent="0.3">
      <c r="A28" s="5" t="s">
        <v>1179</v>
      </c>
      <c r="B28" s="24">
        <v>43191</v>
      </c>
      <c r="C28" s="11" t="s">
        <v>139</v>
      </c>
      <c r="D28" s="9" t="s">
        <v>1137</v>
      </c>
      <c r="E28" s="9" t="s">
        <v>1138</v>
      </c>
      <c r="F28" s="35">
        <v>-300</v>
      </c>
      <c r="G28" s="73"/>
    </row>
    <row r="29" spans="1:7" ht="15.6" hidden="1" x14ac:dyDescent="0.3">
      <c r="A29" s="5" t="s">
        <v>1180</v>
      </c>
      <c r="B29" s="24">
        <v>43191</v>
      </c>
      <c r="C29" s="11" t="s">
        <v>1181</v>
      </c>
      <c r="D29" s="9" t="s">
        <v>1137</v>
      </c>
      <c r="E29" s="9" t="s">
        <v>1138</v>
      </c>
      <c r="F29" s="35">
        <v>-85</v>
      </c>
      <c r="G29" s="73"/>
    </row>
    <row r="30" spans="1:7" ht="15.6" hidden="1" x14ac:dyDescent="0.3">
      <c r="A30" s="5" t="s">
        <v>1182</v>
      </c>
      <c r="B30" s="24">
        <v>43191</v>
      </c>
      <c r="C30" s="11" t="s">
        <v>1183</v>
      </c>
      <c r="D30" s="9" t="s">
        <v>1137</v>
      </c>
      <c r="E30" s="9" t="s">
        <v>1138</v>
      </c>
      <c r="F30" s="35">
        <v>-30</v>
      </c>
      <c r="G30" s="73"/>
    </row>
    <row r="31" spans="1:7" ht="15.6" hidden="1" x14ac:dyDescent="0.3">
      <c r="A31" s="5" t="s">
        <v>1184</v>
      </c>
      <c r="B31" s="24">
        <v>43191</v>
      </c>
      <c r="C31" s="11" t="s">
        <v>1185</v>
      </c>
      <c r="D31" s="9" t="s">
        <v>1137</v>
      </c>
      <c r="E31" s="9" t="s">
        <v>1138</v>
      </c>
      <c r="F31" s="35">
        <v>-450</v>
      </c>
      <c r="G31" s="73"/>
    </row>
    <row r="32" spans="1:7" ht="15.6" hidden="1" x14ac:dyDescent="0.3">
      <c r="A32" s="5" t="s">
        <v>1186</v>
      </c>
      <c r="B32" s="24">
        <v>43191</v>
      </c>
      <c r="C32" s="11" t="s">
        <v>62</v>
      </c>
      <c r="D32" s="9" t="s">
        <v>1137</v>
      </c>
      <c r="E32" s="9" t="s">
        <v>1138</v>
      </c>
      <c r="F32" s="35">
        <v>-300</v>
      </c>
      <c r="G32" s="73"/>
    </row>
    <row r="33" spans="1:7" ht="15.6" hidden="1" x14ac:dyDescent="0.3">
      <c r="A33" s="5" t="s">
        <v>1187</v>
      </c>
      <c r="B33" s="24">
        <v>43191</v>
      </c>
      <c r="C33" s="11" t="s">
        <v>1188</v>
      </c>
      <c r="D33" s="9" t="s">
        <v>1137</v>
      </c>
      <c r="E33" s="9" t="s">
        <v>1138</v>
      </c>
      <c r="F33" s="35">
        <v>-600</v>
      </c>
      <c r="G33" s="73"/>
    </row>
    <row r="34" spans="1:7" ht="15.6" hidden="1" x14ac:dyDescent="0.3">
      <c r="A34" s="5" t="s">
        <v>1189</v>
      </c>
      <c r="B34" s="24">
        <v>43191</v>
      </c>
      <c r="C34" s="11" t="s">
        <v>1190</v>
      </c>
      <c r="D34" s="9" t="s">
        <v>1137</v>
      </c>
      <c r="E34" s="9" t="s">
        <v>1138</v>
      </c>
      <c r="F34" s="35">
        <v>-340</v>
      </c>
      <c r="G34" s="73"/>
    </row>
    <row r="35" spans="1:7" ht="15.6" hidden="1" x14ac:dyDescent="0.3">
      <c r="A35" s="5" t="s">
        <v>1191</v>
      </c>
      <c r="B35" s="24">
        <v>43191</v>
      </c>
      <c r="C35" s="11" t="s">
        <v>1192</v>
      </c>
      <c r="D35" s="9" t="s">
        <v>1137</v>
      </c>
      <c r="E35" s="9" t="s">
        <v>1138</v>
      </c>
      <c r="F35" s="35">
        <v>-60</v>
      </c>
      <c r="G35" s="73"/>
    </row>
    <row r="36" spans="1:7" ht="15.6" hidden="1" x14ac:dyDescent="0.3">
      <c r="A36" s="5" t="s">
        <v>1193</v>
      </c>
      <c r="B36" s="24">
        <v>43191</v>
      </c>
      <c r="C36" s="11" t="s">
        <v>1194</v>
      </c>
      <c r="D36" s="9" t="s">
        <v>1137</v>
      </c>
      <c r="E36" s="9" t="s">
        <v>1138</v>
      </c>
      <c r="F36" s="35">
        <v>-510</v>
      </c>
      <c r="G36" s="73"/>
    </row>
    <row r="37" spans="1:7" ht="15.6" hidden="1" x14ac:dyDescent="0.3">
      <c r="A37" s="5" t="s">
        <v>1195</v>
      </c>
      <c r="B37" s="24">
        <v>43191</v>
      </c>
      <c r="C37" s="11" t="s">
        <v>1196</v>
      </c>
      <c r="D37" s="9" t="s">
        <v>1137</v>
      </c>
      <c r="E37" s="9" t="s">
        <v>1138</v>
      </c>
      <c r="F37" s="35">
        <v>-340</v>
      </c>
      <c r="G37" s="73"/>
    </row>
    <row r="38" spans="1:7" ht="15.6" hidden="1" x14ac:dyDescent="0.3">
      <c r="A38" s="5" t="s">
        <v>1197</v>
      </c>
      <c r="B38" s="24">
        <v>43191</v>
      </c>
      <c r="C38" s="11" t="s">
        <v>1198</v>
      </c>
      <c r="D38" s="9" t="s">
        <v>1137</v>
      </c>
      <c r="E38" s="9" t="s">
        <v>1138</v>
      </c>
      <c r="F38" s="35">
        <v>-330</v>
      </c>
      <c r="G38" s="73"/>
    </row>
    <row r="39" spans="1:7" ht="15.6" hidden="1" x14ac:dyDescent="0.3">
      <c r="A39" s="5" t="s">
        <v>1199</v>
      </c>
      <c r="B39" s="24">
        <v>43191</v>
      </c>
      <c r="C39" s="9" t="s">
        <v>1140</v>
      </c>
      <c r="D39" s="9" t="s">
        <v>1137</v>
      </c>
      <c r="E39" s="9" t="s">
        <v>1138</v>
      </c>
      <c r="F39" s="35">
        <v>-3900</v>
      </c>
      <c r="G39" s="73"/>
    </row>
    <row r="40" spans="1:7" ht="15.6" hidden="1" x14ac:dyDescent="0.3">
      <c r="A40" s="5" t="s">
        <v>1200</v>
      </c>
      <c r="B40" s="24">
        <v>43191</v>
      </c>
      <c r="C40" s="9" t="s">
        <v>1201</v>
      </c>
      <c r="D40" s="9" t="s">
        <v>1137</v>
      </c>
      <c r="E40" s="9" t="s">
        <v>1138</v>
      </c>
      <c r="F40" s="35">
        <v>-2400</v>
      </c>
      <c r="G40" s="73"/>
    </row>
    <row r="41" spans="1:7" ht="15.6" hidden="1" x14ac:dyDescent="0.3">
      <c r="A41" s="5" t="s">
        <v>1202</v>
      </c>
      <c r="B41" s="24">
        <v>43191</v>
      </c>
      <c r="C41" s="9" t="s">
        <v>8</v>
      </c>
      <c r="D41" s="9" t="s">
        <v>1137</v>
      </c>
      <c r="E41" s="9" t="s">
        <v>1138</v>
      </c>
      <c r="F41" s="35">
        <v>-13575</v>
      </c>
      <c r="G41" s="73"/>
    </row>
    <row r="42" spans="1:7" ht="15.6" hidden="1" x14ac:dyDescent="0.3">
      <c r="A42" s="5" t="s">
        <v>1203</v>
      </c>
      <c r="B42" s="24">
        <v>43191</v>
      </c>
      <c r="C42" s="9" t="s">
        <v>11</v>
      </c>
      <c r="D42" s="9" t="s">
        <v>1137</v>
      </c>
      <c r="E42" s="9" t="s">
        <v>1138</v>
      </c>
      <c r="F42" s="35">
        <v>-9828</v>
      </c>
      <c r="G42" s="73"/>
    </row>
    <row r="43" spans="1:7" ht="15.6" hidden="1" x14ac:dyDescent="0.3">
      <c r="A43" s="5" t="s">
        <v>1204</v>
      </c>
      <c r="B43" s="31">
        <v>43191</v>
      </c>
      <c r="C43" s="9" t="s">
        <v>1205</v>
      </c>
      <c r="D43" s="9" t="s">
        <v>1137</v>
      </c>
      <c r="E43" s="9" t="s">
        <v>1138</v>
      </c>
      <c r="F43" s="35">
        <v>-25446</v>
      </c>
      <c r="G43" s="73"/>
    </row>
    <row r="44" spans="1:7" ht="15.6" hidden="1" x14ac:dyDescent="0.3">
      <c r="A44" s="5" t="s">
        <v>1206</v>
      </c>
      <c r="B44" s="31">
        <v>43191</v>
      </c>
      <c r="C44" s="9" t="s">
        <v>9</v>
      </c>
      <c r="D44" s="9" t="s">
        <v>1137</v>
      </c>
      <c r="E44" s="9" t="s">
        <v>1138</v>
      </c>
      <c r="F44" s="35">
        <v>-18050</v>
      </c>
      <c r="G44" s="73"/>
    </row>
    <row r="45" spans="1:7" ht="15.6" hidden="1" x14ac:dyDescent="0.3">
      <c r="A45" s="5" t="s">
        <v>1207</v>
      </c>
      <c r="B45" s="31">
        <v>43191</v>
      </c>
      <c r="C45" s="9" t="s">
        <v>1208</v>
      </c>
      <c r="D45" s="9" t="s">
        <v>1137</v>
      </c>
      <c r="E45" s="9" t="s">
        <v>1138</v>
      </c>
      <c r="F45" s="35">
        <v>-2400</v>
      </c>
      <c r="G45" s="73"/>
    </row>
    <row r="46" spans="1:7" ht="15.6" hidden="1" x14ac:dyDescent="0.3">
      <c r="A46" s="5" t="s">
        <v>1209</v>
      </c>
      <c r="B46" s="31">
        <v>43191</v>
      </c>
      <c r="C46" s="9" t="s">
        <v>1210</v>
      </c>
      <c r="D46" s="9" t="s">
        <v>1137</v>
      </c>
      <c r="E46" s="9" t="s">
        <v>1138</v>
      </c>
      <c r="F46" s="35">
        <v>-5000</v>
      </c>
      <c r="G46" s="73"/>
    </row>
    <row r="47" spans="1:7" ht="15.6" hidden="1" x14ac:dyDescent="0.3">
      <c r="A47" s="5" t="s">
        <v>1211</v>
      </c>
      <c r="B47" s="31">
        <v>43191</v>
      </c>
      <c r="C47" s="9" t="s">
        <v>1212</v>
      </c>
      <c r="D47" s="9" t="s">
        <v>1137</v>
      </c>
      <c r="E47" s="9" t="s">
        <v>1138</v>
      </c>
      <c r="F47" s="35">
        <v>-1000</v>
      </c>
      <c r="G47" s="73"/>
    </row>
    <row r="48" spans="1:7" ht="15.6" hidden="1" x14ac:dyDescent="0.3">
      <c r="A48" s="5" t="s">
        <v>1213</v>
      </c>
      <c r="B48" s="24">
        <v>43191</v>
      </c>
      <c r="C48" s="9" t="s">
        <v>12</v>
      </c>
      <c r="D48" s="9" t="s">
        <v>1137</v>
      </c>
      <c r="E48" s="9" t="s">
        <v>1138</v>
      </c>
      <c r="F48" s="35">
        <v>-4250</v>
      </c>
      <c r="G48" s="73"/>
    </row>
    <row r="49" spans="1:7" ht="15.6" hidden="1" x14ac:dyDescent="0.3">
      <c r="A49" s="5" t="s">
        <v>1214</v>
      </c>
      <c r="B49" s="31">
        <v>43191</v>
      </c>
      <c r="C49" s="9" t="s">
        <v>1215</v>
      </c>
      <c r="D49" s="9" t="s">
        <v>1137</v>
      </c>
      <c r="E49" s="9" t="s">
        <v>1138</v>
      </c>
      <c r="F49" s="35">
        <v>-1800</v>
      </c>
      <c r="G49" s="73"/>
    </row>
    <row r="50" spans="1:7" ht="15.6" hidden="1" x14ac:dyDescent="0.3">
      <c r="A50" s="5" t="s">
        <v>1216</v>
      </c>
      <c r="B50" s="32">
        <v>43191</v>
      </c>
      <c r="C50" s="9" t="s">
        <v>1143</v>
      </c>
      <c r="D50" s="9" t="s">
        <v>1137</v>
      </c>
      <c r="E50" s="9" t="s">
        <v>1138</v>
      </c>
      <c r="F50" s="35">
        <v>-45000</v>
      </c>
      <c r="G50" s="73"/>
    </row>
    <row r="51" spans="1:7" ht="15.6" hidden="1" x14ac:dyDescent="0.3">
      <c r="A51" s="5" t="s">
        <v>1217</v>
      </c>
      <c r="B51" s="31">
        <v>43191</v>
      </c>
      <c r="C51" s="9" t="s">
        <v>7</v>
      </c>
      <c r="D51" s="9" t="s">
        <v>1137</v>
      </c>
      <c r="E51" s="9" t="s">
        <v>1138</v>
      </c>
      <c r="F51" s="35">
        <v>-1000</v>
      </c>
      <c r="G51" s="73"/>
    </row>
    <row r="52" spans="1:7" ht="15.6" hidden="1" x14ac:dyDescent="0.3">
      <c r="A52" s="5" t="s">
        <v>1218</v>
      </c>
      <c r="B52" s="32">
        <v>43191</v>
      </c>
      <c r="C52" s="9" t="s">
        <v>1219</v>
      </c>
      <c r="D52" s="9" t="s">
        <v>1137</v>
      </c>
      <c r="E52" s="9" t="s">
        <v>1138</v>
      </c>
      <c r="F52" s="35">
        <v>-2000</v>
      </c>
      <c r="G52" s="73"/>
    </row>
    <row r="53" spans="1:7" x14ac:dyDescent="0.3">
      <c r="A53" s="5" t="s">
        <v>272</v>
      </c>
      <c r="B53" s="29">
        <v>43201</v>
      </c>
      <c r="C53" s="8" t="s">
        <v>5</v>
      </c>
      <c r="D53" s="6" t="s">
        <v>269</v>
      </c>
      <c r="E53" s="9" t="s">
        <v>1148</v>
      </c>
      <c r="F53" s="7">
        <v>200000</v>
      </c>
    </row>
    <row r="54" spans="1:7" x14ac:dyDescent="0.3">
      <c r="A54" s="5" t="s">
        <v>273</v>
      </c>
      <c r="B54" s="29">
        <v>43201</v>
      </c>
      <c r="C54" s="8" t="s">
        <v>6</v>
      </c>
      <c r="D54" s="6" t="s">
        <v>269</v>
      </c>
      <c r="E54" s="9" t="s">
        <v>1138</v>
      </c>
      <c r="F54" s="7">
        <v>-200000</v>
      </c>
    </row>
    <row r="55" spans="1:7" hidden="1" x14ac:dyDescent="0.3">
      <c r="A55" s="5" t="s">
        <v>1220</v>
      </c>
      <c r="B55" s="31">
        <v>43201</v>
      </c>
      <c r="C55" s="11" t="s">
        <v>1221</v>
      </c>
      <c r="D55" s="9" t="s">
        <v>1137</v>
      </c>
      <c r="E55" s="9" t="s">
        <v>1148</v>
      </c>
      <c r="F55" s="38">
        <v>300000</v>
      </c>
    </row>
    <row r="56" spans="1:7" hidden="1" x14ac:dyDescent="0.3">
      <c r="A56" s="5" t="s">
        <v>1222</v>
      </c>
      <c r="B56" s="31">
        <v>43204</v>
      </c>
      <c r="C56" s="11" t="s">
        <v>1223</v>
      </c>
      <c r="D56" s="9" t="s">
        <v>1137</v>
      </c>
      <c r="E56" s="9" t="s">
        <v>1148</v>
      </c>
      <c r="F56" s="38">
        <v>250000</v>
      </c>
    </row>
    <row r="57" spans="1:7" ht="15.6" hidden="1" x14ac:dyDescent="0.3">
      <c r="A57" s="5" t="s">
        <v>1224</v>
      </c>
      <c r="B57" s="31">
        <v>43204</v>
      </c>
      <c r="C57" s="11" t="s">
        <v>1225</v>
      </c>
      <c r="D57" s="9" t="s">
        <v>1137</v>
      </c>
      <c r="E57" s="9" t="s">
        <v>1138</v>
      </c>
      <c r="F57" s="35">
        <v>-2000</v>
      </c>
      <c r="G57" s="73"/>
    </row>
    <row r="58" spans="1:7" hidden="1" x14ac:dyDescent="0.3">
      <c r="A58" s="5" t="s">
        <v>1226</v>
      </c>
      <c r="B58" s="24">
        <v>43208</v>
      </c>
      <c r="C58" s="11" t="s">
        <v>1227</v>
      </c>
      <c r="D58" s="9" t="s">
        <v>1137</v>
      </c>
      <c r="E58" s="9" t="s">
        <v>1148</v>
      </c>
      <c r="F58" s="35">
        <v>400000</v>
      </c>
    </row>
    <row r="59" spans="1:7" hidden="1" x14ac:dyDescent="0.3">
      <c r="A59" s="5" t="s">
        <v>1228</v>
      </c>
      <c r="B59" s="24">
        <v>43209</v>
      </c>
      <c r="C59" s="11" t="s">
        <v>1229</v>
      </c>
      <c r="D59" s="9" t="s">
        <v>1137</v>
      </c>
      <c r="E59" s="9" t="s">
        <v>1148</v>
      </c>
      <c r="F59" s="35">
        <v>500000</v>
      </c>
    </row>
    <row r="60" spans="1:7" hidden="1" x14ac:dyDescent="0.3">
      <c r="A60" s="5" t="s">
        <v>1230</v>
      </c>
      <c r="B60" s="24">
        <v>43213</v>
      </c>
      <c r="C60" s="11" t="s">
        <v>1231</v>
      </c>
      <c r="D60" s="9" t="s">
        <v>1137</v>
      </c>
      <c r="E60" s="9" t="s">
        <v>1148</v>
      </c>
      <c r="F60" s="35">
        <v>300000</v>
      </c>
    </row>
    <row r="61" spans="1:7" hidden="1" x14ac:dyDescent="0.3">
      <c r="A61" s="5" t="s">
        <v>1232</v>
      </c>
      <c r="B61" s="24">
        <v>43219</v>
      </c>
      <c r="C61" s="11" t="s">
        <v>1233</v>
      </c>
      <c r="D61" s="9" t="s">
        <v>1137</v>
      </c>
      <c r="E61" s="9" t="s">
        <v>1148</v>
      </c>
      <c r="F61" s="35">
        <v>300000</v>
      </c>
    </row>
    <row r="62" spans="1:7" ht="15.6" hidden="1" x14ac:dyDescent="0.3">
      <c r="A62" s="5" t="s">
        <v>1234</v>
      </c>
      <c r="B62" s="24">
        <v>43221</v>
      </c>
      <c r="C62" s="11" t="s">
        <v>1235</v>
      </c>
      <c r="D62" s="9" t="s">
        <v>1137</v>
      </c>
      <c r="E62" s="9" t="s">
        <v>1138</v>
      </c>
      <c r="F62" s="35">
        <v>-8000</v>
      </c>
      <c r="G62" s="73"/>
    </row>
    <row r="63" spans="1:7" ht="15.6" hidden="1" x14ac:dyDescent="0.3">
      <c r="A63" s="5" t="s">
        <v>1236</v>
      </c>
      <c r="B63" s="24">
        <v>43221</v>
      </c>
      <c r="C63" s="11" t="s">
        <v>1237</v>
      </c>
      <c r="D63" s="9" t="s">
        <v>1137</v>
      </c>
      <c r="E63" s="9" t="s">
        <v>1138</v>
      </c>
      <c r="F63" s="35">
        <v>-5500</v>
      </c>
      <c r="G63" s="73"/>
    </row>
    <row r="64" spans="1:7" ht="15.6" hidden="1" x14ac:dyDescent="0.3">
      <c r="A64" s="5" t="s">
        <v>1238</v>
      </c>
      <c r="B64" s="24">
        <v>43221</v>
      </c>
      <c r="C64" s="11" t="s">
        <v>1239</v>
      </c>
      <c r="D64" s="9" t="s">
        <v>1137</v>
      </c>
      <c r="E64" s="9" t="s">
        <v>1138</v>
      </c>
      <c r="F64" s="35">
        <v>-500</v>
      </c>
      <c r="G64" s="73"/>
    </row>
    <row r="65" spans="1:7" ht="15.6" hidden="1" x14ac:dyDescent="0.3">
      <c r="A65" s="5" t="s">
        <v>1240</v>
      </c>
      <c r="B65" s="24">
        <v>43221</v>
      </c>
      <c r="C65" s="11" t="s">
        <v>1163</v>
      </c>
      <c r="D65" s="9" t="s">
        <v>1137</v>
      </c>
      <c r="E65" s="9" t="s">
        <v>1138</v>
      </c>
      <c r="F65" s="35">
        <v>-1000</v>
      </c>
      <c r="G65" s="73"/>
    </row>
    <row r="66" spans="1:7" ht="15.6" hidden="1" x14ac:dyDescent="0.3">
      <c r="A66" s="5" t="s">
        <v>1241</v>
      </c>
      <c r="B66" s="31">
        <v>43221</v>
      </c>
      <c r="C66" s="11" t="s">
        <v>1163</v>
      </c>
      <c r="D66" s="9" t="s">
        <v>1137</v>
      </c>
      <c r="E66" s="9" t="s">
        <v>1138</v>
      </c>
      <c r="F66" s="35">
        <v>-300</v>
      </c>
      <c r="G66" s="73"/>
    </row>
    <row r="67" spans="1:7" ht="15.6" hidden="1" x14ac:dyDescent="0.3">
      <c r="A67" s="5" t="s">
        <v>1242</v>
      </c>
      <c r="B67" s="24">
        <v>43221</v>
      </c>
      <c r="C67" s="11" t="s">
        <v>1163</v>
      </c>
      <c r="D67" s="9" t="s">
        <v>1137</v>
      </c>
      <c r="E67" s="9" t="s">
        <v>1138</v>
      </c>
      <c r="F67" s="35">
        <v>-100</v>
      </c>
      <c r="G67" s="73"/>
    </row>
    <row r="68" spans="1:7" ht="15.6" hidden="1" x14ac:dyDescent="0.3">
      <c r="A68" s="5" t="s">
        <v>1243</v>
      </c>
      <c r="B68" s="24">
        <v>43221</v>
      </c>
      <c r="C68" s="11" t="s">
        <v>1244</v>
      </c>
      <c r="D68" s="9" t="s">
        <v>1137</v>
      </c>
      <c r="E68" s="9" t="s">
        <v>1138</v>
      </c>
      <c r="F68" s="35">
        <v>-300</v>
      </c>
      <c r="G68" s="73"/>
    </row>
    <row r="69" spans="1:7" ht="15.6" hidden="1" x14ac:dyDescent="0.3">
      <c r="A69" s="5" t="s">
        <v>1245</v>
      </c>
      <c r="B69" s="24">
        <v>43221</v>
      </c>
      <c r="C69" s="11" t="s">
        <v>1246</v>
      </c>
      <c r="D69" s="9" t="s">
        <v>1137</v>
      </c>
      <c r="E69" s="9" t="s">
        <v>1138</v>
      </c>
      <c r="F69" s="35">
        <v>-5000</v>
      </c>
      <c r="G69" s="73"/>
    </row>
    <row r="70" spans="1:7" ht="15.6" hidden="1" x14ac:dyDescent="0.3">
      <c r="A70" s="5" t="s">
        <v>1247</v>
      </c>
      <c r="B70" s="24">
        <v>43221</v>
      </c>
      <c r="C70" s="11" t="s">
        <v>1248</v>
      </c>
      <c r="D70" s="9" t="s">
        <v>1137</v>
      </c>
      <c r="E70" s="9" t="s">
        <v>1138</v>
      </c>
      <c r="F70" s="35">
        <v>-5500</v>
      </c>
      <c r="G70" s="73"/>
    </row>
    <row r="71" spans="1:7" ht="15.6" hidden="1" x14ac:dyDescent="0.3">
      <c r="A71" s="5" t="s">
        <v>1249</v>
      </c>
      <c r="B71" s="24">
        <v>43221</v>
      </c>
      <c r="C71" s="11" t="s">
        <v>1250</v>
      </c>
      <c r="D71" s="9" t="s">
        <v>1137</v>
      </c>
      <c r="E71" s="9" t="s">
        <v>1138</v>
      </c>
      <c r="F71" s="35">
        <v>-9000</v>
      </c>
      <c r="G71" s="73"/>
    </row>
    <row r="72" spans="1:7" ht="15.6" hidden="1" x14ac:dyDescent="0.3">
      <c r="A72" s="5" t="s">
        <v>1251</v>
      </c>
      <c r="B72" s="24">
        <v>43221</v>
      </c>
      <c r="C72" s="11" t="s">
        <v>1252</v>
      </c>
      <c r="D72" s="9" t="s">
        <v>1137</v>
      </c>
      <c r="E72" s="9" t="s">
        <v>1138</v>
      </c>
      <c r="F72" s="35">
        <v>-340</v>
      </c>
      <c r="G72" s="73"/>
    </row>
    <row r="73" spans="1:7" hidden="1" x14ac:dyDescent="0.3">
      <c r="A73" s="5" t="s">
        <v>1253</v>
      </c>
      <c r="B73" s="24">
        <v>43221</v>
      </c>
      <c r="C73" s="9" t="s">
        <v>7</v>
      </c>
      <c r="D73" s="9" t="s">
        <v>1137</v>
      </c>
      <c r="E73" s="9"/>
      <c r="F73" s="35">
        <v>0</v>
      </c>
    </row>
    <row r="74" spans="1:7" ht="15.6" hidden="1" x14ac:dyDescent="0.3">
      <c r="A74" s="5" t="s">
        <v>1254</v>
      </c>
      <c r="B74" s="24">
        <v>43221</v>
      </c>
      <c r="C74" s="9" t="s">
        <v>9</v>
      </c>
      <c r="D74" s="9" t="s">
        <v>1137</v>
      </c>
      <c r="E74" s="9" t="s">
        <v>1138</v>
      </c>
      <c r="F74" s="35">
        <v>-21600</v>
      </c>
      <c r="G74" s="73"/>
    </row>
    <row r="75" spans="1:7" ht="15.6" hidden="1" x14ac:dyDescent="0.3">
      <c r="A75" s="5" t="s">
        <v>1255</v>
      </c>
      <c r="B75" s="24">
        <v>43221</v>
      </c>
      <c r="C75" s="9" t="s">
        <v>12</v>
      </c>
      <c r="D75" s="9" t="s">
        <v>1137</v>
      </c>
      <c r="E75" s="9" t="s">
        <v>1138</v>
      </c>
      <c r="F75" s="35">
        <v>-16800</v>
      </c>
      <c r="G75" s="73"/>
    </row>
    <row r="76" spans="1:7" ht="15.6" hidden="1" x14ac:dyDescent="0.3">
      <c r="A76" s="5" t="s">
        <v>1256</v>
      </c>
      <c r="B76" s="31">
        <v>43221</v>
      </c>
      <c r="C76" s="9" t="s">
        <v>8</v>
      </c>
      <c r="D76" s="9" t="s">
        <v>1137</v>
      </c>
      <c r="E76" s="9" t="s">
        <v>1138</v>
      </c>
      <c r="F76" s="35">
        <v>-3600</v>
      </c>
      <c r="G76" s="73"/>
    </row>
    <row r="77" spans="1:7" ht="15.6" hidden="1" x14ac:dyDescent="0.3">
      <c r="A77" s="5" t="s">
        <v>1257</v>
      </c>
      <c r="B77" s="43">
        <v>43221</v>
      </c>
      <c r="C77" s="9" t="s">
        <v>1143</v>
      </c>
      <c r="D77" s="9" t="s">
        <v>1137</v>
      </c>
      <c r="E77" s="9" t="s">
        <v>1138</v>
      </c>
      <c r="F77" s="35">
        <v>-1500</v>
      </c>
      <c r="G77" s="73"/>
    </row>
    <row r="78" spans="1:7" ht="15.6" hidden="1" x14ac:dyDescent="0.3">
      <c r="A78" s="5" t="s">
        <v>1258</v>
      </c>
      <c r="B78" s="32">
        <v>43221</v>
      </c>
      <c r="C78" s="9" t="s">
        <v>11</v>
      </c>
      <c r="D78" s="9" t="s">
        <v>1137</v>
      </c>
      <c r="E78" s="9" t="s">
        <v>1138</v>
      </c>
      <c r="F78" s="35">
        <v>-15300</v>
      </c>
      <c r="G78" s="73"/>
    </row>
    <row r="79" spans="1:7" ht="15.6" hidden="1" x14ac:dyDescent="0.3">
      <c r="A79" s="5" t="s">
        <v>1259</v>
      </c>
      <c r="B79" s="24">
        <v>43221</v>
      </c>
      <c r="C79" s="9" t="s">
        <v>1260</v>
      </c>
      <c r="D79" s="9" t="s">
        <v>1137</v>
      </c>
      <c r="E79" s="9" t="s">
        <v>1138</v>
      </c>
      <c r="F79" s="35">
        <v>-6000</v>
      </c>
      <c r="G79" s="73"/>
    </row>
    <row r="80" spans="1:7" ht="15.6" hidden="1" x14ac:dyDescent="0.3">
      <c r="A80" s="5" t="s">
        <v>1261</v>
      </c>
      <c r="B80" s="24">
        <v>43221</v>
      </c>
      <c r="C80" s="9" t="s">
        <v>1262</v>
      </c>
      <c r="D80" s="9" t="s">
        <v>1137</v>
      </c>
      <c r="E80" s="9" t="s">
        <v>1138</v>
      </c>
      <c r="F80" s="35">
        <v>-1600</v>
      </c>
      <c r="G80" s="73"/>
    </row>
    <row r="81" spans="1:7" ht="15.6" hidden="1" x14ac:dyDescent="0.3">
      <c r="A81" s="5" t="s">
        <v>1263</v>
      </c>
      <c r="B81" s="24">
        <v>43221</v>
      </c>
      <c r="C81" s="9" t="s">
        <v>1208</v>
      </c>
      <c r="D81" s="9" t="s">
        <v>1137</v>
      </c>
      <c r="E81" s="9" t="s">
        <v>1138</v>
      </c>
      <c r="F81" s="35">
        <v>-1200</v>
      </c>
      <c r="G81" s="73"/>
    </row>
    <row r="82" spans="1:7" ht="15.6" hidden="1" x14ac:dyDescent="0.3">
      <c r="A82" s="5" t="s">
        <v>1264</v>
      </c>
      <c r="B82" s="24">
        <v>43221</v>
      </c>
      <c r="C82" s="9" t="s">
        <v>1265</v>
      </c>
      <c r="D82" s="9" t="s">
        <v>1137</v>
      </c>
      <c r="E82" s="9" t="s">
        <v>1138</v>
      </c>
      <c r="F82" s="35">
        <v>-2400</v>
      </c>
      <c r="G82" s="73"/>
    </row>
    <row r="83" spans="1:7" ht="15.6" hidden="1" x14ac:dyDescent="0.3">
      <c r="A83" s="5" t="s">
        <v>1266</v>
      </c>
      <c r="B83" s="24">
        <v>43224</v>
      </c>
      <c r="C83" s="11" t="s">
        <v>1267</v>
      </c>
      <c r="D83" s="9" t="s">
        <v>1137</v>
      </c>
      <c r="E83" s="9" t="s">
        <v>1138</v>
      </c>
      <c r="F83" s="35">
        <v>-150</v>
      </c>
      <c r="G83" s="75"/>
    </row>
    <row r="84" spans="1:7" ht="15.6" hidden="1" x14ac:dyDescent="0.3">
      <c r="A84" s="5" t="s">
        <v>1268</v>
      </c>
      <c r="B84" s="24">
        <v>43227</v>
      </c>
      <c r="C84" s="11" t="s">
        <v>1269</v>
      </c>
      <c r="D84" s="9" t="s">
        <v>1137</v>
      </c>
      <c r="E84" s="9" t="s">
        <v>1138</v>
      </c>
      <c r="F84" s="35">
        <v>-100</v>
      </c>
      <c r="G84" s="73"/>
    </row>
    <row r="85" spans="1:7" ht="15.6" hidden="1" x14ac:dyDescent="0.3">
      <c r="A85" s="5" t="s">
        <v>1270</v>
      </c>
      <c r="B85" s="24">
        <v>43229</v>
      </c>
      <c r="C85" s="11" t="s">
        <v>1248</v>
      </c>
      <c r="D85" s="9" t="s">
        <v>1137</v>
      </c>
      <c r="E85" s="9" t="s">
        <v>1138</v>
      </c>
      <c r="F85" s="35">
        <v>-300</v>
      </c>
      <c r="G85" s="73"/>
    </row>
    <row r="86" spans="1:7" ht="15.6" hidden="1" x14ac:dyDescent="0.3">
      <c r="A86" s="5" t="s">
        <v>1271</v>
      </c>
      <c r="B86" s="24">
        <v>43230</v>
      </c>
      <c r="C86" s="11" t="s">
        <v>1269</v>
      </c>
      <c r="D86" s="9" t="s">
        <v>1137</v>
      </c>
      <c r="E86" s="9" t="s">
        <v>1138</v>
      </c>
      <c r="F86" s="35">
        <v>-50</v>
      </c>
      <c r="G86" s="73"/>
    </row>
    <row r="87" spans="1:7" x14ac:dyDescent="0.3">
      <c r="A87" s="5" t="s">
        <v>274</v>
      </c>
      <c r="B87" s="31">
        <v>43236</v>
      </c>
      <c r="C87" s="8" t="s">
        <v>6</v>
      </c>
      <c r="D87" s="6" t="s">
        <v>269</v>
      </c>
      <c r="E87" s="9" t="s">
        <v>1138</v>
      </c>
      <c r="F87" s="7">
        <v>-23000</v>
      </c>
    </row>
    <row r="88" spans="1:7" x14ac:dyDescent="0.3">
      <c r="A88" s="5" t="s">
        <v>275</v>
      </c>
      <c r="B88" s="31">
        <v>43236</v>
      </c>
      <c r="C88" s="9" t="s">
        <v>7</v>
      </c>
      <c r="D88" s="6" t="s">
        <v>269</v>
      </c>
      <c r="E88" s="9"/>
      <c r="F88" s="7">
        <v>0</v>
      </c>
    </row>
    <row r="89" spans="1:7" x14ac:dyDescent="0.3">
      <c r="A89" s="5" t="s">
        <v>276</v>
      </c>
      <c r="B89" s="31">
        <v>43236</v>
      </c>
      <c r="C89" s="9" t="s">
        <v>8</v>
      </c>
      <c r="D89" s="6" t="s">
        <v>269</v>
      </c>
      <c r="E89" s="9"/>
      <c r="F89" s="7">
        <v>0</v>
      </c>
    </row>
    <row r="90" spans="1:7" x14ac:dyDescent="0.3">
      <c r="A90" s="5" t="s">
        <v>277</v>
      </c>
      <c r="B90" s="31">
        <v>43236</v>
      </c>
      <c r="C90" s="9" t="s">
        <v>9</v>
      </c>
      <c r="D90" s="6" t="s">
        <v>269</v>
      </c>
      <c r="E90" s="9"/>
      <c r="F90" s="7">
        <v>0</v>
      </c>
    </row>
    <row r="91" spans="1:7" x14ac:dyDescent="0.3">
      <c r="A91" s="5" t="s">
        <v>278</v>
      </c>
      <c r="B91" s="31">
        <v>43236</v>
      </c>
      <c r="C91" s="6" t="s">
        <v>10</v>
      </c>
      <c r="D91" s="6" t="s">
        <v>269</v>
      </c>
      <c r="E91" s="6"/>
      <c r="F91" s="7">
        <v>0</v>
      </c>
    </row>
    <row r="92" spans="1:7" x14ac:dyDescent="0.3">
      <c r="A92" s="5" t="s">
        <v>279</v>
      </c>
      <c r="B92" s="24">
        <v>43236</v>
      </c>
      <c r="C92" s="6" t="s">
        <v>11</v>
      </c>
      <c r="D92" s="6" t="s">
        <v>269</v>
      </c>
      <c r="E92" s="6"/>
      <c r="F92" s="7">
        <v>0</v>
      </c>
    </row>
    <row r="93" spans="1:7" x14ac:dyDescent="0.3">
      <c r="A93" s="5" t="s">
        <v>280</v>
      </c>
      <c r="B93" s="24">
        <v>43236</v>
      </c>
      <c r="C93" s="6" t="s">
        <v>12</v>
      </c>
      <c r="D93" s="6" t="s">
        <v>269</v>
      </c>
      <c r="E93" s="6"/>
      <c r="F93" s="7">
        <v>0</v>
      </c>
    </row>
    <row r="94" spans="1:7" x14ac:dyDescent="0.3">
      <c r="A94" s="5" t="s">
        <v>281</v>
      </c>
      <c r="B94" s="24">
        <v>43236</v>
      </c>
      <c r="C94" s="6" t="s">
        <v>13</v>
      </c>
      <c r="D94" s="6" t="s">
        <v>269</v>
      </c>
      <c r="E94" s="6" t="s">
        <v>1138</v>
      </c>
      <c r="F94" s="7">
        <v>-50000</v>
      </c>
    </row>
    <row r="95" spans="1:7" x14ac:dyDescent="0.3">
      <c r="A95" s="5" t="s">
        <v>282</v>
      </c>
      <c r="B95" s="24">
        <v>43236</v>
      </c>
      <c r="C95" s="6" t="s">
        <v>14</v>
      </c>
      <c r="D95" s="6" t="s">
        <v>269</v>
      </c>
      <c r="E95" s="6"/>
      <c r="F95" s="7">
        <v>0</v>
      </c>
    </row>
    <row r="96" spans="1:7" hidden="1" x14ac:dyDescent="0.3">
      <c r="A96" s="5" t="s">
        <v>1272</v>
      </c>
      <c r="B96" s="24">
        <v>43236</v>
      </c>
      <c r="C96" s="11" t="s">
        <v>1273</v>
      </c>
      <c r="D96" s="9" t="s">
        <v>1137</v>
      </c>
      <c r="E96" s="9" t="s">
        <v>1148</v>
      </c>
      <c r="F96" s="35">
        <v>500000</v>
      </c>
    </row>
    <row r="97" spans="1:7" x14ac:dyDescent="0.3">
      <c r="A97" s="5" t="s">
        <v>283</v>
      </c>
      <c r="B97" s="24">
        <v>43250</v>
      </c>
      <c r="C97" s="6" t="s">
        <v>15</v>
      </c>
      <c r="D97" s="6" t="s">
        <v>269</v>
      </c>
      <c r="E97" s="6" t="s">
        <v>1138</v>
      </c>
      <c r="F97" s="7">
        <v>-2500</v>
      </c>
    </row>
    <row r="98" spans="1:7" ht="15.6" hidden="1" x14ac:dyDescent="0.3">
      <c r="A98" s="5" t="s">
        <v>1274</v>
      </c>
      <c r="B98" s="24">
        <v>43250</v>
      </c>
      <c r="C98" s="39" t="s">
        <v>1275</v>
      </c>
      <c r="D98" s="9" t="s">
        <v>1137</v>
      </c>
      <c r="E98" s="9" t="s">
        <v>1138</v>
      </c>
      <c r="F98" s="35">
        <v>-33150</v>
      </c>
      <c r="G98" s="73"/>
    </row>
    <row r="99" spans="1:7" ht="15.6" hidden="1" x14ac:dyDescent="0.3">
      <c r="A99" s="5" t="s">
        <v>1276</v>
      </c>
      <c r="B99" s="24">
        <v>43252</v>
      </c>
      <c r="C99" s="9" t="s">
        <v>9</v>
      </c>
      <c r="D99" s="9" t="s">
        <v>1137</v>
      </c>
      <c r="E99" s="9" t="s">
        <v>1138</v>
      </c>
      <c r="F99" s="35">
        <v>-12000</v>
      </c>
      <c r="G99" s="73"/>
    </row>
    <row r="100" spans="1:7" ht="15.6" hidden="1" x14ac:dyDescent="0.3">
      <c r="A100" s="5" t="s">
        <v>1277</v>
      </c>
      <c r="B100" s="24">
        <v>43252</v>
      </c>
      <c r="C100" s="9" t="s">
        <v>8</v>
      </c>
      <c r="D100" s="9" t="s">
        <v>1137</v>
      </c>
      <c r="E100" s="9" t="s">
        <v>1138</v>
      </c>
      <c r="F100" s="35">
        <v>-2400</v>
      </c>
      <c r="G100" s="73"/>
    </row>
    <row r="101" spans="1:7" ht="15.6" hidden="1" x14ac:dyDescent="0.3">
      <c r="A101" s="5" t="s">
        <v>1278</v>
      </c>
      <c r="B101" s="24">
        <v>43252</v>
      </c>
      <c r="C101" s="9" t="s">
        <v>7</v>
      </c>
      <c r="D101" s="9" t="s">
        <v>1137</v>
      </c>
      <c r="E101" s="9" t="s">
        <v>1138</v>
      </c>
      <c r="F101" s="35">
        <v>-4000</v>
      </c>
      <c r="G101" s="73"/>
    </row>
    <row r="102" spans="1:7" ht="15.6" hidden="1" x14ac:dyDescent="0.3">
      <c r="A102" s="5" t="s">
        <v>1279</v>
      </c>
      <c r="B102" s="24">
        <v>43252</v>
      </c>
      <c r="C102" s="9" t="s">
        <v>12</v>
      </c>
      <c r="D102" s="9" t="s">
        <v>1137</v>
      </c>
      <c r="E102" s="9" t="s">
        <v>1138</v>
      </c>
      <c r="F102" s="35">
        <v>-6400</v>
      </c>
      <c r="G102" s="73"/>
    </row>
    <row r="103" spans="1:7" ht="15.6" hidden="1" x14ac:dyDescent="0.3">
      <c r="A103" s="5" t="s">
        <v>1280</v>
      </c>
      <c r="B103" s="24">
        <v>43252</v>
      </c>
      <c r="C103" s="9" t="s">
        <v>11</v>
      </c>
      <c r="D103" s="9" t="s">
        <v>1137</v>
      </c>
      <c r="E103" s="9" t="s">
        <v>1138</v>
      </c>
      <c r="F103" s="35">
        <v>-2550</v>
      </c>
      <c r="G103" s="73"/>
    </row>
    <row r="104" spans="1:7" ht="15.6" hidden="1" x14ac:dyDescent="0.3">
      <c r="A104" s="5" t="s">
        <v>1281</v>
      </c>
      <c r="B104" s="24">
        <v>43252</v>
      </c>
      <c r="C104" s="9" t="s">
        <v>1262</v>
      </c>
      <c r="D104" s="9" t="s">
        <v>1137</v>
      </c>
      <c r="E104" s="9" t="s">
        <v>1138</v>
      </c>
      <c r="F104" s="35">
        <v>-1600</v>
      </c>
      <c r="G104" s="73"/>
    </row>
    <row r="105" spans="1:7" ht="15.6" hidden="1" x14ac:dyDescent="0.3">
      <c r="A105" s="5" t="s">
        <v>1282</v>
      </c>
      <c r="B105" s="24">
        <v>43252</v>
      </c>
      <c r="C105" s="9" t="s">
        <v>1283</v>
      </c>
      <c r="D105" s="9" t="s">
        <v>1137</v>
      </c>
      <c r="E105" s="9" t="s">
        <v>1138</v>
      </c>
      <c r="F105" s="35">
        <v>-8000</v>
      </c>
      <c r="G105" s="73"/>
    </row>
    <row r="106" spans="1:7" ht="15.6" hidden="1" x14ac:dyDescent="0.3">
      <c r="A106" s="5" t="s">
        <v>1284</v>
      </c>
      <c r="B106" s="24">
        <v>43252</v>
      </c>
      <c r="C106" s="9" t="s">
        <v>1212</v>
      </c>
      <c r="D106" s="9" t="s">
        <v>1137</v>
      </c>
      <c r="E106" s="9" t="s">
        <v>1138</v>
      </c>
      <c r="F106" s="35">
        <v>-2000</v>
      </c>
      <c r="G106" s="73"/>
    </row>
    <row r="107" spans="1:7" ht="15.6" hidden="1" x14ac:dyDescent="0.3">
      <c r="A107" s="5" t="s">
        <v>1285</v>
      </c>
      <c r="B107" s="24">
        <v>43252</v>
      </c>
      <c r="C107" s="9" t="s">
        <v>1286</v>
      </c>
      <c r="D107" s="9" t="s">
        <v>1137</v>
      </c>
      <c r="E107" s="9" t="s">
        <v>1138</v>
      </c>
      <c r="F107" s="35">
        <v>-4000</v>
      </c>
      <c r="G107" s="73"/>
    </row>
    <row r="108" spans="1:7" ht="15.6" hidden="1" x14ac:dyDescent="0.3">
      <c r="A108" s="5" t="s">
        <v>1287</v>
      </c>
      <c r="B108" s="24">
        <v>43252</v>
      </c>
      <c r="C108" s="9" t="s">
        <v>1288</v>
      </c>
      <c r="D108" s="9" t="s">
        <v>1137</v>
      </c>
      <c r="E108" s="9" t="s">
        <v>1138</v>
      </c>
      <c r="F108" s="35">
        <v>-800</v>
      </c>
      <c r="G108" s="73"/>
    </row>
    <row r="109" spans="1:7" ht="15.6" hidden="1" x14ac:dyDescent="0.3">
      <c r="A109" s="5" t="s">
        <v>1289</v>
      </c>
      <c r="B109" s="24">
        <v>43252</v>
      </c>
      <c r="C109" s="9" t="s">
        <v>1290</v>
      </c>
      <c r="D109" s="9" t="s">
        <v>1137</v>
      </c>
      <c r="E109" s="9" t="s">
        <v>1138</v>
      </c>
      <c r="F109" s="35">
        <v>-1600</v>
      </c>
      <c r="G109" s="73"/>
    </row>
    <row r="110" spans="1:7" ht="15.6" hidden="1" x14ac:dyDescent="0.3">
      <c r="A110" s="5" t="s">
        <v>1291</v>
      </c>
      <c r="B110" s="24">
        <v>43252</v>
      </c>
      <c r="C110" s="9" t="s">
        <v>1292</v>
      </c>
      <c r="D110" s="9" t="s">
        <v>1137</v>
      </c>
      <c r="E110" s="9" t="s">
        <v>1138</v>
      </c>
      <c r="F110" s="35">
        <v>-3000</v>
      </c>
      <c r="G110" s="73"/>
    </row>
    <row r="111" spans="1:7" ht="15.6" hidden="1" x14ac:dyDescent="0.3">
      <c r="A111" s="5" t="s">
        <v>1293</v>
      </c>
      <c r="B111" s="24">
        <v>43252</v>
      </c>
      <c r="C111" s="9" t="s">
        <v>1294</v>
      </c>
      <c r="D111" s="9" t="s">
        <v>1137</v>
      </c>
      <c r="E111" s="9" t="s">
        <v>1138</v>
      </c>
      <c r="F111" s="35">
        <v>-3000</v>
      </c>
      <c r="G111" s="73"/>
    </row>
    <row r="112" spans="1:7" ht="15.6" hidden="1" x14ac:dyDescent="0.3">
      <c r="A112" s="5" t="s">
        <v>1295</v>
      </c>
      <c r="B112" s="24">
        <v>43258</v>
      </c>
      <c r="C112" s="40" t="s">
        <v>9</v>
      </c>
      <c r="D112" s="9" t="s">
        <v>1137</v>
      </c>
      <c r="E112" s="9" t="s">
        <v>1138</v>
      </c>
      <c r="F112" s="35">
        <v>-1200</v>
      </c>
      <c r="G112" s="73"/>
    </row>
    <row r="113" spans="1:7" ht="15.6" hidden="1" x14ac:dyDescent="0.3">
      <c r="A113" s="5" t="s">
        <v>1296</v>
      </c>
      <c r="B113" s="24">
        <v>43258</v>
      </c>
      <c r="C113" s="40" t="s">
        <v>11</v>
      </c>
      <c r="D113" s="9" t="s">
        <v>1137</v>
      </c>
      <c r="E113" s="9" t="s">
        <v>1138</v>
      </c>
      <c r="F113" s="35">
        <v>-2000</v>
      </c>
      <c r="G113" s="75"/>
    </row>
    <row r="114" spans="1:7" hidden="1" x14ac:dyDescent="0.3">
      <c r="A114" s="5" t="s">
        <v>1297</v>
      </c>
      <c r="B114" s="24">
        <v>43264</v>
      </c>
      <c r="C114" s="11" t="s">
        <v>1298</v>
      </c>
      <c r="D114" s="9" t="s">
        <v>1137</v>
      </c>
      <c r="E114" s="9" t="s">
        <v>1148</v>
      </c>
      <c r="F114" s="35">
        <v>300000</v>
      </c>
    </row>
    <row r="115" spans="1:7" ht="15.6" hidden="1" x14ac:dyDescent="0.3">
      <c r="A115" s="5" t="s">
        <v>1299</v>
      </c>
      <c r="B115" s="24">
        <v>43282</v>
      </c>
      <c r="C115" s="41" t="s">
        <v>1300</v>
      </c>
      <c r="D115" s="9" t="s">
        <v>1137</v>
      </c>
      <c r="E115" s="9" t="s">
        <v>1138</v>
      </c>
      <c r="F115" s="35">
        <v>-3200</v>
      </c>
      <c r="G115" s="73"/>
    </row>
    <row r="116" spans="1:7" ht="15.6" hidden="1" x14ac:dyDescent="0.3">
      <c r="A116" s="5" t="s">
        <v>1301</v>
      </c>
      <c r="B116" s="24">
        <v>43282</v>
      </c>
      <c r="C116" s="9" t="s">
        <v>1302</v>
      </c>
      <c r="D116" s="9" t="s">
        <v>1137</v>
      </c>
      <c r="E116" s="9" t="s">
        <v>1138</v>
      </c>
      <c r="F116" s="35">
        <v>-401000</v>
      </c>
      <c r="G116" s="73"/>
    </row>
    <row r="117" spans="1:7" ht="15.6" hidden="1" x14ac:dyDescent="0.3">
      <c r="A117" s="5" t="s">
        <v>1303</v>
      </c>
      <c r="B117" s="24">
        <v>43282</v>
      </c>
      <c r="C117" s="9" t="s">
        <v>1304</v>
      </c>
      <c r="D117" s="9" t="s">
        <v>1137</v>
      </c>
      <c r="E117" s="9" t="s">
        <v>1138</v>
      </c>
      <c r="F117" s="35">
        <v>-80000</v>
      </c>
      <c r="G117" s="73"/>
    </row>
    <row r="118" spans="1:7" hidden="1" x14ac:dyDescent="0.3">
      <c r="A118" s="5" t="s">
        <v>1305</v>
      </c>
      <c r="B118" s="24">
        <v>43282</v>
      </c>
      <c r="C118" s="9" t="s">
        <v>1306</v>
      </c>
      <c r="D118" s="9" t="s">
        <v>1137</v>
      </c>
      <c r="E118" s="9"/>
      <c r="F118" s="35">
        <v>0</v>
      </c>
    </row>
    <row r="119" spans="1:7" ht="15.6" hidden="1" x14ac:dyDescent="0.3">
      <c r="A119" s="5" t="s">
        <v>1307</v>
      </c>
      <c r="B119" s="24">
        <v>43282</v>
      </c>
      <c r="C119" s="9" t="s">
        <v>1308</v>
      </c>
      <c r="D119" s="9" t="s">
        <v>1137</v>
      </c>
      <c r="E119" s="9" t="s">
        <v>1138</v>
      </c>
      <c r="F119" s="35">
        <v>-510800</v>
      </c>
      <c r="G119" s="73"/>
    </row>
    <row r="120" spans="1:7" hidden="1" x14ac:dyDescent="0.3">
      <c r="A120" s="5" t="s">
        <v>1309</v>
      </c>
      <c r="B120" s="24">
        <v>43282</v>
      </c>
      <c r="C120" s="9" t="s">
        <v>1310</v>
      </c>
      <c r="D120" s="9" t="s">
        <v>1137</v>
      </c>
      <c r="E120" s="9"/>
      <c r="F120" s="35">
        <v>0</v>
      </c>
    </row>
    <row r="121" spans="1:7" ht="15.6" hidden="1" x14ac:dyDescent="0.3">
      <c r="A121" s="5" t="s">
        <v>1311</v>
      </c>
      <c r="B121" s="24">
        <v>43282</v>
      </c>
      <c r="C121" s="9" t="s">
        <v>1312</v>
      </c>
      <c r="D121" s="9" t="s">
        <v>1137</v>
      </c>
      <c r="E121" s="9" t="s">
        <v>1138</v>
      </c>
      <c r="F121" s="35">
        <v>-1992000</v>
      </c>
      <c r="G121" s="73"/>
    </row>
    <row r="122" spans="1:7" ht="15.6" hidden="1" x14ac:dyDescent="0.3">
      <c r="A122" s="5" t="s">
        <v>1313</v>
      </c>
      <c r="B122" s="24">
        <v>43282</v>
      </c>
      <c r="C122" s="9" t="s">
        <v>1314</v>
      </c>
      <c r="D122" s="9" t="s">
        <v>1137</v>
      </c>
      <c r="E122" s="9" t="s">
        <v>1138</v>
      </c>
      <c r="F122" s="35">
        <v>-700000</v>
      </c>
      <c r="G122" s="73"/>
    </row>
    <row r="123" spans="1:7" x14ac:dyDescent="0.3">
      <c r="A123" s="5" t="s">
        <v>296</v>
      </c>
      <c r="B123" s="25">
        <v>43289</v>
      </c>
      <c r="C123" s="11" t="s">
        <v>22</v>
      </c>
      <c r="D123" s="6" t="s">
        <v>269</v>
      </c>
      <c r="E123" s="11" t="s">
        <v>1138</v>
      </c>
      <c r="F123" s="7">
        <v>-60000</v>
      </c>
    </row>
    <row r="124" spans="1:7" ht="15.6" hidden="1" x14ac:dyDescent="0.3">
      <c r="A124" s="5" t="s">
        <v>1315</v>
      </c>
      <c r="B124" s="24">
        <v>43298</v>
      </c>
      <c r="C124" s="40" t="s">
        <v>7</v>
      </c>
      <c r="D124" s="9" t="s">
        <v>1137</v>
      </c>
      <c r="E124" s="9" t="s">
        <v>1138</v>
      </c>
      <c r="F124" s="35">
        <v>-1000</v>
      </c>
      <c r="G124" s="73"/>
    </row>
    <row r="125" spans="1:7" x14ac:dyDescent="0.3">
      <c r="A125" s="5" t="s">
        <v>285</v>
      </c>
      <c r="B125" s="24">
        <v>43299</v>
      </c>
      <c r="C125" s="8" t="s">
        <v>5</v>
      </c>
      <c r="D125" s="6" t="s">
        <v>269</v>
      </c>
      <c r="E125" s="8" t="s">
        <v>1446</v>
      </c>
      <c r="F125" s="10">
        <v>400000</v>
      </c>
    </row>
    <row r="126" spans="1:7" x14ac:dyDescent="0.3">
      <c r="A126" s="5" t="s">
        <v>286</v>
      </c>
      <c r="B126" s="31">
        <v>43299</v>
      </c>
      <c r="C126" s="8" t="s">
        <v>6</v>
      </c>
      <c r="D126" s="6" t="s">
        <v>269</v>
      </c>
      <c r="E126" s="9" t="s">
        <v>1138</v>
      </c>
      <c r="F126" s="7">
        <v>-50000</v>
      </c>
    </row>
    <row r="127" spans="1:7" x14ac:dyDescent="0.3">
      <c r="A127" s="5" t="s">
        <v>287</v>
      </c>
      <c r="B127" s="43">
        <v>43299</v>
      </c>
      <c r="C127" s="11" t="s">
        <v>17</v>
      </c>
      <c r="D127" s="6" t="s">
        <v>269</v>
      </c>
      <c r="E127" s="9" t="s">
        <v>1138</v>
      </c>
      <c r="F127" s="7">
        <v>-38000</v>
      </c>
    </row>
    <row r="128" spans="1:7" x14ac:dyDescent="0.3">
      <c r="A128" s="5" t="s">
        <v>288</v>
      </c>
      <c r="B128" s="32">
        <v>43299</v>
      </c>
      <c r="C128" s="9" t="s">
        <v>7</v>
      </c>
      <c r="D128" s="6" t="s">
        <v>269</v>
      </c>
      <c r="E128" s="9" t="s">
        <v>1138</v>
      </c>
      <c r="F128" s="7">
        <v>-1000</v>
      </c>
    </row>
    <row r="129" spans="1:7" x14ac:dyDescent="0.3">
      <c r="A129" s="5" t="s">
        <v>289</v>
      </c>
      <c r="B129" s="24">
        <v>43299</v>
      </c>
      <c r="C129" s="9" t="s">
        <v>8</v>
      </c>
      <c r="D129" s="6" t="s">
        <v>269</v>
      </c>
      <c r="E129" s="9" t="s">
        <v>1138</v>
      </c>
      <c r="F129" s="7">
        <v>-2000</v>
      </c>
    </row>
    <row r="130" spans="1:7" x14ac:dyDescent="0.3">
      <c r="A130" s="5" t="s">
        <v>290</v>
      </c>
      <c r="B130" s="24">
        <v>43299</v>
      </c>
      <c r="C130" s="9" t="s">
        <v>9</v>
      </c>
      <c r="D130" s="6" t="s">
        <v>269</v>
      </c>
      <c r="E130" s="9" t="s">
        <v>1138</v>
      </c>
      <c r="F130" s="7">
        <v>-2000</v>
      </c>
    </row>
    <row r="131" spans="1:7" ht="15.6" hidden="1" x14ac:dyDescent="0.3">
      <c r="A131" s="5" t="s">
        <v>1316</v>
      </c>
      <c r="B131" s="24">
        <v>43299</v>
      </c>
      <c r="C131" s="40" t="s">
        <v>7</v>
      </c>
      <c r="D131" s="9" t="s">
        <v>1137</v>
      </c>
      <c r="E131" s="9" t="s">
        <v>1138</v>
      </c>
      <c r="F131" s="35">
        <v>-1000</v>
      </c>
      <c r="G131" s="73"/>
    </row>
    <row r="132" spans="1:7" x14ac:dyDescent="0.3">
      <c r="A132" s="5" t="s">
        <v>291</v>
      </c>
      <c r="B132" s="25">
        <v>43302</v>
      </c>
      <c r="C132" s="11" t="s">
        <v>18</v>
      </c>
      <c r="D132" s="6" t="s">
        <v>269</v>
      </c>
      <c r="E132" s="9" t="s">
        <v>1138</v>
      </c>
      <c r="F132" s="7">
        <v>-100000</v>
      </c>
    </row>
    <row r="133" spans="1:7" x14ac:dyDescent="0.3">
      <c r="A133" s="5" t="s">
        <v>292</v>
      </c>
      <c r="B133" s="25">
        <v>43305</v>
      </c>
      <c r="C133" s="11" t="s">
        <v>19</v>
      </c>
      <c r="D133" s="6" t="s">
        <v>269</v>
      </c>
      <c r="E133" s="9" t="s">
        <v>1138</v>
      </c>
      <c r="F133" s="7">
        <v>-21000</v>
      </c>
    </row>
    <row r="134" spans="1:7" x14ac:dyDescent="0.3">
      <c r="A134" s="5" t="s">
        <v>293</v>
      </c>
      <c r="B134" s="25">
        <v>43305</v>
      </c>
      <c r="C134" s="11" t="s">
        <v>20</v>
      </c>
      <c r="D134" s="6" t="s">
        <v>269</v>
      </c>
      <c r="E134" s="9" t="s">
        <v>1138</v>
      </c>
      <c r="F134" s="7">
        <v>-25000</v>
      </c>
    </row>
    <row r="135" spans="1:7" x14ac:dyDescent="0.3">
      <c r="A135" s="5" t="s">
        <v>294</v>
      </c>
      <c r="B135" s="25">
        <v>43305</v>
      </c>
      <c r="C135" s="11" t="s">
        <v>21</v>
      </c>
      <c r="D135" s="6" t="s">
        <v>269</v>
      </c>
      <c r="E135" s="9" t="s">
        <v>1138</v>
      </c>
      <c r="F135" s="7">
        <v>-2000</v>
      </c>
    </row>
    <row r="136" spans="1:7" x14ac:dyDescent="0.3">
      <c r="A136" s="5" t="s">
        <v>295</v>
      </c>
      <c r="B136" s="25">
        <v>43305</v>
      </c>
      <c r="C136" s="11" t="s">
        <v>12</v>
      </c>
      <c r="D136" s="6" t="s">
        <v>269</v>
      </c>
      <c r="E136" s="9" t="s">
        <v>1138</v>
      </c>
      <c r="F136" s="7">
        <v>-2000</v>
      </c>
    </row>
    <row r="137" spans="1:7" ht="15.6" hidden="1" x14ac:dyDescent="0.3">
      <c r="A137" s="5" t="s">
        <v>1317</v>
      </c>
      <c r="B137" s="24">
        <v>43305</v>
      </c>
      <c r="C137" s="6" t="s">
        <v>1318</v>
      </c>
      <c r="D137" s="9" t="s">
        <v>1137</v>
      </c>
      <c r="E137" s="9" t="s">
        <v>1138</v>
      </c>
      <c r="F137" s="35">
        <v>-500</v>
      </c>
      <c r="G137" s="73"/>
    </row>
    <row r="138" spans="1:7" ht="15.6" hidden="1" x14ac:dyDescent="0.3">
      <c r="A138" s="5" t="s">
        <v>1319</v>
      </c>
      <c r="B138" s="24">
        <v>43305</v>
      </c>
      <c r="C138" s="8" t="s">
        <v>1163</v>
      </c>
      <c r="D138" s="9" t="s">
        <v>1137</v>
      </c>
      <c r="E138" s="9" t="s">
        <v>1138</v>
      </c>
      <c r="F138" s="35">
        <v>-100</v>
      </c>
      <c r="G138" s="73"/>
    </row>
    <row r="139" spans="1:7" ht="15.6" hidden="1" x14ac:dyDescent="0.3">
      <c r="A139" s="5" t="s">
        <v>1320</v>
      </c>
      <c r="B139" s="24">
        <v>43305</v>
      </c>
      <c r="C139" s="8" t="s">
        <v>1321</v>
      </c>
      <c r="D139" s="9" t="s">
        <v>1137</v>
      </c>
      <c r="E139" s="9" t="s">
        <v>1138</v>
      </c>
      <c r="F139" s="35">
        <v>-60</v>
      </c>
      <c r="G139" s="73"/>
    </row>
    <row r="140" spans="1:7" ht="15.6" hidden="1" x14ac:dyDescent="0.3">
      <c r="A140" s="5" t="s">
        <v>1322</v>
      </c>
      <c r="B140" s="24">
        <v>43305</v>
      </c>
      <c r="C140" s="11" t="s">
        <v>1250</v>
      </c>
      <c r="D140" s="9" t="s">
        <v>1137</v>
      </c>
      <c r="E140" s="9" t="s">
        <v>1138</v>
      </c>
      <c r="F140" s="35">
        <v>-5000</v>
      </c>
      <c r="G140" s="73"/>
    </row>
    <row r="141" spans="1:7" ht="15.6" hidden="1" x14ac:dyDescent="0.3">
      <c r="A141" s="5" t="s">
        <v>1323</v>
      </c>
      <c r="B141" s="24">
        <v>43305</v>
      </c>
      <c r="C141" s="11" t="s">
        <v>1324</v>
      </c>
      <c r="D141" s="9" t="s">
        <v>1137</v>
      </c>
      <c r="E141" s="9" t="s">
        <v>1138</v>
      </c>
      <c r="F141" s="35">
        <v>-3200</v>
      </c>
      <c r="G141" s="73"/>
    </row>
    <row r="142" spans="1:7" ht="15.6" hidden="1" x14ac:dyDescent="0.3">
      <c r="A142" s="5" t="s">
        <v>1325</v>
      </c>
      <c r="B142" s="24">
        <v>43305</v>
      </c>
      <c r="C142" s="11" t="s">
        <v>219</v>
      </c>
      <c r="D142" s="9" t="s">
        <v>1137</v>
      </c>
      <c r="E142" s="9" t="s">
        <v>1138</v>
      </c>
      <c r="F142" s="35">
        <v>-200</v>
      </c>
      <c r="G142" s="73"/>
    </row>
    <row r="143" spans="1:7" ht="15.6" hidden="1" x14ac:dyDescent="0.3">
      <c r="A143" s="5" t="s">
        <v>1326</v>
      </c>
      <c r="B143" s="24">
        <v>43305</v>
      </c>
      <c r="C143" s="11" t="s">
        <v>1327</v>
      </c>
      <c r="D143" s="9" t="s">
        <v>1137</v>
      </c>
      <c r="E143" s="9" t="s">
        <v>1138</v>
      </c>
      <c r="F143" s="35">
        <v>-1500</v>
      </c>
      <c r="G143" s="75"/>
    </row>
    <row r="144" spans="1:7" ht="15.6" hidden="1" x14ac:dyDescent="0.3">
      <c r="A144" s="5" t="s">
        <v>1328</v>
      </c>
      <c r="B144" s="24">
        <v>43312</v>
      </c>
      <c r="C144" s="11" t="s">
        <v>1329</v>
      </c>
      <c r="D144" s="9" t="s">
        <v>1137</v>
      </c>
      <c r="E144" s="9" t="s">
        <v>1138</v>
      </c>
      <c r="F144" s="35">
        <v>-2000</v>
      </c>
      <c r="G144" s="73"/>
    </row>
    <row r="145" spans="1:7" ht="15.6" hidden="1" x14ac:dyDescent="0.3">
      <c r="A145" s="5" t="s">
        <v>1330</v>
      </c>
      <c r="B145" s="24">
        <v>43312</v>
      </c>
      <c r="C145" s="9" t="s">
        <v>1331</v>
      </c>
      <c r="D145" s="9" t="s">
        <v>1137</v>
      </c>
      <c r="E145" s="9" t="s">
        <v>1138</v>
      </c>
      <c r="F145" s="35">
        <v>-1600</v>
      </c>
      <c r="G145" s="73"/>
    </row>
    <row r="146" spans="1:7" x14ac:dyDescent="0.3">
      <c r="A146" s="5" t="s">
        <v>284</v>
      </c>
      <c r="B146" s="24">
        <v>43318</v>
      </c>
      <c r="C146" s="6" t="s">
        <v>16</v>
      </c>
      <c r="D146" s="6" t="s">
        <v>269</v>
      </c>
      <c r="E146" s="9" t="s">
        <v>1138</v>
      </c>
      <c r="F146" s="7">
        <v>-120</v>
      </c>
    </row>
    <row r="147" spans="1:7" x14ac:dyDescent="0.3">
      <c r="A147" s="5" t="s">
        <v>297</v>
      </c>
      <c r="B147" s="25">
        <v>43320</v>
      </c>
      <c r="C147" s="11" t="s">
        <v>23</v>
      </c>
      <c r="D147" s="6" t="s">
        <v>269</v>
      </c>
      <c r="E147" s="9" t="s">
        <v>1138</v>
      </c>
      <c r="F147" s="7">
        <v>-100000</v>
      </c>
    </row>
    <row r="148" spans="1:7" x14ac:dyDescent="0.3">
      <c r="A148" s="5" t="s">
        <v>298</v>
      </c>
      <c r="B148" s="25">
        <v>43325</v>
      </c>
      <c r="C148" s="11" t="s">
        <v>24</v>
      </c>
      <c r="D148" s="6" t="s">
        <v>269</v>
      </c>
      <c r="E148" s="9" t="s">
        <v>1138</v>
      </c>
      <c r="F148" s="7">
        <v>-11000</v>
      </c>
    </row>
    <row r="149" spans="1:7" x14ac:dyDescent="0.3">
      <c r="A149" s="5" t="s">
        <v>299</v>
      </c>
      <c r="B149" s="25">
        <v>43325</v>
      </c>
      <c r="C149" s="11" t="s">
        <v>25</v>
      </c>
      <c r="D149" s="6" t="s">
        <v>269</v>
      </c>
      <c r="E149" s="9" t="s">
        <v>1138</v>
      </c>
      <c r="F149" s="7">
        <v>-24000</v>
      </c>
    </row>
    <row r="150" spans="1:7" x14ac:dyDescent="0.3">
      <c r="A150" s="5" t="s">
        <v>300</v>
      </c>
      <c r="B150" s="25">
        <v>43325</v>
      </c>
      <c r="C150" s="9" t="s">
        <v>9</v>
      </c>
      <c r="D150" s="6" t="s">
        <v>269</v>
      </c>
      <c r="E150" s="9" t="s">
        <v>1138</v>
      </c>
      <c r="F150" s="7">
        <v>-2000</v>
      </c>
    </row>
    <row r="151" spans="1:7" x14ac:dyDescent="0.3">
      <c r="A151" s="5" t="s">
        <v>301</v>
      </c>
      <c r="B151" s="25">
        <v>43325</v>
      </c>
      <c r="C151" s="9" t="s">
        <v>26</v>
      </c>
      <c r="D151" s="6" t="s">
        <v>269</v>
      </c>
      <c r="E151" s="9" t="s">
        <v>1138</v>
      </c>
      <c r="F151" s="7">
        <v>-20000</v>
      </c>
    </row>
    <row r="152" spans="1:7" x14ac:dyDescent="0.3">
      <c r="A152" s="5" t="s">
        <v>302</v>
      </c>
      <c r="B152" s="25">
        <v>43325</v>
      </c>
      <c r="C152" s="11" t="s">
        <v>27</v>
      </c>
      <c r="D152" s="6" t="s">
        <v>269</v>
      </c>
      <c r="E152" s="9" t="s">
        <v>1138</v>
      </c>
      <c r="F152" s="7">
        <v>-118000</v>
      </c>
    </row>
    <row r="153" spans="1:7" x14ac:dyDescent="0.3">
      <c r="A153" s="5" t="s">
        <v>303</v>
      </c>
      <c r="B153" s="25">
        <v>43327</v>
      </c>
      <c r="C153" s="11" t="s">
        <v>26</v>
      </c>
      <c r="D153" s="6" t="s">
        <v>269</v>
      </c>
      <c r="E153" s="9" t="s">
        <v>1138</v>
      </c>
      <c r="F153" s="7">
        <v>-30000</v>
      </c>
    </row>
    <row r="154" spans="1:7" x14ac:dyDescent="0.3">
      <c r="A154" s="5" t="s">
        <v>304</v>
      </c>
      <c r="B154" s="25">
        <v>43328</v>
      </c>
      <c r="C154" s="9" t="s">
        <v>7</v>
      </c>
      <c r="D154" s="6" t="s">
        <v>269</v>
      </c>
      <c r="E154" s="9" t="s">
        <v>1138</v>
      </c>
      <c r="F154" s="7">
        <v>-2000</v>
      </c>
    </row>
    <row r="155" spans="1:7" x14ac:dyDescent="0.3">
      <c r="A155" s="5" t="s">
        <v>305</v>
      </c>
      <c r="B155" s="25">
        <v>43328</v>
      </c>
      <c r="C155" s="9" t="s">
        <v>9</v>
      </c>
      <c r="D155" s="6" t="s">
        <v>269</v>
      </c>
      <c r="E155" s="9" t="s">
        <v>1138</v>
      </c>
      <c r="F155" s="7">
        <v>-2000</v>
      </c>
    </row>
    <row r="156" spans="1:7" x14ac:dyDescent="0.3">
      <c r="A156" s="5" t="s">
        <v>306</v>
      </c>
      <c r="B156" s="25">
        <v>43328</v>
      </c>
      <c r="C156" s="11" t="s">
        <v>28</v>
      </c>
      <c r="D156" s="6" t="s">
        <v>269</v>
      </c>
      <c r="E156" s="9" t="s">
        <v>1138</v>
      </c>
      <c r="F156" s="7">
        <v>-1000</v>
      </c>
    </row>
    <row r="157" spans="1:7" ht="15.6" hidden="1" x14ac:dyDescent="0.3">
      <c r="A157" s="5" t="s">
        <v>1332</v>
      </c>
      <c r="B157" s="24">
        <v>43329</v>
      </c>
      <c r="C157" s="16" t="s">
        <v>9</v>
      </c>
      <c r="D157" s="9" t="s">
        <v>1137</v>
      </c>
      <c r="E157" s="9" t="s">
        <v>1138</v>
      </c>
      <c r="F157" s="35">
        <v>-1000</v>
      </c>
      <c r="G157" s="73"/>
    </row>
    <row r="158" spans="1:7" ht="15.6" hidden="1" x14ac:dyDescent="0.3">
      <c r="A158" s="5" t="s">
        <v>1333</v>
      </c>
      <c r="B158" s="24">
        <v>43329</v>
      </c>
      <c r="C158" s="16" t="s">
        <v>1334</v>
      </c>
      <c r="D158" s="9" t="s">
        <v>1137</v>
      </c>
      <c r="E158" s="9" t="s">
        <v>1138</v>
      </c>
      <c r="F158" s="35">
        <v>-200</v>
      </c>
      <c r="G158" s="73"/>
    </row>
    <row r="159" spans="1:7" hidden="1" x14ac:dyDescent="0.3">
      <c r="A159" s="5" t="s">
        <v>1335</v>
      </c>
      <c r="B159" s="24">
        <v>43331</v>
      </c>
      <c r="C159" s="11" t="s">
        <v>1336</v>
      </c>
      <c r="D159" s="9" t="s">
        <v>1137</v>
      </c>
      <c r="E159" s="9" t="s">
        <v>1148</v>
      </c>
      <c r="F159" s="35">
        <v>400000</v>
      </c>
    </row>
    <row r="160" spans="1:7" x14ac:dyDescent="0.3">
      <c r="A160" s="5" t="s">
        <v>307</v>
      </c>
      <c r="B160" s="25">
        <v>43332</v>
      </c>
      <c r="C160" s="9" t="s">
        <v>7</v>
      </c>
      <c r="D160" s="6" t="s">
        <v>269</v>
      </c>
      <c r="E160" s="9" t="s">
        <v>1138</v>
      </c>
      <c r="F160" s="7">
        <v>-1500</v>
      </c>
    </row>
    <row r="161" spans="1:7" x14ac:dyDescent="0.3">
      <c r="A161" s="5" t="s">
        <v>308</v>
      </c>
      <c r="B161" s="25">
        <v>43332</v>
      </c>
      <c r="C161" s="11" t="s">
        <v>28</v>
      </c>
      <c r="D161" s="6" t="s">
        <v>269</v>
      </c>
      <c r="E161" s="9" t="s">
        <v>1138</v>
      </c>
      <c r="F161" s="7">
        <v>-5000</v>
      </c>
    </row>
    <row r="162" spans="1:7" ht="15.6" hidden="1" x14ac:dyDescent="0.3">
      <c r="A162" s="5" t="s">
        <v>1337</v>
      </c>
      <c r="B162" s="24">
        <v>43333</v>
      </c>
      <c r="C162" s="16" t="s">
        <v>1338</v>
      </c>
      <c r="D162" s="9" t="s">
        <v>1137</v>
      </c>
      <c r="E162" s="9" t="s">
        <v>1138</v>
      </c>
      <c r="F162" s="35">
        <v>-550</v>
      </c>
      <c r="G162" s="73"/>
    </row>
    <row r="163" spans="1:7" ht="15.6" hidden="1" x14ac:dyDescent="0.3">
      <c r="A163" s="5" t="s">
        <v>1339</v>
      </c>
      <c r="B163" s="24">
        <v>43333</v>
      </c>
      <c r="C163" s="16" t="s">
        <v>1321</v>
      </c>
      <c r="D163" s="9" t="s">
        <v>1137</v>
      </c>
      <c r="E163" s="9" t="s">
        <v>1138</v>
      </c>
      <c r="F163" s="35">
        <v>-200</v>
      </c>
      <c r="G163" s="73"/>
    </row>
    <row r="164" spans="1:7" ht="15.6" hidden="1" x14ac:dyDescent="0.3">
      <c r="A164" s="5" t="s">
        <v>1340</v>
      </c>
      <c r="B164" s="24">
        <v>43333</v>
      </c>
      <c r="C164" s="16" t="s">
        <v>1341</v>
      </c>
      <c r="D164" s="9" t="s">
        <v>1137</v>
      </c>
      <c r="E164" s="9" t="s">
        <v>1138</v>
      </c>
      <c r="F164" s="35">
        <v>-2000</v>
      </c>
      <c r="G164" s="73"/>
    </row>
    <row r="165" spans="1:7" ht="15.6" hidden="1" x14ac:dyDescent="0.3">
      <c r="A165" s="5" t="s">
        <v>1342</v>
      </c>
      <c r="B165" s="24">
        <v>43333</v>
      </c>
      <c r="C165" s="16" t="s">
        <v>9</v>
      </c>
      <c r="D165" s="9" t="s">
        <v>1137</v>
      </c>
      <c r="E165" s="9" t="s">
        <v>1138</v>
      </c>
      <c r="F165" s="35">
        <v>-2000</v>
      </c>
      <c r="G165" s="73"/>
    </row>
    <row r="166" spans="1:7" ht="15.6" hidden="1" x14ac:dyDescent="0.3">
      <c r="A166" s="5" t="s">
        <v>1343</v>
      </c>
      <c r="B166" s="24">
        <v>43333</v>
      </c>
      <c r="C166" s="16" t="s">
        <v>1344</v>
      </c>
      <c r="D166" s="9" t="s">
        <v>1137</v>
      </c>
      <c r="E166" s="9" t="s">
        <v>1138</v>
      </c>
      <c r="F166" s="35">
        <v>-2500</v>
      </c>
      <c r="G166" s="73"/>
    </row>
    <row r="167" spans="1:7" ht="15.6" hidden="1" x14ac:dyDescent="0.3">
      <c r="A167" s="5" t="s">
        <v>1345</v>
      </c>
      <c r="B167" s="24">
        <v>43333</v>
      </c>
      <c r="C167" s="16" t="s">
        <v>12</v>
      </c>
      <c r="D167" s="9" t="s">
        <v>1137</v>
      </c>
      <c r="E167" s="9" t="s">
        <v>1138</v>
      </c>
      <c r="F167" s="35">
        <v>-2500</v>
      </c>
      <c r="G167" s="73"/>
    </row>
    <row r="168" spans="1:7" ht="15.6" hidden="1" x14ac:dyDescent="0.3">
      <c r="A168" s="5" t="s">
        <v>1346</v>
      </c>
      <c r="B168" s="24">
        <v>43333</v>
      </c>
      <c r="C168" s="16" t="s">
        <v>1347</v>
      </c>
      <c r="D168" s="9" t="s">
        <v>1137</v>
      </c>
      <c r="E168" s="9" t="s">
        <v>1138</v>
      </c>
      <c r="F168" s="35">
        <v>-1200</v>
      </c>
      <c r="G168" s="73"/>
    </row>
    <row r="169" spans="1:7" ht="15.6" hidden="1" x14ac:dyDescent="0.3">
      <c r="A169" s="5" t="s">
        <v>1348</v>
      </c>
      <c r="B169" s="24">
        <v>43333</v>
      </c>
      <c r="C169" s="16" t="s">
        <v>1349</v>
      </c>
      <c r="D169" s="9" t="s">
        <v>1137</v>
      </c>
      <c r="E169" s="9" t="s">
        <v>1138</v>
      </c>
      <c r="F169" s="35">
        <v>-100000</v>
      </c>
      <c r="G169" s="73"/>
    </row>
    <row r="170" spans="1:7" ht="15.6" hidden="1" x14ac:dyDescent="0.3">
      <c r="A170" s="5" t="s">
        <v>1350</v>
      </c>
      <c r="B170" s="24">
        <v>43333</v>
      </c>
      <c r="C170" s="16" t="s">
        <v>32</v>
      </c>
      <c r="D170" s="9" t="s">
        <v>1137</v>
      </c>
      <c r="E170" s="9" t="s">
        <v>1138</v>
      </c>
      <c r="F170" s="35">
        <v>-40000</v>
      </c>
      <c r="G170" s="73"/>
    </row>
    <row r="171" spans="1:7" ht="15.6" hidden="1" x14ac:dyDescent="0.3">
      <c r="A171" s="5" t="s">
        <v>1351</v>
      </c>
      <c r="B171" s="24">
        <v>43333</v>
      </c>
      <c r="C171" s="16" t="s">
        <v>1352</v>
      </c>
      <c r="D171" s="9" t="s">
        <v>1137</v>
      </c>
      <c r="E171" s="9" t="s">
        <v>1138</v>
      </c>
      <c r="F171" s="35">
        <v>-20000</v>
      </c>
      <c r="G171" s="73"/>
    </row>
    <row r="172" spans="1:7" ht="15.6" hidden="1" x14ac:dyDescent="0.3">
      <c r="A172" s="5" t="s">
        <v>1353</v>
      </c>
      <c r="B172" s="24">
        <v>43338</v>
      </c>
      <c r="C172" s="16" t="s">
        <v>29</v>
      </c>
      <c r="D172" s="9" t="s">
        <v>1137</v>
      </c>
      <c r="E172" s="9" t="s">
        <v>1138</v>
      </c>
      <c r="F172" s="35">
        <v>-2500</v>
      </c>
      <c r="G172" s="73"/>
    </row>
    <row r="173" spans="1:7" ht="15.6" hidden="1" x14ac:dyDescent="0.3">
      <c r="A173" s="5" t="s">
        <v>1354</v>
      </c>
      <c r="B173" s="24">
        <v>43338</v>
      </c>
      <c r="C173" s="16" t="s">
        <v>104</v>
      </c>
      <c r="D173" s="9" t="s">
        <v>1137</v>
      </c>
      <c r="E173" s="9" t="s">
        <v>1138</v>
      </c>
      <c r="F173" s="35">
        <v>-270</v>
      </c>
      <c r="G173" s="73"/>
    </row>
    <row r="174" spans="1:7" ht="15.6" hidden="1" x14ac:dyDescent="0.3">
      <c r="A174" s="5" t="s">
        <v>1355</v>
      </c>
      <c r="B174" s="24">
        <v>43340</v>
      </c>
      <c r="C174" s="16" t="s">
        <v>1356</v>
      </c>
      <c r="D174" s="9" t="s">
        <v>1137</v>
      </c>
      <c r="E174" s="9" t="s">
        <v>1138</v>
      </c>
      <c r="F174" s="35">
        <v>-30</v>
      </c>
      <c r="G174" s="73"/>
    </row>
    <row r="175" spans="1:7" ht="15.6" hidden="1" x14ac:dyDescent="0.3">
      <c r="A175" s="5" t="s">
        <v>1357</v>
      </c>
      <c r="B175" s="24">
        <v>43342</v>
      </c>
      <c r="C175" s="16" t="s">
        <v>1358</v>
      </c>
      <c r="D175" s="9" t="s">
        <v>1137</v>
      </c>
      <c r="E175" s="9" t="s">
        <v>1138</v>
      </c>
      <c r="F175" s="35">
        <v>-170</v>
      </c>
      <c r="G175" s="75"/>
    </row>
    <row r="176" spans="1:7" ht="15.6" hidden="1" x14ac:dyDescent="0.3">
      <c r="A176" s="5" t="s">
        <v>1359</v>
      </c>
      <c r="B176" s="24">
        <v>43342</v>
      </c>
      <c r="C176" s="16" t="s">
        <v>9</v>
      </c>
      <c r="D176" s="9" t="s">
        <v>1137</v>
      </c>
      <c r="E176" s="9" t="s">
        <v>1138</v>
      </c>
      <c r="F176" s="35">
        <v>-1000</v>
      </c>
      <c r="G176" s="73"/>
    </row>
    <row r="177" spans="1:7" ht="15.6" hidden="1" x14ac:dyDescent="0.3">
      <c r="A177" s="5" t="s">
        <v>1360</v>
      </c>
      <c r="B177" s="24">
        <v>43342</v>
      </c>
      <c r="C177" s="16" t="s">
        <v>32</v>
      </c>
      <c r="D177" s="9" t="s">
        <v>1137</v>
      </c>
      <c r="E177" s="9" t="s">
        <v>1138</v>
      </c>
      <c r="F177" s="35">
        <v>-5000</v>
      </c>
      <c r="G177" s="73"/>
    </row>
    <row r="178" spans="1:7" ht="15.6" hidden="1" x14ac:dyDescent="0.3">
      <c r="A178" s="5" t="s">
        <v>1361</v>
      </c>
      <c r="B178" s="24">
        <v>43343</v>
      </c>
      <c r="C178" s="16" t="s">
        <v>9</v>
      </c>
      <c r="D178" s="9" t="s">
        <v>1137</v>
      </c>
      <c r="E178" s="9" t="s">
        <v>1138</v>
      </c>
      <c r="F178" s="35">
        <v>-500</v>
      </c>
      <c r="G178" s="73"/>
    </row>
    <row r="179" spans="1:7" ht="15.6" hidden="1" x14ac:dyDescent="0.3">
      <c r="A179" s="5" t="s">
        <v>1362</v>
      </c>
      <c r="B179" s="24">
        <v>43343</v>
      </c>
      <c r="C179" s="16" t="s">
        <v>1329</v>
      </c>
      <c r="D179" s="9" t="s">
        <v>1137</v>
      </c>
      <c r="E179" s="9" t="s">
        <v>1138</v>
      </c>
      <c r="F179" s="35">
        <v>-1000</v>
      </c>
      <c r="G179" s="73"/>
    </row>
    <row r="180" spans="1:7" ht="15.6" hidden="1" x14ac:dyDescent="0.3">
      <c r="A180" s="5" t="s">
        <v>1363</v>
      </c>
      <c r="B180" s="24">
        <v>43344</v>
      </c>
      <c r="C180" s="9" t="s">
        <v>29</v>
      </c>
      <c r="D180" s="9" t="s">
        <v>1137</v>
      </c>
      <c r="E180" s="9" t="s">
        <v>1138</v>
      </c>
      <c r="F180" s="35">
        <v>-1000</v>
      </c>
      <c r="G180" s="73"/>
    </row>
    <row r="181" spans="1:7" ht="15.6" hidden="1" x14ac:dyDescent="0.3">
      <c r="A181" s="5" t="s">
        <v>1364</v>
      </c>
      <c r="B181" s="24">
        <v>43348</v>
      </c>
      <c r="C181" s="9" t="s">
        <v>34</v>
      </c>
      <c r="D181" s="9" t="s">
        <v>1137</v>
      </c>
      <c r="E181" s="9" t="s">
        <v>1138</v>
      </c>
      <c r="F181" s="35">
        <v>-468</v>
      </c>
      <c r="G181" s="73"/>
    </row>
    <row r="182" spans="1:7" ht="15.6" hidden="1" x14ac:dyDescent="0.3">
      <c r="A182" s="5" t="s">
        <v>1365</v>
      </c>
      <c r="B182" s="24">
        <v>43348</v>
      </c>
      <c r="C182" s="9" t="s">
        <v>9</v>
      </c>
      <c r="D182" s="9" t="s">
        <v>1137</v>
      </c>
      <c r="E182" s="9" t="s">
        <v>1138</v>
      </c>
      <c r="F182" s="35">
        <v>-500</v>
      </c>
      <c r="G182" s="73"/>
    </row>
    <row r="183" spans="1:7" ht="15.6" hidden="1" x14ac:dyDescent="0.3">
      <c r="A183" s="5" t="s">
        <v>1366</v>
      </c>
      <c r="B183" s="24">
        <v>43350</v>
      </c>
      <c r="C183" s="9" t="s">
        <v>1367</v>
      </c>
      <c r="D183" s="9" t="s">
        <v>1137</v>
      </c>
      <c r="E183" s="9" t="s">
        <v>1138</v>
      </c>
      <c r="F183" s="35">
        <v>-350</v>
      </c>
      <c r="G183" s="73"/>
    </row>
    <row r="184" spans="1:7" ht="15.6" hidden="1" x14ac:dyDescent="0.3">
      <c r="A184" s="5" t="s">
        <v>1368</v>
      </c>
      <c r="B184" s="24">
        <v>43353</v>
      </c>
      <c r="C184" s="9" t="s">
        <v>1369</v>
      </c>
      <c r="D184" s="9" t="s">
        <v>1137</v>
      </c>
      <c r="E184" s="9" t="s">
        <v>1138</v>
      </c>
      <c r="F184" s="35">
        <v>-500</v>
      </c>
      <c r="G184" s="73"/>
    </row>
    <row r="185" spans="1:7" ht="15.6" hidden="1" x14ac:dyDescent="0.3">
      <c r="A185" s="5" t="s">
        <v>1370</v>
      </c>
      <c r="B185" s="24">
        <v>43353</v>
      </c>
      <c r="C185" s="42" t="s">
        <v>1371</v>
      </c>
      <c r="D185" s="9" t="s">
        <v>1137</v>
      </c>
      <c r="E185" s="9" t="s">
        <v>1138</v>
      </c>
      <c r="F185" s="35">
        <v>-200</v>
      </c>
      <c r="G185" s="73"/>
    </row>
    <row r="186" spans="1:7" ht="15.6" hidden="1" x14ac:dyDescent="0.3">
      <c r="A186" s="5" t="s">
        <v>1372</v>
      </c>
      <c r="B186" s="24">
        <v>43354</v>
      </c>
      <c r="C186" s="9" t="s">
        <v>9</v>
      </c>
      <c r="D186" s="9" t="s">
        <v>1137</v>
      </c>
      <c r="E186" s="9" t="s">
        <v>1138</v>
      </c>
      <c r="F186" s="35">
        <v>-1000</v>
      </c>
      <c r="G186" s="73"/>
    </row>
    <row r="187" spans="1:7" ht="15.6" hidden="1" x14ac:dyDescent="0.3">
      <c r="A187" s="5" t="s">
        <v>1373</v>
      </c>
      <c r="B187" s="24">
        <v>43355</v>
      </c>
      <c r="C187" s="42" t="s">
        <v>1374</v>
      </c>
      <c r="D187" s="9" t="s">
        <v>1137</v>
      </c>
      <c r="E187" s="9" t="s">
        <v>1138</v>
      </c>
      <c r="F187" s="35">
        <v>-3000</v>
      </c>
      <c r="G187" s="73"/>
    </row>
    <row r="188" spans="1:7" x14ac:dyDescent="0.3">
      <c r="A188" s="5" t="s">
        <v>309</v>
      </c>
      <c r="B188" s="25">
        <v>43358</v>
      </c>
      <c r="C188" s="9" t="s">
        <v>29</v>
      </c>
      <c r="D188" s="6" t="s">
        <v>269</v>
      </c>
      <c r="E188" s="9" t="s">
        <v>1138</v>
      </c>
      <c r="F188" s="7">
        <v>-1000</v>
      </c>
    </row>
    <row r="189" spans="1:7" x14ac:dyDescent="0.3">
      <c r="A189" s="5" t="s">
        <v>310</v>
      </c>
      <c r="B189" s="25">
        <v>43358</v>
      </c>
      <c r="C189" s="9" t="s">
        <v>30</v>
      </c>
      <c r="D189" s="6" t="s">
        <v>269</v>
      </c>
      <c r="E189" s="9" t="s">
        <v>1138</v>
      </c>
      <c r="F189" s="7">
        <v>-800</v>
      </c>
    </row>
    <row r="190" spans="1:7" x14ac:dyDescent="0.3">
      <c r="A190" s="5" t="s">
        <v>311</v>
      </c>
      <c r="B190" s="25">
        <v>43358</v>
      </c>
      <c r="C190" s="9" t="s">
        <v>31</v>
      </c>
      <c r="D190" s="6" t="s">
        <v>269</v>
      </c>
      <c r="E190" s="9" t="s">
        <v>1138</v>
      </c>
      <c r="F190" s="7">
        <v>-10000</v>
      </c>
    </row>
    <row r="191" spans="1:7" x14ac:dyDescent="0.3">
      <c r="A191" s="5" t="s">
        <v>312</v>
      </c>
      <c r="B191" s="25">
        <v>43358</v>
      </c>
      <c r="C191" s="9" t="s">
        <v>32</v>
      </c>
      <c r="D191" s="6" t="s">
        <v>269</v>
      </c>
      <c r="E191" s="9" t="s">
        <v>1138</v>
      </c>
      <c r="F191" s="7">
        <v>-15000</v>
      </c>
    </row>
    <row r="192" spans="1:7" x14ac:dyDescent="0.3">
      <c r="A192" s="5" t="s">
        <v>313</v>
      </c>
      <c r="B192" s="25">
        <v>43358</v>
      </c>
      <c r="C192" s="9" t="s">
        <v>33</v>
      </c>
      <c r="D192" s="6" t="s">
        <v>269</v>
      </c>
      <c r="E192" s="9" t="s">
        <v>1138</v>
      </c>
      <c r="F192" s="7">
        <v>-40000</v>
      </c>
    </row>
    <row r="193" spans="1:7" hidden="1" x14ac:dyDescent="0.3">
      <c r="A193" s="5" t="s">
        <v>1375</v>
      </c>
      <c r="B193" s="24">
        <v>43358</v>
      </c>
      <c r="C193" s="11" t="s">
        <v>1376</v>
      </c>
      <c r="D193" s="9" t="s">
        <v>1137</v>
      </c>
      <c r="E193" s="9" t="s">
        <v>1148</v>
      </c>
      <c r="F193" s="35">
        <v>100000</v>
      </c>
    </row>
    <row r="194" spans="1:7" ht="15.6" hidden="1" x14ac:dyDescent="0.3">
      <c r="A194" s="5" t="s">
        <v>1377</v>
      </c>
      <c r="B194" s="24">
        <v>43358</v>
      </c>
      <c r="C194" s="9" t="s">
        <v>1163</v>
      </c>
      <c r="D194" s="9" t="s">
        <v>1137</v>
      </c>
      <c r="E194" s="9" t="s">
        <v>1138</v>
      </c>
      <c r="F194" s="35">
        <v>-500</v>
      </c>
      <c r="G194" s="73"/>
    </row>
    <row r="195" spans="1:7" ht="15.6" hidden="1" x14ac:dyDescent="0.3">
      <c r="A195" s="5" t="s">
        <v>1378</v>
      </c>
      <c r="B195" s="24">
        <v>43358</v>
      </c>
      <c r="C195" s="9" t="s">
        <v>9</v>
      </c>
      <c r="D195" s="9" t="s">
        <v>1137</v>
      </c>
      <c r="E195" s="9" t="s">
        <v>1138</v>
      </c>
      <c r="F195" s="35">
        <v>-1000</v>
      </c>
      <c r="G195" s="73"/>
    </row>
    <row r="196" spans="1:7" ht="15.6" hidden="1" x14ac:dyDescent="0.3">
      <c r="A196" s="5" t="s">
        <v>1379</v>
      </c>
      <c r="B196" s="24">
        <v>43358</v>
      </c>
      <c r="C196" s="9" t="s">
        <v>1380</v>
      </c>
      <c r="D196" s="9" t="s">
        <v>1137</v>
      </c>
      <c r="E196" s="9" t="s">
        <v>1138</v>
      </c>
      <c r="F196" s="35">
        <v>-900</v>
      </c>
      <c r="G196" s="75"/>
    </row>
    <row r="197" spans="1:7" x14ac:dyDescent="0.3">
      <c r="A197" s="5" t="s">
        <v>314</v>
      </c>
      <c r="B197" s="25">
        <v>43360</v>
      </c>
      <c r="C197" s="9" t="s">
        <v>29</v>
      </c>
      <c r="D197" s="6" t="s">
        <v>269</v>
      </c>
      <c r="E197" s="9" t="s">
        <v>1138</v>
      </c>
      <c r="F197" s="7">
        <v>-1000</v>
      </c>
    </row>
    <row r="198" spans="1:7" x14ac:dyDescent="0.3">
      <c r="A198" s="5" t="s">
        <v>315</v>
      </c>
      <c r="B198" s="24">
        <v>43366</v>
      </c>
      <c r="C198" s="9" t="s">
        <v>31</v>
      </c>
      <c r="D198" s="6" t="s">
        <v>269</v>
      </c>
      <c r="E198" s="9" t="s">
        <v>1138</v>
      </c>
      <c r="F198" s="7">
        <v>-10000</v>
      </c>
    </row>
    <row r="199" spans="1:7" x14ac:dyDescent="0.3">
      <c r="A199" s="5" t="s">
        <v>316</v>
      </c>
      <c r="B199" s="24">
        <v>43366</v>
      </c>
      <c r="C199" s="9" t="s">
        <v>29</v>
      </c>
      <c r="D199" s="6" t="s">
        <v>269</v>
      </c>
      <c r="E199" s="9" t="s">
        <v>1138</v>
      </c>
      <c r="F199" s="7">
        <v>-2000</v>
      </c>
    </row>
    <row r="200" spans="1:7" hidden="1" x14ac:dyDescent="0.3">
      <c r="A200" s="5" t="s">
        <v>1381</v>
      </c>
      <c r="B200" s="24">
        <v>43367</v>
      </c>
      <c r="C200" s="11" t="s">
        <v>1382</v>
      </c>
      <c r="D200" s="9" t="s">
        <v>1137</v>
      </c>
      <c r="E200" s="9" t="s">
        <v>1148</v>
      </c>
      <c r="F200" s="35">
        <v>150000</v>
      </c>
    </row>
    <row r="201" spans="1:7" x14ac:dyDescent="0.3">
      <c r="A201" s="5" t="s">
        <v>317</v>
      </c>
      <c r="B201" s="24">
        <v>43368</v>
      </c>
      <c r="C201" s="9" t="s">
        <v>31</v>
      </c>
      <c r="D201" s="6" t="s">
        <v>269</v>
      </c>
      <c r="E201" s="9" t="s">
        <v>1138</v>
      </c>
      <c r="F201" s="7">
        <v>-15000</v>
      </c>
    </row>
    <row r="202" spans="1:7" x14ac:dyDescent="0.3">
      <c r="A202" s="5" t="s">
        <v>318</v>
      </c>
      <c r="B202" s="24">
        <v>43368</v>
      </c>
      <c r="C202" s="9" t="s">
        <v>29</v>
      </c>
      <c r="D202" s="6" t="s">
        <v>269</v>
      </c>
      <c r="E202" s="9" t="s">
        <v>1138</v>
      </c>
      <c r="F202" s="7">
        <v>-1000</v>
      </c>
    </row>
    <row r="203" spans="1:7" x14ac:dyDescent="0.3">
      <c r="A203" s="5" t="s">
        <v>319</v>
      </c>
      <c r="B203" s="24">
        <v>43372</v>
      </c>
      <c r="C203" s="9" t="s">
        <v>34</v>
      </c>
      <c r="D203" s="6" t="s">
        <v>269</v>
      </c>
      <c r="E203" s="9" t="s">
        <v>1138</v>
      </c>
      <c r="F203" s="7">
        <v>-540</v>
      </c>
    </row>
    <row r="204" spans="1:7" x14ac:dyDescent="0.3">
      <c r="A204" s="5" t="s">
        <v>320</v>
      </c>
      <c r="B204" s="24">
        <v>43372</v>
      </c>
      <c r="C204" s="9" t="s">
        <v>35</v>
      </c>
      <c r="D204" s="6" t="s">
        <v>269</v>
      </c>
      <c r="E204" s="9" t="s">
        <v>1138</v>
      </c>
      <c r="F204" s="7">
        <v>-100</v>
      </c>
    </row>
    <row r="205" spans="1:7" x14ac:dyDescent="0.3">
      <c r="A205" s="5" t="s">
        <v>321</v>
      </c>
      <c r="B205" s="31">
        <v>43372</v>
      </c>
      <c r="C205" s="9" t="s">
        <v>31</v>
      </c>
      <c r="D205" s="6" t="s">
        <v>269</v>
      </c>
      <c r="E205" s="9" t="s">
        <v>1138</v>
      </c>
      <c r="F205" s="7">
        <v>-50000</v>
      </c>
    </row>
    <row r="206" spans="1:7" x14ac:dyDescent="0.3">
      <c r="A206" s="5" t="s">
        <v>322</v>
      </c>
      <c r="B206" s="43">
        <v>43372</v>
      </c>
      <c r="C206" s="9" t="s">
        <v>29</v>
      </c>
      <c r="D206" s="6" t="s">
        <v>269</v>
      </c>
      <c r="E206" s="9" t="s">
        <v>1138</v>
      </c>
      <c r="F206" s="7">
        <v>-1000</v>
      </c>
    </row>
    <row r="207" spans="1:7" x14ac:dyDescent="0.3">
      <c r="A207" s="5" t="s">
        <v>323</v>
      </c>
      <c r="B207" s="43">
        <v>43372</v>
      </c>
      <c r="C207" s="8" t="s">
        <v>36</v>
      </c>
      <c r="D207" s="6" t="s">
        <v>269</v>
      </c>
      <c r="E207" s="8" t="s">
        <v>1148</v>
      </c>
      <c r="F207" s="12">
        <v>100000</v>
      </c>
    </row>
    <row r="208" spans="1:7" x14ac:dyDescent="0.3">
      <c r="A208" s="5" t="s">
        <v>324</v>
      </c>
      <c r="B208" s="30">
        <v>43376</v>
      </c>
      <c r="C208" s="11" t="s">
        <v>37</v>
      </c>
      <c r="D208" s="6" t="s">
        <v>269</v>
      </c>
      <c r="E208" s="9" t="s">
        <v>1138</v>
      </c>
      <c r="F208" s="7">
        <v>-10000</v>
      </c>
    </row>
    <row r="209" spans="1:6" x14ac:dyDescent="0.3">
      <c r="A209" s="5" t="s">
        <v>325</v>
      </c>
      <c r="B209" s="30">
        <v>43376</v>
      </c>
      <c r="C209" s="11" t="s">
        <v>38</v>
      </c>
      <c r="D209" s="6" t="s">
        <v>269</v>
      </c>
      <c r="E209" s="9" t="s">
        <v>1138</v>
      </c>
      <c r="F209" s="7">
        <v>-1000</v>
      </c>
    </row>
    <row r="210" spans="1:6" x14ac:dyDescent="0.3">
      <c r="A210" s="5" t="s">
        <v>326</v>
      </c>
      <c r="B210" s="30">
        <v>43377</v>
      </c>
      <c r="C210" s="8" t="s">
        <v>39</v>
      </c>
      <c r="D210" s="6" t="s">
        <v>269</v>
      </c>
      <c r="E210" s="8" t="s">
        <v>1148</v>
      </c>
      <c r="F210" s="12">
        <v>50000</v>
      </c>
    </row>
    <row r="211" spans="1:6" x14ac:dyDescent="0.3">
      <c r="A211" s="5" t="s">
        <v>327</v>
      </c>
      <c r="B211" s="30">
        <v>43377</v>
      </c>
      <c r="C211" s="8" t="s">
        <v>40</v>
      </c>
      <c r="D211" s="6" t="s">
        <v>269</v>
      </c>
      <c r="E211" s="9" t="s">
        <v>1138</v>
      </c>
      <c r="F211" s="7">
        <v>-200000</v>
      </c>
    </row>
    <row r="212" spans="1:6" x14ac:dyDescent="0.3">
      <c r="A212" s="5" t="s">
        <v>328</v>
      </c>
      <c r="B212" s="30">
        <v>43377</v>
      </c>
      <c r="C212" s="11" t="s">
        <v>31</v>
      </c>
      <c r="D212" s="6" t="s">
        <v>269</v>
      </c>
      <c r="E212" s="9" t="s">
        <v>1138</v>
      </c>
      <c r="F212" s="7">
        <v>-20000</v>
      </c>
    </row>
    <row r="213" spans="1:6" x14ac:dyDescent="0.3">
      <c r="A213" s="5" t="s">
        <v>329</v>
      </c>
      <c r="B213" s="25">
        <v>43377</v>
      </c>
      <c r="C213" s="11" t="s">
        <v>41</v>
      </c>
      <c r="D213" s="6" t="s">
        <v>269</v>
      </c>
      <c r="E213" s="9" t="s">
        <v>1138</v>
      </c>
      <c r="F213" s="7">
        <v>-4000</v>
      </c>
    </row>
    <row r="214" spans="1:6" x14ac:dyDescent="0.3">
      <c r="A214" s="5" t="s">
        <v>330</v>
      </c>
      <c r="B214" s="26">
        <v>43377</v>
      </c>
      <c r="C214" s="11" t="s">
        <v>42</v>
      </c>
      <c r="D214" s="6" t="s">
        <v>269</v>
      </c>
      <c r="E214" s="9" t="s">
        <v>1138</v>
      </c>
      <c r="F214" s="7">
        <v>-200</v>
      </c>
    </row>
    <row r="215" spans="1:6" x14ac:dyDescent="0.3">
      <c r="A215" s="5" t="s">
        <v>331</v>
      </c>
      <c r="B215" s="30">
        <v>43378</v>
      </c>
      <c r="C215" s="13" t="s">
        <v>43</v>
      </c>
      <c r="D215" s="6" t="s">
        <v>269</v>
      </c>
      <c r="E215" s="9" t="s">
        <v>1138</v>
      </c>
      <c r="F215" s="7">
        <v>-60000</v>
      </c>
    </row>
    <row r="216" spans="1:6" x14ac:dyDescent="0.3">
      <c r="A216" s="5" t="s">
        <v>332</v>
      </c>
      <c r="B216" s="27">
        <v>43378</v>
      </c>
      <c r="C216" s="9" t="s">
        <v>44</v>
      </c>
      <c r="D216" s="6" t="s">
        <v>269</v>
      </c>
      <c r="E216" s="9" t="s">
        <v>1138</v>
      </c>
      <c r="F216" s="7">
        <v>-4900</v>
      </c>
    </row>
    <row r="217" spans="1:6" x14ac:dyDescent="0.3">
      <c r="A217" s="5" t="s">
        <v>333</v>
      </c>
      <c r="B217" s="26">
        <v>43380</v>
      </c>
      <c r="C217" s="9" t="s">
        <v>45</v>
      </c>
      <c r="D217" s="6" t="s">
        <v>269</v>
      </c>
      <c r="E217" s="9" t="s">
        <v>1138</v>
      </c>
      <c r="F217" s="7">
        <v>-520</v>
      </c>
    </row>
    <row r="218" spans="1:6" x14ac:dyDescent="0.3">
      <c r="A218" s="5" t="s">
        <v>334</v>
      </c>
      <c r="B218" s="26">
        <v>43380</v>
      </c>
      <c r="C218" s="9" t="s">
        <v>46</v>
      </c>
      <c r="D218" s="6" t="s">
        <v>269</v>
      </c>
      <c r="E218" s="9" t="s">
        <v>1138</v>
      </c>
      <c r="F218" s="7">
        <v>-550</v>
      </c>
    </row>
    <row r="219" spans="1:6" x14ac:dyDescent="0.3">
      <c r="A219" s="5" t="s">
        <v>335</v>
      </c>
      <c r="B219" s="26">
        <v>43381</v>
      </c>
      <c r="C219" s="9" t="s">
        <v>7</v>
      </c>
      <c r="D219" s="6" t="s">
        <v>269</v>
      </c>
      <c r="E219" s="9" t="s">
        <v>1138</v>
      </c>
      <c r="F219" s="7">
        <v>-1000</v>
      </c>
    </row>
    <row r="220" spans="1:6" x14ac:dyDescent="0.3">
      <c r="A220" s="5" t="s">
        <v>336</v>
      </c>
      <c r="B220" s="26">
        <v>43382</v>
      </c>
      <c r="C220" s="9" t="s">
        <v>47</v>
      </c>
      <c r="D220" s="6" t="s">
        <v>269</v>
      </c>
      <c r="E220" s="9" t="s">
        <v>1138</v>
      </c>
      <c r="F220" s="7">
        <v>-20</v>
      </c>
    </row>
    <row r="221" spans="1:6" x14ac:dyDescent="0.3">
      <c r="A221" s="5" t="s">
        <v>337</v>
      </c>
      <c r="B221" s="26">
        <v>43382</v>
      </c>
      <c r="C221" s="11" t="s">
        <v>26</v>
      </c>
      <c r="D221" s="6" t="s">
        <v>269</v>
      </c>
      <c r="E221" s="9" t="s">
        <v>1138</v>
      </c>
      <c r="F221" s="7">
        <v>-15000</v>
      </c>
    </row>
    <row r="222" spans="1:6" x14ac:dyDescent="0.3">
      <c r="A222" s="5" t="s">
        <v>338</v>
      </c>
      <c r="B222" s="26">
        <v>43382</v>
      </c>
      <c r="C222" s="9" t="s">
        <v>46</v>
      </c>
      <c r="D222" s="6" t="s">
        <v>269</v>
      </c>
      <c r="E222" s="9" t="s">
        <v>1138</v>
      </c>
      <c r="F222" s="7">
        <v>-220</v>
      </c>
    </row>
    <row r="223" spans="1:6" x14ac:dyDescent="0.3">
      <c r="A223" s="5" t="s">
        <v>339</v>
      </c>
      <c r="B223" s="26">
        <v>43382</v>
      </c>
      <c r="C223" s="9" t="s">
        <v>48</v>
      </c>
      <c r="D223" s="6" t="s">
        <v>269</v>
      </c>
      <c r="E223" s="9" t="s">
        <v>1138</v>
      </c>
      <c r="F223" s="7">
        <v>-9850</v>
      </c>
    </row>
    <row r="224" spans="1:6" x14ac:dyDescent="0.3">
      <c r="A224" s="5" t="s">
        <v>340</v>
      </c>
      <c r="B224" s="26">
        <v>43386</v>
      </c>
      <c r="C224" s="11" t="s">
        <v>37</v>
      </c>
      <c r="D224" s="6" t="s">
        <v>269</v>
      </c>
      <c r="E224" s="9" t="s">
        <v>1138</v>
      </c>
      <c r="F224" s="7">
        <v>-3000</v>
      </c>
    </row>
    <row r="225" spans="1:6" x14ac:dyDescent="0.3">
      <c r="A225" s="5" t="s">
        <v>341</v>
      </c>
      <c r="B225" s="26">
        <v>43386</v>
      </c>
      <c r="C225" s="11" t="s">
        <v>49</v>
      </c>
      <c r="D225" s="6" t="s">
        <v>269</v>
      </c>
      <c r="E225" s="9" t="s">
        <v>1138</v>
      </c>
      <c r="F225" s="7">
        <v>-150</v>
      </c>
    </row>
    <row r="226" spans="1:6" x14ac:dyDescent="0.3">
      <c r="A226" s="5" t="s">
        <v>342</v>
      </c>
      <c r="B226" s="26">
        <v>43388</v>
      </c>
      <c r="C226" s="11" t="s">
        <v>37</v>
      </c>
      <c r="D226" s="6" t="s">
        <v>269</v>
      </c>
      <c r="E226" s="9" t="s">
        <v>1138</v>
      </c>
      <c r="F226" s="7">
        <v>-7000</v>
      </c>
    </row>
    <row r="227" spans="1:6" x14ac:dyDescent="0.3">
      <c r="A227" s="5" t="s">
        <v>343</v>
      </c>
      <c r="B227" s="26">
        <v>43388</v>
      </c>
      <c r="C227" s="11" t="s">
        <v>31</v>
      </c>
      <c r="D227" s="6" t="s">
        <v>269</v>
      </c>
      <c r="E227" s="9" t="s">
        <v>1138</v>
      </c>
      <c r="F227" s="7">
        <v>-20000</v>
      </c>
    </row>
    <row r="228" spans="1:6" x14ac:dyDescent="0.3">
      <c r="A228" s="5" t="s">
        <v>344</v>
      </c>
      <c r="B228" s="26">
        <v>43388</v>
      </c>
      <c r="C228" s="9" t="s">
        <v>9</v>
      </c>
      <c r="D228" s="6" t="s">
        <v>269</v>
      </c>
      <c r="E228" s="9" t="s">
        <v>1138</v>
      </c>
      <c r="F228" s="7">
        <v>-1000</v>
      </c>
    </row>
    <row r="229" spans="1:6" x14ac:dyDescent="0.3">
      <c r="A229" s="5" t="s">
        <v>345</v>
      </c>
      <c r="B229" s="26">
        <v>43389</v>
      </c>
      <c r="C229" s="11" t="s">
        <v>26</v>
      </c>
      <c r="D229" s="6" t="s">
        <v>269</v>
      </c>
      <c r="E229" s="9" t="s">
        <v>1138</v>
      </c>
      <c r="F229" s="7">
        <v>-10000</v>
      </c>
    </row>
    <row r="230" spans="1:6" x14ac:dyDescent="0.3">
      <c r="A230" s="5" t="s">
        <v>346</v>
      </c>
      <c r="B230" s="30">
        <v>43392</v>
      </c>
      <c r="C230" s="11" t="s">
        <v>31</v>
      </c>
      <c r="D230" s="6" t="s">
        <v>269</v>
      </c>
      <c r="E230" s="9" t="s">
        <v>1138</v>
      </c>
      <c r="F230" s="7">
        <v>-5000</v>
      </c>
    </row>
    <row r="231" spans="1:6" x14ac:dyDescent="0.3">
      <c r="A231" s="5" t="s">
        <v>347</v>
      </c>
      <c r="B231" s="27">
        <v>43393</v>
      </c>
      <c r="C231" s="9" t="s">
        <v>7</v>
      </c>
      <c r="D231" s="6" t="s">
        <v>269</v>
      </c>
      <c r="E231" s="9" t="s">
        <v>1138</v>
      </c>
      <c r="F231" s="7">
        <v>-1000</v>
      </c>
    </row>
    <row r="232" spans="1:6" x14ac:dyDescent="0.3">
      <c r="A232" s="5" t="s">
        <v>348</v>
      </c>
      <c r="B232" s="26">
        <v>43393</v>
      </c>
      <c r="C232" s="9" t="s">
        <v>42</v>
      </c>
      <c r="D232" s="6" t="s">
        <v>269</v>
      </c>
      <c r="E232" s="9" t="s">
        <v>1138</v>
      </c>
      <c r="F232" s="7">
        <v>-100</v>
      </c>
    </row>
    <row r="233" spans="1:6" x14ac:dyDescent="0.3">
      <c r="A233" s="5" t="s">
        <v>349</v>
      </c>
      <c r="B233" s="26">
        <v>43395</v>
      </c>
      <c r="C233" s="14" t="s">
        <v>50</v>
      </c>
      <c r="D233" s="6" t="s">
        <v>269</v>
      </c>
      <c r="E233" s="9" t="s">
        <v>1138</v>
      </c>
      <c r="F233" s="7">
        <v>-2960</v>
      </c>
    </row>
    <row r="234" spans="1:6" x14ac:dyDescent="0.3">
      <c r="A234" s="5" t="s">
        <v>350</v>
      </c>
      <c r="B234" s="26">
        <v>43396</v>
      </c>
      <c r="C234" s="9" t="s">
        <v>9</v>
      </c>
      <c r="D234" s="6" t="s">
        <v>269</v>
      </c>
      <c r="E234" s="9" t="s">
        <v>1138</v>
      </c>
      <c r="F234" s="7">
        <v>-1000</v>
      </c>
    </row>
    <row r="235" spans="1:6" x14ac:dyDescent="0.3">
      <c r="A235" s="5" t="s">
        <v>351</v>
      </c>
      <c r="B235" s="26">
        <v>43396</v>
      </c>
      <c r="C235" s="8" t="s">
        <v>36</v>
      </c>
      <c r="D235" s="6" t="s">
        <v>269</v>
      </c>
      <c r="E235" s="8" t="s">
        <v>1148</v>
      </c>
      <c r="F235" s="12">
        <v>60000</v>
      </c>
    </row>
    <row r="236" spans="1:6" x14ac:dyDescent="0.3">
      <c r="A236" s="5" t="s">
        <v>352</v>
      </c>
      <c r="B236" s="26">
        <v>43396</v>
      </c>
      <c r="C236" s="11" t="s">
        <v>26</v>
      </c>
      <c r="D236" s="6" t="s">
        <v>269</v>
      </c>
      <c r="E236" s="9" t="s">
        <v>1138</v>
      </c>
      <c r="F236" s="7">
        <v>-10000</v>
      </c>
    </row>
    <row r="237" spans="1:6" x14ac:dyDescent="0.3">
      <c r="A237" s="5" t="s">
        <v>353</v>
      </c>
      <c r="B237" s="26">
        <v>43397</v>
      </c>
      <c r="C237" s="11" t="s">
        <v>51</v>
      </c>
      <c r="D237" s="6" t="s">
        <v>269</v>
      </c>
      <c r="E237" s="9" t="s">
        <v>1138</v>
      </c>
      <c r="F237" s="7">
        <v>-87000</v>
      </c>
    </row>
    <row r="238" spans="1:6" x14ac:dyDescent="0.3">
      <c r="A238" s="5" t="s">
        <v>354</v>
      </c>
      <c r="B238" s="27">
        <v>43397</v>
      </c>
      <c r="C238" s="8" t="s">
        <v>52</v>
      </c>
      <c r="D238" s="6" t="s">
        <v>269</v>
      </c>
      <c r="E238" s="9" t="s">
        <v>1138</v>
      </c>
      <c r="F238" s="7">
        <v>-3200</v>
      </c>
    </row>
    <row r="239" spans="1:6" x14ac:dyDescent="0.3">
      <c r="A239" s="5" t="s">
        <v>355</v>
      </c>
      <c r="B239" s="26">
        <v>43397</v>
      </c>
      <c r="C239" s="8" t="s">
        <v>53</v>
      </c>
      <c r="D239" s="6" t="s">
        <v>269</v>
      </c>
      <c r="E239" s="8" t="s">
        <v>1148</v>
      </c>
      <c r="F239" s="12">
        <v>50000</v>
      </c>
    </row>
    <row r="240" spans="1:6" x14ac:dyDescent="0.3">
      <c r="A240" s="5" t="s">
        <v>356</v>
      </c>
      <c r="B240" s="26">
        <v>43397</v>
      </c>
      <c r="C240" s="8" t="s">
        <v>54</v>
      </c>
      <c r="D240" s="6" t="s">
        <v>269</v>
      </c>
      <c r="E240" s="8" t="s">
        <v>1148</v>
      </c>
      <c r="F240" s="12">
        <v>50000</v>
      </c>
    </row>
    <row r="241" spans="1:6" x14ac:dyDescent="0.3">
      <c r="A241" s="5" t="s">
        <v>357</v>
      </c>
      <c r="B241" s="26">
        <v>43397</v>
      </c>
      <c r="C241" s="11" t="s">
        <v>55</v>
      </c>
      <c r="D241" s="6" t="s">
        <v>269</v>
      </c>
      <c r="E241" s="9" t="s">
        <v>1138</v>
      </c>
      <c r="F241" s="7">
        <v>-15000</v>
      </c>
    </row>
    <row r="242" spans="1:6" x14ac:dyDescent="0.3">
      <c r="A242" s="5" t="s">
        <v>358</v>
      </c>
      <c r="B242" s="26">
        <v>43398</v>
      </c>
      <c r="C242" s="9" t="s">
        <v>7</v>
      </c>
      <c r="D242" s="6" t="s">
        <v>269</v>
      </c>
      <c r="E242" s="9" t="s">
        <v>1138</v>
      </c>
      <c r="F242" s="7">
        <v>-1000</v>
      </c>
    </row>
    <row r="243" spans="1:6" x14ac:dyDescent="0.3">
      <c r="A243" s="5" t="s">
        <v>359</v>
      </c>
      <c r="B243" s="26">
        <v>43398</v>
      </c>
      <c r="C243" s="9" t="s">
        <v>9</v>
      </c>
      <c r="D243" s="6" t="s">
        <v>269</v>
      </c>
      <c r="E243" s="9" t="s">
        <v>1138</v>
      </c>
      <c r="F243" s="7">
        <v>-1000</v>
      </c>
    </row>
    <row r="244" spans="1:6" x14ac:dyDescent="0.3">
      <c r="A244" s="5" t="s">
        <v>360</v>
      </c>
      <c r="B244" s="30">
        <v>43400</v>
      </c>
      <c r="C244" s="9" t="s">
        <v>7</v>
      </c>
      <c r="D244" s="6" t="s">
        <v>269</v>
      </c>
      <c r="E244" s="9" t="s">
        <v>1138</v>
      </c>
      <c r="F244" s="7">
        <v>-1000</v>
      </c>
    </row>
    <row r="245" spans="1:6" x14ac:dyDescent="0.3">
      <c r="A245" s="5" t="s">
        <v>361</v>
      </c>
      <c r="B245" s="27">
        <v>43400</v>
      </c>
      <c r="C245" s="9" t="s">
        <v>42</v>
      </c>
      <c r="D245" s="6" t="s">
        <v>269</v>
      </c>
      <c r="E245" s="9" t="s">
        <v>1138</v>
      </c>
      <c r="F245" s="7">
        <v>-110</v>
      </c>
    </row>
    <row r="246" spans="1:6" x14ac:dyDescent="0.3">
      <c r="A246" s="5" t="s">
        <v>362</v>
      </c>
      <c r="B246" s="26">
        <v>43400</v>
      </c>
      <c r="C246" s="9" t="s">
        <v>56</v>
      </c>
      <c r="D246" s="6" t="s">
        <v>269</v>
      </c>
      <c r="E246" s="9" t="s">
        <v>1138</v>
      </c>
      <c r="F246" s="7">
        <v>-1100</v>
      </c>
    </row>
    <row r="247" spans="1:6" x14ac:dyDescent="0.3">
      <c r="A247" s="5" t="s">
        <v>363</v>
      </c>
      <c r="B247" s="30">
        <v>43400</v>
      </c>
      <c r="C247" s="11" t="s">
        <v>31</v>
      </c>
      <c r="D247" s="6" t="s">
        <v>269</v>
      </c>
      <c r="E247" s="9" t="s">
        <v>1138</v>
      </c>
      <c r="F247" s="7">
        <v>-3000</v>
      </c>
    </row>
    <row r="248" spans="1:6" x14ac:dyDescent="0.3">
      <c r="A248" s="5" t="s">
        <v>364</v>
      </c>
      <c r="B248" s="30">
        <v>43400</v>
      </c>
      <c r="C248" s="11" t="s">
        <v>57</v>
      </c>
      <c r="D248" s="6" t="s">
        <v>269</v>
      </c>
      <c r="E248" s="9" t="s">
        <v>1138</v>
      </c>
      <c r="F248" s="7">
        <v>-450</v>
      </c>
    </row>
    <row r="249" spans="1:6" x14ac:dyDescent="0.3">
      <c r="A249" s="5" t="s">
        <v>365</v>
      </c>
      <c r="B249" s="30">
        <v>43402</v>
      </c>
      <c r="C249" s="11" t="s">
        <v>5</v>
      </c>
      <c r="D249" s="6" t="s">
        <v>269</v>
      </c>
      <c r="E249" s="11" t="s">
        <v>1148</v>
      </c>
      <c r="F249" s="12">
        <v>200000</v>
      </c>
    </row>
    <row r="250" spans="1:6" x14ac:dyDescent="0.3">
      <c r="A250" s="5" t="s">
        <v>366</v>
      </c>
      <c r="B250" s="30">
        <v>43402</v>
      </c>
      <c r="C250" s="11" t="s">
        <v>58</v>
      </c>
      <c r="D250" s="6" t="s">
        <v>269</v>
      </c>
      <c r="E250" s="9" t="s">
        <v>1138</v>
      </c>
      <c r="F250" s="7">
        <v>-100000</v>
      </c>
    </row>
    <row r="251" spans="1:6" x14ac:dyDescent="0.3">
      <c r="A251" s="5" t="s">
        <v>367</v>
      </c>
      <c r="B251" s="30">
        <v>43402</v>
      </c>
      <c r="C251" s="11" t="s">
        <v>59</v>
      </c>
      <c r="D251" s="6" t="s">
        <v>269</v>
      </c>
      <c r="E251" s="9" t="s">
        <v>1138</v>
      </c>
      <c r="F251" s="7">
        <v>-50000</v>
      </c>
    </row>
    <row r="252" spans="1:6" x14ac:dyDescent="0.3">
      <c r="A252" s="5" t="s">
        <v>368</v>
      </c>
      <c r="B252" s="26">
        <v>43402</v>
      </c>
      <c r="C252" s="11" t="s">
        <v>60</v>
      </c>
      <c r="D252" s="6" t="s">
        <v>269</v>
      </c>
      <c r="E252" s="9" t="s">
        <v>1138</v>
      </c>
      <c r="F252" s="7">
        <v>-68000</v>
      </c>
    </row>
    <row r="253" spans="1:6" x14ac:dyDescent="0.3">
      <c r="A253" s="5" t="s">
        <v>369</v>
      </c>
      <c r="B253" s="26">
        <v>43402</v>
      </c>
      <c r="C253" s="11" t="s">
        <v>31</v>
      </c>
      <c r="D253" s="6" t="s">
        <v>269</v>
      </c>
      <c r="E253" s="9" t="s">
        <v>1138</v>
      </c>
      <c r="F253" s="7">
        <v>-10000</v>
      </c>
    </row>
    <row r="254" spans="1:6" x14ac:dyDescent="0.3">
      <c r="A254" s="5" t="s">
        <v>370</v>
      </c>
      <c r="B254" s="26">
        <v>43402</v>
      </c>
      <c r="C254" s="11" t="s">
        <v>61</v>
      </c>
      <c r="D254" s="6" t="s">
        <v>269</v>
      </c>
      <c r="E254" s="9" t="s">
        <v>1138</v>
      </c>
      <c r="F254" s="7">
        <v>-850</v>
      </c>
    </row>
    <row r="255" spans="1:6" x14ac:dyDescent="0.3">
      <c r="A255" s="5" t="s">
        <v>371</v>
      </c>
      <c r="B255" s="26">
        <v>43402</v>
      </c>
      <c r="C255" s="11" t="s">
        <v>62</v>
      </c>
      <c r="D255" s="6" t="s">
        <v>269</v>
      </c>
      <c r="E255" s="9" t="s">
        <v>1138</v>
      </c>
      <c r="F255" s="7">
        <v>-300</v>
      </c>
    </row>
    <row r="256" spans="1:6" x14ac:dyDescent="0.3">
      <c r="A256" s="5" t="s">
        <v>372</v>
      </c>
      <c r="B256" s="26">
        <v>43402</v>
      </c>
      <c r="C256" s="11" t="s">
        <v>63</v>
      </c>
      <c r="D256" s="6" t="s">
        <v>269</v>
      </c>
      <c r="E256" s="9" t="s">
        <v>1138</v>
      </c>
      <c r="F256" s="7">
        <v>-200</v>
      </c>
    </row>
    <row r="257" spans="1:6" x14ac:dyDescent="0.3">
      <c r="A257" s="5" t="s">
        <v>373</v>
      </c>
      <c r="B257" s="26">
        <v>43402</v>
      </c>
      <c r="C257" s="9" t="s">
        <v>64</v>
      </c>
      <c r="D257" s="6" t="s">
        <v>269</v>
      </c>
      <c r="E257" s="9" t="s">
        <v>1138</v>
      </c>
      <c r="F257" s="7">
        <v>-10000</v>
      </c>
    </row>
    <row r="258" spans="1:6" x14ac:dyDescent="0.3">
      <c r="A258" s="5" t="s">
        <v>374</v>
      </c>
      <c r="B258" s="26">
        <v>43402</v>
      </c>
      <c r="C258" s="11" t="s">
        <v>26</v>
      </c>
      <c r="D258" s="6" t="s">
        <v>269</v>
      </c>
      <c r="E258" s="9" t="s">
        <v>1138</v>
      </c>
      <c r="F258" s="7">
        <v>-50000</v>
      </c>
    </row>
    <row r="259" spans="1:6" x14ac:dyDescent="0.3">
      <c r="A259" s="5" t="s">
        <v>375</v>
      </c>
      <c r="B259" s="26">
        <v>43402</v>
      </c>
      <c r="C259" s="11" t="s">
        <v>65</v>
      </c>
      <c r="D259" s="6" t="s">
        <v>269</v>
      </c>
      <c r="E259" s="9" t="s">
        <v>1138</v>
      </c>
      <c r="F259" s="7">
        <v>-850</v>
      </c>
    </row>
    <row r="260" spans="1:6" x14ac:dyDescent="0.3">
      <c r="A260" s="5" t="s">
        <v>376</v>
      </c>
      <c r="B260" s="25">
        <v>43402</v>
      </c>
      <c r="C260" s="9" t="s">
        <v>7</v>
      </c>
      <c r="D260" s="6" t="s">
        <v>269</v>
      </c>
      <c r="E260" s="9" t="s">
        <v>1138</v>
      </c>
      <c r="F260" s="7">
        <v>-1150</v>
      </c>
    </row>
    <row r="261" spans="1:6" x14ac:dyDescent="0.3">
      <c r="A261" s="5" t="s">
        <v>377</v>
      </c>
      <c r="B261" s="26">
        <v>43402</v>
      </c>
      <c r="C261" s="9" t="s">
        <v>66</v>
      </c>
      <c r="D261" s="6" t="s">
        <v>269</v>
      </c>
      <c r="E261" s="9" t="s">
        <v>1138</v>
      </c>
      <c r="F261" s="7">
        <v>-200</v>
      </c>
    </row>
    <row r="262" spans="1:6" hidden="1" x14ac:dyDescent="0.3">
      <c r="A262" s="5" t="s">
        <v>1383</v>
      </c>
      <c r="B262" s="31">
        <v>43402</v>
      </c>
      <c r="C262" s="9" t="s">
        <v>1384</v>
      </c>
      <c r="D262" s="9" t="s">
        <v>1137</v>
      </c>
      <c r="E262" s="9" t="s">
        <v>1148</v>
      </c>
      <c r="F262" s="37">
        <v>100000</v>
      </c>
    </row>
    <row r="263" spans="1:6" x14ac:dyDescent="0.3">
      <c r="A263" s="5" t="s">
        <v>378</v>
      </c>
      <c r="B263" s="26">
        <v>43403</v>
      </c>
      <c r="C263" s="11" t="s">
        <v>37</v>
      </c>
      <c r="D263" s="6" t="s">
        <v>269</v>
      </c>
      <c r="E263" s="9" t="s">
        <v>1138</v>
      </c>
      <c r="F263" s="7">
        <v>-5000</v>
      </c>
    </row>
    <row r="264" spans="1:6" x14ac:dyDescent="0.3">
      <c r="A264" s="5" t="s">
        <v>379</v>
      </c>
      <c r="B264" s="26">
        <v>43403</v>
      </c>
      <c r="C264" s="11" t="s">
        <v>67</v>
      </c>
      <c r="D264" s="6" t="s">
        <v>269</v>
      </c>
      <c r="E264" s="9" t="s">
        <v>1138</v>
      </c>
      <c r="F264" s="7">
        <v>-1850</v>
      </c>
    </row>
    <row r="265" spans="1:6" x14ac:dyDescent="0.3">
      <c r="A265" s="5" t="s">
        <v>380</v>
      </c>
      <c r="B265" s="26">
        <v>43403</v>
      </c>
      <c r="C265" s="11" t="s">
        <v>42</v>
      </c>
      <c r="D265" s="6" t="s">
        <v>269</v>
      </c>
      <c r="E265" s="9" t="s">
        <v>1138</v>
      </c>
      <c r="F265" s="7">
        <v>-150</v>
      </c>
    </row>
    <row r="266" spans="1:6" x14ac:dyDescent="0.3">
      <c r="A266" s="5" t="s">
        <v>381</v>
      </c>
      <c r="B266" s="26">
        <v>43403</v>
      </c>
      <c r="C266" s="11" t="s">
        <v>68</v>
      </c>
      <c r="D266" s="6" t="s">
        <v>269</v>
      </c>
      <c r="E266" s="9" t="s">
        <v>1138</v>
      </c>
      <c r="F266" s="7">
        <v>-320</v>
      </c>
    </row>
    <row r="267" spans="1:6" x14ac:dyDescent="0.3">
      <c r="A267" s="5" t="s">
        <v>382</v>
      </c>
      <c r="B267" s="26">
        <v>43404</v>
      </c>
      <c r="C267" s="9" t="s">
        <v>7</v>
      </c>
      <c r="D267" s="6" t="s">
        <v>269</v>
      </c>
      <c r="E267" s="9" t="s">
        <v>1138</v>
      </c>
      <c r="F267" s="7">
        <v>-1000</v>
      </c>
    </row>
    <row r="268" spans="1:6" x14ac:dyDescent="0.3">
      <c r="A268" s="5" t="s">
        <v>383</v>
      </c>
      <c r="B268" s="26">
        <v>43405</v>
      </c>
      <c r="C268" s="11" t="s">
        <v>69</v>
      </c>
      <c r="D268" s="6" t="s">
        <v>269</v>
      </c>
      <c r="E268" s="9" t="s">
        <v>1138</v>
      </c>
      <c r="F268" s="7">
        <v>-50115</v>
      </c>
    </row>
    <row r="269" spans="1:6" x14ac:dyDescent="0.3">
      <c r="A269" s="5" t="s">
        <v>384</v>
      </c>
      <c r="B269" s="26">
        <v>43407</v>
      </c>
      <c r="C269" s="8" t="s">
        <v>36</v>
      </c>
      <c r="D269" s="6" t="s">
        <v>269</v>
      </c>
      <c r="E269" s="8" t="s">
        <v>1148</v>
      </c>
      <c r="F269" s="12">
        <v>50000</v>
      </c>
    </row>
    <row r="270" spans="1:6" x14ac:dyDescent="0.3">
      <c r="A270" s="5" t="s">
        <v>385</v>
      </c>
      <c r="B270" s="26">
        <v>43407</v>
      </c>
      <c r="C270" s="11" t="s">
        <v>31</v>
      </c>
      <c r="D270" s="6" t="s">
        <v>269</v>
      </c>
      <c r="E270" s="9" t="s">
        <v>1138</v>
      </c>
      <c r="F270" s="7">
        <v>-30000</v>
      </c>
    </row>
    <row r="271" spans="1:6" x14ac:dyDescent="0.3">
      <c r="A271" s="5" t="s">
        <v>386</v>
      </c>
      <c r="B271" s="26">
        <v>43407</v>
      </c>
      <c r="C271" s="11" t="s">
        <v>37</v>
      </c>
      <c r="D271" s="6" t="s">
        <v>269</v>
      </c>
      <c r="E271" s="9" t="s">
        <v>1138</v>
      </c>
      <c r="F271" s="7">
        <v>-20000</v>
      </c>
    </row>
    <row r="272" spans="1:6" x14ac:dyDescent="0.3">
      <c r="A272" s="5" t="s">
        <v>387</v>
      </c>
      <c r="B272" s="26">
        <v>43409</v>
      </c>
      <c r="C272" s="13" t="s">
        <v>70</v>
      </c>
      <c r="D272" s="6" t="s">
        <v>269</v>
      </c>
      <c r="E272" s="9" t="s">
        <v>1138</v>
      </c>
      <c r="F272" s="7">
        <v>-60000</v>
      </c>
    </row>
    <row r="273" spans="1:6" x14ac:dyDescent="0.3">
      <c r="A273" s="5" t="s">
        <v>388</v>
      </c>
      <c r="B273" s="25">
        <v>43409</v>
      </c>
      <c r="C273" s="9" t="s">
        <v>71</v>
      </c>
      <c r="D273" s="6" t="s">
        <v>269</v>
      </c>
      <c r="E273" s="9" t="s">
        <v>1138</v>
      </c>
      <c r="F273" s="7">
        <v>-7450</v>
      </c>
    </row>
    <row r="274" spans="1:6" x14ac:dyDescent="0.3">
      <c r="A274" s="5" t="s">
        <v>389</v>
      </c>
      <c r="B274" s="25">
        <v>43409</v>
      </c>
      <c r="C274" s="9" t="s">
        <v>72</v>
      </c>
      <c r="D274" s="6" t="s">
        <v>269</v>
      </c>
      <c r="E274" s="9" t="s">
        <v>1138</v>
      </c>
      <c r="F274" s="7">
        <v>-12600</v>
      </c>
    </row>
    <row r="275" spans="1:6" x14ac:dyDescent="0.3">
      <c r="A275" s="5" t="s">
        <v>390</v>
      </c>
      <c r="B275" s="26">
        <v>43409</v>
      </c>
      <c r="C275" s="9" t="s">
        <v>73</v>
      </c>
      <c r="D275" s="6" t="s">
        <v>269</v>
      </c>
      <c r="E275" s="9" t="s">
        <v>1138</v>
      </c>
      <c r="F275" s="7">
        <v>-12800</v>
      </c>
    </row>
    <row r="276" spans="1:6" x14ac:dyDescent="0.3">
      <c r="A276" s="5" t="s">
        <v>391</v>
      </c>
      <c r="B276" s="27">
        <v>43409</v>
      </c>
      <c r="C276" s="8" t="s">
        <v>36</v>
      </c>
      <c r="D276" s="6" t="s">
        <v>269</v>
      </c>
      <c r="E276" s="8" t="s">
        <v>1148</v>
      </c>
      <c r="F276" s="12">
        <v>50000</v>
      </c>
    </row>
    <row r="277" spans="1:6" x14ac:dyDescent="0.3">
      <c r="A277" s="5" t="s">
        <v>392</v>
      </c>
      <c r="B277" s="26">
        <v>43410</v>
      </c>
      <c r="C277" s="11" t="s">
        <v>26</v>
      </c>
      <c r="D277" s="6" t="s">
        <v>269</v>
      </c>
      <c r="E277" s="9" t="s">
        <v>1138</v>
      </c>
      <c r="F277" s="7">
        <v>-25000</v>
      </c>
    </row>
    <row r="278" spans="1:6" x14ac:dyDescent="0.3">
      <c r="A278" s="5" t="s">
        <v>393</v>
      </c>
      <c r="B278" s="27">
        <v>43410</v>
      </c>
      <c r="C278" s="8" t="s">
        <v>74</v>
      </c>
      <c r="D278" s="6" t="s">
        <v>269</v>
      </c>
      <c r="E278" s="9" t="s">
        <v>1138</v>
      </c>
      <c r="F278" s="7">
        <v>-100000</v>
      </c>
    </row>
    <row r="279" spans="1:6" x14ac:dyDescent="0.3">
      <c r="A279" s="5" t="s">
        <v>394</v>
      </c>
      <c r="B279" s="26">
        <v>43410</v>
      </c>
      <c r="C279" s="8" t="s">
        <v>75</v>
      </c>
      <c r="D279" s="6" t="s">
        <v>269</v>
      </c>
      <c r="E279" s="9" t="s">
        <v>1138</v>
      </c>
      <c r="F279" s="7">
        <v>-100000</v>
      </c>
    </row>
    <row r="280" spans="1:6" x14ac:dyDescent="0.3">
      <c r="A280" s="5" t="s">
        <v>395</v>
      </c>
      <c r="B280" s="30">
        <v>43411</v>
      </c>
      <c r="C280" s="11" t="s">
        <v>37</v>
      </c>
      <c r="D280" s="6" t="s">
        <v>269</v>
      </c>
      <c r="E280" s="9" t="s">
        <v>1138</v>
      </c>
      <c r="F280" s="7">
        <v>-25000</v>
      </c>
    </row>
    <row r="281" spans="1:6" x14ac:dyDescent="0.3">
      <c r="A281" s="5" t="s">
        <v>396</v>
      </c>
      <c r="B281" s="30">
        <v>43411</v>
      </c>
      <c r="C281" s="11" t="s">
        <v>31</v>
      </c>
      <c r="D281" s="6" t="s">
        <v>269</v>
      </c>
      <c r="E281" s="9" t="s">
        <v>1138</v>
      </c>
      <c r="F281" s="7">
        <v>-10000</v>
      </c>
    </row>
    <row r="282" spans="1:6" x14ac:dyDescent="0.3">
      <c r="A282" s="5" t="s">
        <v>397</v>
      </c>
      <c r="B282" s="30">
        <v>43415</v>
      </c>
      <c r="C282" s="8" t="s">
        <v>36</v>
      </c>
      <c r="D282" s="6" t="s">
        <v>269</v>
      </c>
      <c r="E282" s="8" t="s">
        <v>1148</v>
      </c>
      <c r="F282" s="12">
        <v>100000</v>
      </c>
    </row>
    <row r="283" spans="1:6" x14ac:dyDescent="0.3">
      <c r="A283" s="5" t="s">
        <v>398</v>
      </c>
      <c r="B283" s="27">
        <v>43415</v>
      </c>
      <c r="C283" s="11" t="s">
        <v>37</v>
      </c>
      <c r="D283" s="6" t="s">
        <v>269</v>
      </c>
      <c r="E283" s="9" t="s">
        <v>1138</v>
      </c>
      <c r="F283" s="7">
        <v>-50000</v>
      </c>
    </row>
    <row r="284" spans="1:6" x14ac:dyDescent="0.3">
      <c r="A284" s="5" t="s">
        <v>399</v>
      </c>
      <c r="B284" s="26">
        <v>43415</v>
      </c>
      <c r="C284" s="6" t="s">
        <v>76</v>
      </c>
      <c r="D284" s="6" t="s">
        <v>269</v>
      </c>
      <c r="E284" s="9" t="s">
        <v>1138</v>
      </c>
      <c r="F284" s="7">
        <v>-23000</v>
      </c>
    </row>
    <row r="285" spans="1:6" x14ac:dyDescent="0.3">
      <c r="A285" s="5" t="s">
        <v>400</v>
      </c>
      <c r="B285" s="30">
        <v>43415</v>
      </c>
      <c r="C285" s="11" t="s">
        <v>62</v>
      </c>
      <c r="D285" s="6" t="s">
        <v>269</v>
      </c>
      <c r="E285" s="9" t="s">
        <v>1138</v>
      </c>
      <c r="F285" s="7">
        <v>-100</v>
      </c>
    </row>
    <row r="286" spans="1:6" x14ac:dyDescent="0.3">
      <c r="A286" s="5" t="s">
        <v>401</v>
      </c>
      <c r="B286" s="30">
        <v>43415</v>
      </c>
      <c r="C286" s="9" t="s">
        <v>7</v>
      </c>
      <c r="D286" s="6" t="s">
        <v>269</v>
      </c>
      <c r="E286" s="9" t="s">
        <v>1138</v>
      </c>
      <c r="F286" s="7">
        <v>-2000</v>
      </c>
    </row>
    <row r="287" spans="1:6" x14ac:dyDescent="0.3">
      <c r="A287" s="5" t="s">
        <v>402</v>
      </c>
      <c r="B287" s="30">
        <v>43415</v>
      </c>
      <c r="C287" s="9" t="s">
        <v>77</v>
      </c>
      <c r="D287" s="6" t="s">
        <v>269</v>
      </c>
      <c r="E287" s="9" t="s">
        <v>1138</v>
      </c>
      <c r="F287" s="7">
        <v>-1000</v>
      </c>
    </row>
    <row r="288" spans="1:6" x14ac:dyDescent="0.3">
      <c r="A288" s="5" t="s">
        <v>403</v>
      </c>
      <c r="B288" s="30">
        <v>43415</v>
      </c>
      <c r="C288" s="9" t="s">
        <v>42</v>
      </c>
      <c r="D288" s="6" t="s">
        <v>269</v>
      </c>
      <c r="E288" s="9" t="s">
        <v>1138</v>
      </c>
      <c r="F288" s="7">
        <v>-200</v>
      </c>
    </row>
    <row r="289" spans="1:6" x14ac:dyDescent="0.3">
      <c r="A289" s="5" t="s">
        <v>404</v>
      </c>
      <c r="B289" s="26">
        <v>43416</v>
      </c>
      <c r="C289" s="8" t="s">
        <v>53</v>
      </c>
      <c r="D289" s="6" t="s">
        <v>269</v>
      </c>
      <c r="E289" s="8" t="s">
        <v>1148</v>
      </c>
      <c r="F289" s="12">
        <v>50000</v>
      </c>
    </row>
    <row r="290" spans="1:6" x14ac:dyDescent="0.3">
      <c r="A290" s="5" t="s">
        <v>405</v>
      </c>
      <c r="B290" s="30">
        <v>43416</v>
      </c>
      <c r="C290" s="8" t="s">
        <v>53</v>
      </c>
      <c r="D290" s="6" t="s">
        <v>269</v>
      </c>
      <c r="E290" s="8" t="s">
        <v>1148</v>
      </c>
      <c r="F290" s="12">
        <v>50000</v>
      </c>
    </row>
    <row r="291" spans="1:6" x14ac:dyDescent="0.3">
      <c r="A291" s="5" t="s">
        <v>406</v>
      </c>
      <c r="B291" s="27">
        <v>43416</v>
      </c>
      <c r="C291" s="11" t="s">
        <v>31</v>
      </c>
      <c r="D291" s="6" t="s">
        <v>269</v>
      </c>
      <c r="E291" s="9" t="s">
        <v>1138</v>
      </c>
      <c r="F291" s="7">
        <v>-100000</v>
      </c>
    </row>
    <row r="292" spans="1:6" x14ac:dyDescent="0.3">
      <c r="A292" s="5" t="s">
        <v>407</v>
      </c>
      <c r="B292" s="25">
        <v>43416</v>
      </c>
      <c r="C292" s="9" t="s">
        <v>42</v>
      </c>
      <c r="D292" s="6" t="s">
        <v>269</v>
      </c>
      <c r="E292" s="9" t="s">
        <v>1138</v>
      </c>
      <c r="F292" s="7">
        <v>-50</v>
      </c>
    </row>
    <row r="293" spans="1:6" x14ac:dyDescent="0.3">
      <c r="A293" s="5" t="s">
        <v>408</v>
      </c>
      <c r="B293" s="26">
        <v>43416</v>
      </c>
      <c r="C293" s="9" t="s">
        <v>78</v>
      </c>
      <c r="D293" s="6" t="s">
        <v>269</v>
      </c>
      <c r="E293" s="9" t="s">
        <v>1138</v>
      </c>
      <c r="F293" s="7">
        <v>-9100</v>
      </c>
    </row>
    <row r="294" spans="1:6" x14ac:dyDescent="0.3">
      <c r="A294" s="5" t="s">
        <v>409</v>
      </c>
      <c r="B294" s="30">
        <v>43418</v>
      </c>
      <c r="C294" s="9" t="s">
        <v>7</v>
      </c>
      <c r="D294" s="6" t="s">
        <v>269</v>
      </c>
      <c r="E294" s="9" t="s">
        <v>1138</v>
      </c>
      <c r="F294" s="7">
        <v>-1000</v>
      </c>
    </row>
    <row r="295" spans="1:6" x14ac:dyDescent="0.3">
      <c r="A295" s="5" t="s">
        <v>410</v>
      </c>
      <c r="B295" s="30">
        <v>43420</v>
      </c>
      <c r="C295" s="11" t="s">
        <v>31</v>
      </c>
      <c r="D295" s="6" t="s">
        <v>269</v>
      </c>
      <c r="E295" s="9" t="s">
        <v>1138</v>
      </c>
      <c r="F295" s="7">
        <v>-10000</v>
      </c>
    </row>
    <row r="296" spans="1:6" x14ac:dyDescent="0.3">
      <c r="A296" s="5" t="s">
        <v>411</v>
      </c>
      <c r="B296" s="27">
        <v>43420</v>
      </c>
      <c r="C296" s="11" t="s">
        <v>37</v>
      </c>
      <c r="D296" s="6" t="s">
        <v>269</v>
      </c>
      <c r="E296" s="9" t="s">
        <v>1138</v>
      </c>
      <c r="F296" s="7">
        <v>-50000</v>
      </c>
    </row>
    <row r="297" spans="1:6" x14ac:dyDescent="0.3">
      <c r="A297" s="5" t="s">
        <v>412</v>
      </c>
      <c r="B297" s="26">
        <v>43420</v>
      </c>
      <c r="C297" s="9" t="s">
        <v>7</v>
      </c>
      <c r="D297" s="6" t="s">
        <v>269</v>
      </c>
      <c r="E297" s="9" t="s">
        <v>1138</v>
      </c>
      <c r="F297" s="7">
        <v>-1000</v>
      </c>
    </row>
    <row r="298" spans="1:6" x14ac:dyDescent="0.3">
      <c r="A298" s="5" t="s">
        <v>413</v>
      </c>
      <c r="B298" s="27">
        <v>43421</v>
      </c>
      <c r="C298" s="9" t="s">
        <v>79</v>
      </c>
      <c r="D298" s="6" t="s">
        <v>269</v>
      </c>
      <c r="E298" s="9" t="s">
        <v>1138</v>
      </c>
      <c r="F298" s="7">
        <v>-3000</v>
      </c>
    </row>
    <row r="299" spans="1:6" x14ac:dyDescent="0.3">
      <c r="A299" s="5" t="s">
        <v>414</v>
      </c>
      <c r="B299" s="26">
        <v>43422</v>
      </c>
      <c r="C299" s="9" t="s">
        <v>7</v>
      </c>
      <c r="D299" s="6" t="s">
        <v>269</v>
      </c>
      <c r="E299" s="9" t="s">
        <v>1138</v>
      </c>
      <c r="F299" s="7">
        <v>-1000</v>
      </c>
    </row>
    <row r="300" spans="1:6" x14ac:dyDescent="0.3">
      <c r="A300" s="5" t="s">
        <v>415</v>
      </c>
      <c r="B300" s="30">
        <v>43422</v>
      </c>
      <c r="C300" s="9" t="s">
        <v>80</v>
      </c>
      <c r="D300" s="6" t="s">
        <v>269</v>
      </c>
      <c r="E300" s="9" t="s">
        <v>1138</v>
      </c>
      <c r="F300" s="7">
        <v>-1000</v>
      </c>
    </row>
    <row r="301" spans="1:6" x14ac:dyDescent="0.3">
      <c r="A301" s="5" t="s">
        <v>416</v>
      </c>
      <c r="B301" s="30">
        <v>43422</v>
      </c>
      <c r="C301" s="9" t="s">
        <v>81</v>
      </c>
      <c r="D301" s="6" t="s">
        <v>269</v>
      </c>
      <c r="E301" s="9" t="s">
        <v>1138</v>
      </c>
      <c r="F301" s="7">
        <v>-95</v>
      </c>
    </row>
    <row r="302" spans="1:6" x14ac:dyDescent="0.3">
      <c r="A302" s="5" t="s">
        <v>417</v>
      </c>
      <c r="B302" s="30">
        <v>43424</v>
      </c>
      <c r="C302" s="11" t="s">
        <v>31</v>
      </c>
      <c r="D302" s="6" t="s">
        <v>269</v>
      </c>
      <c r="E302" s="9" t="s">
        <v>1138</v>
      </c>
      <c r="F302" s="7">
        <v>-10000</v>
      </c>
    </row>
    <row r="303" spans="1:6" x14ac:dyDescent="0.3">
      <c r="A303" s="5" t="s">
        <v>418</v>
      </c>
      <c r="B303" s="30">
        <v>43424</v>
      </c>
      <c r="C303" s="9" t="s">
        <v>42</v>
      </c>
      <c r="D303" s="6" t="s">
        <v>269</v>
      </c>
      <c r="E303" s="9" t="s">
        <v>1138</v>
      </c>
      <c r="F303" s="7">
        <v>-100</v>
      </c>
    </row>
    <row r="304" spans="1:6" x14ac:dyDescent="0.3">
      <c r="A304" s="5" t="s">
        <v>419</v>
      </c>
      <c r="B304" s="30">
        <v>43424</v>
      </c>
      <c r="C304" s="9" t="s">
        <v>7</v>
      </c>
      <c r="D304" s="6" t="s">
        <v>269</v>
      </c>
      <c r="E304" s="9" t="s">
        <v>1138</v>
      </c>
      <c r="F304" s="7">
        <v>-500</v>
      </c>
    </row>
    <row r="305" spans="1:7" x14ac:dyDescent="0.3">
      <c r="A305" s="5" t="s">
        <v>420</v>
      </c>
      <c r="B305" s="30">
        <v>43424</v>
      </c>
      <c r="C305" s="9" t="s">
        <v>77</v>
      </c>
      <c r="D305" s="6" t="s">
        <v>269</v>
      </c>
      <c r="E305" s="9" t="s">
        <v>1138</v>
      </c>
      <c r="F305" s="7">
        <v>-1000</v>
      </c>
    </row>
    <row r="306" spans="1:7" x14ac:dyDescent="0.3">
      <c r="A306" s="5" t="s">
        <v>421</v>
      </c>
      <c r="B306" s="30">
        <v>43426</v>
      </c>
      <c r="C306" s="8" t="s">
        <v>82</v>
      </c>
      <c r="D306" s="6" t="s">
        <v>269</v>
      </c>
      <c r="E306" s="8" t="s">
        <v>1148</v>
      </c>
      <c r="F306" s="12">
        <v>50000</v>
      </c>
    </row>
    <row r="307" spans="1:7" x14ac:dyDescent="0.3">
      <c r="A307" s="5" t="s">
        <v>422</v>
      </c>
      <c r="B307" s="30">
        <v>43426</v>
      </c>
      <c r="C307" s="11" t="s">
        <v>31</v>
      </c>
      <c r="D307" s="6" t="s">
        <v>269</v>
      </c>
      <c r="E307" s="9" t="s">
        <v>1138</v>
      </c>
      <c r="F307" s="7">
        <v>-25000</v>
      </c>
    </row>
    <row r="308" spans="1:7" x14ac:dyDescent="0.3">
      <c r="A308" s="5" t="s">
        <v>423</v>
      </c>
      <c r="B308" s="30">
        <v>43426</v>
      </c>
      <c r="C308" s="9" t="s">
        <v>83</v>
      </c>
      <c r="D308" s="6" t="s">
        <v>269</v>
      </c>
      <c r="E308" s="9" t="s">
        <v>1138</v>
      </c>
      <c r="F308" s="7">
        <v>-20000</v>
      </c>
    </row>
    <row r="309" spans="1:7" x14ac:dyDescent="0.3">
      <c r="A309" s="5" t="s">
        <v>424</v>
      </c>
      <c r="B309" s="25">
        <v>43426</v>
      </c>
      <c r="C309" s="9" t="s">
        <v>84</v>
      </c>
      <c r="D309" s="6" t="s">
        <v>269</v>
      </c>
      <c r="E309" s="9" t="s">
        <v>1138</v>
      </c>
      <c r="F309" s="7">
        <v>-5000</v>
      </c>
    </row>
    <row r="310" spans="1:7" x14ac:dyDescent="0.3">
      <c r="A310" s="5" t="s">
        <v>425</v>
      </c>
      <c r="B310" s="26">
        <v>43427</v>
      </c>
      <c r="C310" s="9" t="s">
        <v>7</v>
      </c>
      <c r="D310" s="6" t="s">
        <v>269</v>
      </c>
      <c r="E310" s="9" t="s">
        <v>1138</v>
      </c>
      <c r="F310" s="7">
        <v>-3000</v>
      </c>
    </row>
    <row r="311" spans="1:7" ht="15.6" hidden="1" x14ac:dyDescent="0.3">
      <c r="A311" s="5" t="s">
        <v>1385</v>
      </c>
      <c r="B311" s="43">
        <v>43427</v>
      </c>
      <c r="C311" s="41" t="s">
        <v>1386</v>
      </c>
      <c r="D311" s="9" t="s">
        <v>1137</v>
      </c>
      <c r="E311" s="9" t="s">
        <v>1138</v>
      </c>
      <c r="F311" s="35">
        <v>-9000</v>
      </c>
      <c r="G311" s="73"/>
    </row>
    <row r="312" spans="1:7" x14ac:dyDescent="0.3">
      <c r="A312" s="5" t="s">
        <v>426</v>
      </c>
      <c r="B312" s="30">
        <v>43428</v>
      </c>
      <c r="C312" s="9" t="s">
        <v>85</v>
      </c>
      <c r="D312" s="6" t="s">
        <v>269</v>
      </c>
      <c r="E312" s="9" t="s">
        <v>1138</v>
      </c>
      <c r="F312" s="7">
        <v>-700</v>
      </c>
    </row>
    <row r="313" spans="1:7" x14ac:dyDescent="0.3">
      <c r="A313" s="5" t="s">
        <v>427</v>
      </c>
      <c r="B313" s="30">
        <v>43428</v>
      </c>
      <c r="C313" s="16" t="s">
        <v>86</v>
      </c>
      <c r="D313" s="6" t="s">
        <v>269</v>
      </c>
      <c r="E313" s="9" t="s">
        <v>1138</v>
      </c>
      <c r="F313" s="7">
        <v>-50</v>
      </c>
    </row>
    <row r="314" spans="1:7" x14ac:dyDescent="0.3">
      <c r="A314" s="5" t="s">
        <v>428</v>
      </c>
      <c r="B314" s="27">
        <v>43428</v>
      </c>
      <c r="C314" s="9" t="s">
        <v>69</v>
      </c>
      <c r="D314" s="6" t="s">
        <v>269</v>
      </c>
      <c r="E314" s="9" t="s">
        <v>1138</v>
      </c>
      <c r="F314" s="7">
        <v>-8000</v>
      </c>
    </row>
    <row r="315" spans="1:7" x14ac:dyDescent="0.3">
      <c r="A315" s="5" t="s">
        <v>429</v>
      </c>
      <c r="B315" s="26">
        <v>43429</v>
      </c>
      <c r="C315" s="11" t="s">
        <v>37</v>
      </c>
      <c r="D315" s="6" t="s">
        <v>269</v>
      </c>
      <c r="E315" s="9" t="s">
        <v>1138</v>
      </c>
      <c r="F315" s="7">
        <v>-10000</v>
      </c>
    </row>
    <row r="316" spans="1:7" x14ac:dyDescent="0.3">
      <c r="A316" s="5" t="s">
        <v>430</v>
      </c>
      <c r="B316" s="30">
        <v>43429</v>
      </c>
      <c r="C316" s="9" t="s">
        <v>84</v>
      </c>
      <c r="D316" s="6" t="s">
        <v>269</v>
      </c>
      <c r="E316" s="9" t="s">
        <v>1138</v>
      </c>
      <c r="F316" s="7">
        <v>-3000</v>
      </c>
    </row>
    <row r="317" spans="1:7" x14ac:dyDescent="0.3">
      <c r="A317" s="5" t="s">
        <v>431</v>
      </c>
      <c r="B317" s="30">
        <v>43429</v>
      </c>
      <c r="C317" s="8" t="s">
        <v>87</v>
      </c>
      <c r="D317" s="6" t="s">
        <v>269</v>
      </c>
      <c r="E317" s="8" t="s">
        <v>1148</v>
      </c>
      <c r="F317" s="12">
        <v>50000</v>
      </c>
    </row>
    <row r="318" spans="1:7" x14ac:dyDescent="0.3">
      <c r="A318" s="5" t="s">
        <v>432</v>
      </c>
      <c r="B318" s="30">
        <v>43430</v>
      </c>
      <c r="C318" s="11" t="s">
        <v>31</v>
      </c>
      <c r="D318" s="6" t="s">
        <v>269</v>
      </c>
      <c r="E318" s="9" t="s">
        <v>1138</v>
      </c>
      <c r="F318" s="7">
        <v>-10000</v>
      </c>
    </row>
    <row r="319" spans="1:7" x14ac:dyDescent="0.3">
      <c r="A319" s="5" t="s">
        <v>433</v>
      </c>
      <c r="B319" s="30">
        <v>43430</v>
      </c>
      <c r="C319" s="9" t="s">
        <v>42</v>
      </c>
      <c r="D319" s="6" t="s">
        <v>269</v>
      </c>
      <c r="E319" s="9" t="s">
        <v>1138</v>
      </c>
      <c r="F319" s="7">
        <v>-100</v>
      </c>
    </row>
    <row r="320" spans="1:7" x14ac:dyDescent="0.3">
      <c r="A320" s="5" t="s">
        <v>434</v>
      </c>
      <c r="B320" s="30">
        <v>43431</v>
      </c>
      <c r="C320" s="11" t="s">
        <v>31</v>
      </c>
      <c r="D320" s="6" t="s">
        <v>269</v>
      </c>
      <c r="E320" s="9" t="s">
        <v>1138</v>
      </c>
      <c r="F320" s="7">
        <v>-5000</v>
      </c>
    </row>
    <row r="321" spans="1:6" x14ac:dyDescent="0.3">
      <c r="A321" s="5" t="s">
        <v>435</v>
      </c>
      <c r="B321" s="30">
        <v>43432</v>
      </c>
      <c r="C321" s="9" t="s">
        <v>88</v>
      </c>
      <c r="D321" s="6" t="s">
        <v>269</v>
      </c>
      <c r="E321" s="9" t="s">
        <v>1138</v>
      </c>
      <c r="F321" s="7">
        <v>-15560</v>
      </c>
    </row>
    <row r="322" spans="1:6" x14ac:dyDescent="0.3">
      <c r="A322" s="5" t="s">
        <v>436</v>
      </c>
      <c r="B322" s="27">
        <v>43433</v>
      </c>
      <c r="C322" s="11" t="s">
        <v>31</v>
      </c>
      <c r="D322" s="6" t="s">
        <v>269</v>
      </c>
      <c r="E322" s="9" t="s">
        <v>1138</v>
      </c>
      <c r="F322" s="7">
        <v>-5000</v>
      </c>
    </row>
    <row r="323" spans="1:6" x14ac:dyDescent="0.3">
      <c r="A323" s="5" t="s">
        <v>437</v>
      </c>
      <c r="B323" s="26">
        <v>43434</v>
      </c>
      <c r="C323" s="9" t="s">
        <v>42</v>
      </c>
      <c r="D323" s="6" t="s">
        <v>269</v>
      </c>
      <c r="E323" s="9" t="s">
        <v>1138</v>
      </c>
      <c r="F323" s="7">
        <v>-500</v>
      </c>
    </row>
    <row r="324" spans="1:6" x14ac:dyDescent="0.3">
      <c r="A324" s="5" t="s">
        <v>438</v>
      </c>
      <c r="B324" s="30">
        <v>43434</v>
      </c>
      <c r="C324" s="9" t="s">
        <v>7</v>
      </c>
      <c r="D324" s="6" t="s">
        <v>269</v>
      </c>
      <c r="E324" s="9" t="s">
        <v>1138</v>
      </c>
      <c r="F324" s="7">
        <v>-100</v>
      </c>
    </row>
    <row r="325" spans="1:6" x14ac:dyDescent="0.3">
      <c r="A325" s="5" t="s">
        <v>439</v>
      </c>
      <c r="B325" s="27">
        <v>43435</v>
      </c>
      <c r="C325" s="9" t="s">
        <v>42</v>
      </c>
      <c r="D325" s="6" t="s">
        <v>269</v>
      </c>
      <c r="E325" s="9" t="s">
        <v>1138</v>
      </c>
      <c r="F325" s="7">
        <v>-100</v>
      </c>
    </row>
    <row r="326" spans="1:6" x14ac:dyDescent="0.3">
      <c r="A326" s="5" t="s">
        <v>440</v>
      </c>
      <c r="B326" s="26">
        <v>43435</v>
      </c>
      <c r="C326" s="9" t="s">
        <v>80</v>
      </c>
      <c r="D326" s="6" t="s">
        <v>269</v>
      </c>
      <c r="E326" s="9" t="s">
        <v>1138</v>
      </c>
      <c r="F326" s="7">
        <v>-3000</v>
      </c>
    </row>
    <row r="327" spans="1:6" x14ac:dyDescent="0.3">
      <c r="A327" s="5" t="s">
        <v>441</v>
      </c>
      <c r="B327" s="26">
        <v>43436</v>
      </c>
      <c r="C327" s="9" t="s">
        <v>42</v>
      </c>
      <c r="D327" s="6" t="s">
        <v>269</v>
      </c>
      <c r="E327" s="9" t="s">
        <v>1138</v>
      </c>
      <c r="F327" s="7">
        <v>-200</v>
      </c>
    </row>
    <row r="328" spans="1:6" x14ac:dyDescent="0.3">
      <c r="A328" s="5" t="s">
        <v>442</v>
      </c>
      <c r="B328" s="26">
        <v>43436</v>
      </c>
      <c r="C328" s="9" t="s">
        <v>7</v>
      </c>
      <c r="D328" s="6" t="s">
        <v>269</v>
      </c>
      <c r="E328" s="9" t="s">
        <v>1138</v>
      </c>
      <c r="F328" s="7">
        <v>-1000</v>
      </c>
    </row>
    <row r="329" spans="1:6" x14ac:dyDescent="0.3">
      <c r="A329" s="5" t="s">
        <v>443</v>
      </c>
      <c r="B329" s="26">
        <v>43436</v>
      </c>
      <c r="C329" s="8" t="s">
        <v>87</v>
      </c>
      <c r="D329" s="6" t="s">
        <v>269</v>
      </c>
      <c r="E329" s="8" t="s">
        <v>1148</v>
      </c>
      <c r="F329" s="12">
        <v>75000</v>
      </c>
    </row>
    <row r="330" spans="1:6" x14ac:dyDescent="0.3">
      <c r="A330" s="5" t="s">
        <v>444</v>
      </c>
      <c r="B330" s="26">
        <v>43436</v>
      </c>
      <c r="C330" s="11" t="s">
        <v>37</v>
      </c>
      <c r="D330" s="6" t="s">
        <v>269</v>
      </c>
      <c r="E330" s="9" t="s">
        <v>1138</v>
      </c>
      <c r="F330" s="7">
        <v>-50000</v>
      </c>
    </row>
    <row r="331" spans="1:6" x14ac:dyDescent="0.3">
      <c r="A331" s="5" t="s">
        <v>445</v>
      </c>
      <c r="B331" s="27">
        <v>43438</v>
      </c>
      <c r="C331" s="16" t="s">
        <v>89</v>
      </c>
      <c r="D331" s="6" t="s">
        <v>269</v>
      </c>
      <c r="E331" s="9" t="s">
        <v>1138</v>
      </c>
      <c r="F331" s="7">
        <v>-13300</v>
      </c>
    </row>
    <row r="332" spans="1:6" x14ac:dyDescent="0.3">
      <c r="A332" s="5" t="s">
        <v>446</v>
      </c>
      <c r="B332" s="26">
        <v>43438</v>
      </c>
      <c r="C332" s="9" t="s">
        <v>90</v>
      </c>
      <c r="D332" s="6" t="s">
        <v>269</v>
      </c>
      <c r="E332" s="9" t="s">
        <v>1138</v>
      </c>
      <c r="F332" s="7">
        <v>-16100</v>
      </c>
    </row>
    <row r="333" spans="1:6" x14ac:dyDescent="0.3">
      <c r="A333" s="5" t="s">
        <v>447</v>
      </c>
      <c r="B333" s="26">
        <v>43438</v>
      </c>
      <c r="C333" s="9" t="s">
        <v>84</v>
      </c>
      <c r="D333" s="6" t="s">
        <v>269</v>
      </c>
      <c r="E333" s="9" t="s">
        <v>1138</v>
      </c>
      <c r="F333" s="7">
        <v>-3000</v>
      </c>
    </row>
    <row r="334" spans="1:6" x14ac:dyDescent="0.3">
      <c r="A334" s="5" t="s">
        <v>448</v>
      </c>
      <c r="B334" s="26">
        <v>43438</v>
      </c>
      <c r="C334" s="9" t="s">
        <v>26</v>
      </c>
      <c r="D334" s="6" t="s">
        <v>269</v>
      </c>
      <c r="E334" s="9" t="s">
        <v>1138</v>
      </c>
      <c r="F334" s="7">
        <v>-5000</v>
      </c>
    </row>
    <row r="335" spans="1:6" x14ac:dyDescent="0.3">
      <c r="A335" s="5" t="s">
        <v>449</v>
      </c>
      <c r="B335" s="26">
        <v>43438</v>
      </c>
      <c r="C335" s="8" t="s">
        <v>87</v>
      </c>
      <c r="D335" s="6" t="s">
        <v>269</v>
      </c>
      <c r="E335" s="8" t="s">
        <v>1148</v>
      </c>
      <c r="F335" s="12">
        <v>50000</v>
      </c>
    </row>
    <row r="336" spans="1:6" x14ac:dyDescent="0.3">
      <c r="A336" s="5" t="s">
        <v>450</v>
      </c>
      <c r="B336" s="27">
        <v>43438</v>
      </c>
      <c r="C336" s="11" t="s">
        <v>31</v>
      </c>
      <c r="D336" s="6" t="s">
        <v>269</v>
      </c>
      <c r="E336" s="9" t="s">
        <v>1138</v>
      </c>
      <c r="F336" s="7">
        <v>-15000</v>
      </c>
    </row>
    <row r="337" spans="1:6" x14ac:dyDescent="0.3">
      <c r="A337" s="5" t="s">
        <v>451</v>
      </c>
      <c r="B337" s="27">
        <v>43438</v>
      </c>
      <c r="C337" s="9" t="s">
        <v>84</v>
      </c>
      <c r="D337" s="6" t="s">
        <v>269</v>
      </c>
      <c r="E337" s="9" t="s">
        <v>1138</v>
      </c>
      <c r="F337" s="7">
        <v>-5050</v>
      </c>
    </row>
    <row r="338" spans="1:6" x14ac:dyDescent="0.3">
      <c r="A338" s="5" t="s">
        <v>452</v>
      </c>
      <c r="B338" s="27">
        <v>43438</v>
      </c>
      <c r="C338" s="9" t="s">
        <v>14</v>
      </c>
      <c r="D338" s="6" t="s">
        <v>269</v>
      </c>
      <c r="E338" s="9" t="s">
        <v>1138</v>
      </c>
      <c r="F338" s="7">
        <v>-170</v>
      </c>
    </row>
    <row r="339" spans="1:6" x14ac:dyDescent="0.3">
      <c r="A339" s="5" t="s">
        <v>453</v>
      </c>
      <c r="B339" s="26">
        <v>43438</v>
      </c>
      <c r="C339" s="9" t="s">
        <v>83</v>
      </c>
      <c r="D339" s="6" t="s">
        <v>269</v>
      </c>
      <c r="E339" s="9" t="s">
        <v>1138</v>
      </c>
      <c r="F339" s="7">
        <v>-30000</v>
      </c>
    </row>
    <row r="340" spans="1:6" x14ac:dyDescent="0.3">
      <c r="A340" s="5" t="s">
        <v>454</v>
      </c>
      <c r="B340" s="30">
        <v>43439</v>
      </c>
      <c r="C340" s="9" t="s">
        <v>26</v>
      </c>
      <c r="D340" s="6" t="s">
        <v>269</v>
      </c>
      <c r="E340" s="9" t="s">
        <v>1138</v>
      </c>
      <c r="F340" s="7">
        <v>-5000</v>
      </c>
    </row>
    <row r="341" spans="1:6" x14ac:dyDescent="0.3">
      <c r="A341" s="5" t="s">
        <v>455</v>
      </c>
      <c r="B341" s="30">
        <v>43440</v>
      </c>
      <c r="C341" s="9" t="s">
        <v>42</v>
      </c>
      <c r="D341" s="6" t="s">
        <v>269</v>
      </c>
      <c r="E341" s="9" t="s">
        <v>1138</v>
      </c>
      <c r="F341" s="7">
        <v>-100</v>
      </c>
    </row>
    <row r="342" spans="1:6" x14ac:dyDescent="0.3">
      <c r="A342" s="5" t="s">
        <v>456</v>
      </c>
      <c r="B342" s="27">
        <v>43440</v>
      </c>
      <c r="C342" s="9" t="s">
        <v>91</v>
      </c>
      <c r="D342" s="6" t="s">
        <v>269</v>
      </c>
      <c r="E342" s="9" t="s">
        <v>1138</v>
      </c>
      <c r="F342" s="7">
        <v>-5650</v>
      </c>
    </row>
    <row r="343" spans="1:6" x14ac:dyDescent="0.3">
      <c r="A343" s="5" t="s">
        <v>457</v>
      </c>
      <c r="B343" s="26">
        <v>43440</v>
      </c>
      <c r="C343" s="9" t="s">
        <v>92</v>
      </c>
      <c r="D343" s="6" t="s">
        <v>269</v>
      </c>
      <c r="E343" s="9" t="s">
        <v>1138</v>
      </c>
      <c r="F343" s="7">
        <v>-850</v>
      </c>
    </row>
    <row r="344" spans="1:6" x14ac:dyDescent="0.3">
      <c r="A344" s="5" t="s">
        <v>458</v>
      </c>
      <c r="B344" s="27">
        <v>43440</v>
      </c>
      <c r="C344" s="9" t="s">
        <v>93</v>
      </c>
      <c r="D344" s="6" t="s">
        <v>269</v>
      </c>
      <c r="E344" s="9" t="s">
        <v>1138</v>
      </c>
      <c r="F344" s="7">
        <v>-850</v>
      </c>
    </row>
    <row r="345" spans="1:6" x14ac:dyDescent="0.3">
      <c r="A345" s="5" t="s">
        <v>459</v>
      </c>
      <c r="B345" s="26">
        <v>43440</v>
      </c>
      <c r="C345" s="8" t="s">
        <v>87</v>
      </c>
      <c r="D345" s="6" t="s">
        <v>269</v>
      </c>
      <c r="E345" s="8" t="s">
        <v>1148</v>
      </c>
      <c r="F345" s="12">
        <v>60000</v>
      </c>
    </row>
    <row r="346" spans="1:6" x14ac:dyDescent="0.3">
      <c r="A346" s="5" t="s">
        <v>460</v>
      </c>
      <c r="B346" s="26">
        <v>43440</v>
      </c>
      <c r="C346" s="11" t="s">
        <v>31</v>
      </c>
      <c r="D346" s="6" t="s">
        <v>269</v>
      </c>
      <c r="E346" s="9" t="s">
        <v>1138</v>
      </c>
      <c r="F346" s="7">
        <v>-10000</v>
      </c>
    </row>
    <row r="347" spans="1:6" x14ac:dyDescent="0.3">
      <c r="A347" s="5" t="s">
        <v>461</v>
      </c>
      <c r="B347" s="26">
        <v>43440</v>
      </c>
      <c r="C347" s="9" t="s">
        <v>26</v>
      </c>
      <c r="D347" s="6" t="s">
        <v>269</v>
      </c>
      <c r="E347" s="9" t="s">
        <v>1138</v>
      </c>
      <c r="F347" s="7">
        <v>-5000</v>
      </c>
    </row>
    <row r="348" spans="1:6" x14ac:dyDescent="0.3">
      <c r="A348" s="5" t="s">
        <v>462</v>
      </c>
      <c r="B348" s="26">
        <v>43441</v>
      </c>
      <c r="C348" s="9" t="s">
        <v>26</v>
      </c>
      <c r="D348" s="6" t="s">
        <v>269</v>
      </c>
      <c r="E348" s="9" t="s">
        <v>1138</v>
      </c>
      <c r="F348" s="7">
        <v>-10000</v>
      </c>
    </row>
    <row r="349" spans="1:6" x14ac:dyDescent="0.3">
      <c r="A349" s="5" t="s">
        <v>463</v>
      </c>
      <c r="B349" s="26">
        <v>43443</v>
      </c>
      <c r="C349" s="9" t="s">
        <v>26</v>
      </c>
      <c r="D349" s="6" t="s">
        <v>269</v>
      </c>
      <c r="E349" s="9" t="s">
        <v>1138</v>
      </c>
      <c r="F349" s="7">
        <v>-10000</v>
      </c>
    </row>
    <row r="350" spans="1:6" x14ac:dyDescent="0.3">
      <c r="A350" s="5" t="s">
        <v>464</v>
      </c>
      <c r="B350" s="26">
        <v>43443</v>
      </c>
      <c r="C350" s="9" t="s">
        <v>94</v>
      </c>
      <c r="D350" s="6" t="s">
        <v>269</v>
      </c>
      <c r="E350" s="9" t="s">
        <v>1138</v>
      </c>
      <c r="F350" s="7">
        <v>-1000</v>
      </c>
    </row>
    <row r="351" spans="1:6" x14ac:dyDescent="0.3">
      <c r="A351" s="5" t="s">
        <v>465</v>
      </c>
      <c r="B351" s="26">
        <v>43444</v>
      </c>
      <c r="C351" s="9" t="s">
        <v>95</v>
      </c>
      <c r="D351" s="6" t="s">
        <v>269</v>
      </c>
      <c r="E351" s="9" t="s">
        <v>1138</v>
      </c>
      <c r="F351" s="7">
        <v>-350</v>
      </c>
    </row>
    <row r="352" spans="1:6" x14ac:dyDescent="0.3">
      <c r="A352" s="5" t="s">
        <v>466</v>
      </c>
      <c r="B352" s="26">
        <v>43445</v>
      </c>
      <c r="C352" s="9" t="s">
        <v>26</v>
      </c>
      <c r="D352" s="6" t="s">
        <v>269</v>
      </c>
      <c r="E352" s="9" t="s">
        <v>1138</v>
      </c>
      <c r="F352" s="7">
        <v>-5000</v>
      </c>
    </row>
    <row r="353" spans="1:6" x14ac:dyDescent="0.3">
      <c r="A353" s="5" t="s">
        <v>467</v>
      </c>
      <c r="B353" s="26">
        <v>43445</v>
      </c>
      <c r="C353" s="9" t="s">
        <v>7</v>
      </c>
      <c r="D353" s="6" t="s">
        <v>269</v>
      </c>
      <c r="E353" s="9" t="s">
        <v>1138</v>
      </c>
      <c r="F353" s="7">
        <v>-1000</v>
      </c>
    </row>
    <row r="354" spans="1:6" x14ac:dyDescent="0.3">
      <c r="A354" s="5" t="s">
        <v>468</v>
      </c>
      <c r="B354" s="26">
        <v>43446</v>
      </c>
      <c r="C354" s="9" t="s">
        <v>26</v>
      </c>
      <c r="D354" s="6" t="s">
        <v>269</v>
      </c>
      <c r="E354" s="9" t="s">
        <v>1138</v>
      </c>
      <c r="F354" s="7">
        <v>-4000</v>
      </c>
    </row>
    <row r="355" spans="1:6" x14ac:dyDescent="0.3">
      <c r="A355" s="5" t="s">
        <v>469</v>
      </c>
      <c r="B355" s="26">
        <v>43446</v>
      </c>
      <c r="C355" s="9" t="s">
        <v>42</v>
      </c>
      <c r="D355" s="6" t="s">
        <v>269</v>
      </c>
      <c r="E355" s="9" t="s">
        <v>1138</v>
      </c>
      <c r="F355" s="7">
        <v>-150</v>
      </c>
    </row>
    <row r="356" spans="1:6" x14ac:dyDescent="0.3">
      <c r="A356" s="5" t="s">
        <v>470</v>
      </c>
      <c r="B356" s="27">
        <v>43446</v>
      </c>
      <c r="C356" s="8" t="s">
        <v>87</v>
      </c>
      <c r="D356" s="6" t="s">
        <v>269</v>
      </c>
      <c r="E356" s="8" t="s">
        <v>1148</v>
      </c>
      <c r="F356" s="12">
        <v>20000</v>
      </c>
    </row>
    <row r="357" spans="1:6" x14ac:dyDescent="0.3">
      <c r="A357" s="5" t="s">
        <v>471</v>
      </c>
      <c r="B357" s="26">
        <v>43447</v>
      </c>
      <c r="C357" s="9" t="s">
        <v>26</v>
      </c>
      <c r="D357" s="6" t="s">
        <v>269</v>
      </c>
      <c r="E357" s="9" t="s">
        <v>1138</v>
      </c>
      <c r="F357" s="7">
        <v>-6000</v>
      </c>
    </row>
    <row r="358" spans="1:6" x14ac:dyDescent="0.3">
      <c r="A358" s="5" t="s">
        <v>472</v>
      </c>
      <c r="B358" s="30">
        <v>43447</v>
      </c>
      <c r="C358" s="11" t="s">
        <v>31</v>
      </c>
      <c r="D358" s="6" t="s">
        <v>269</v>
      </c>
      <c r="E358" s="9" t="s">
        <v>1138</v>
      </c>
      <c r="F358" s="7">
        <v>-5000</v>
      </c>
    </row>
    <row r="359" spans="1:6" x14ac:dyDescent="0.3">
      <c r="A359" s="5" t="s">
        <v>473</v>
      </c>
      <c r="B359" s="27">
        <v>43447</v>
      </c>
      <c r="C359" s="11" t="s">
        <v>37</v>
      </c>
      <c r="D359" s="6" t="s">
        <v>269</v>
      </c>
      <c r="E359" s="9" t="s">
        <v>1138</v>
      </c>
      <c r="F359" s="7">
        <v>-5000</v>
      </c>
    </row>
    <row r="360" spans="1:6" x14ac:dyDescent="0.3">
      <c r="A360" s="5" t="s">
        <v>474</v>
      </c>
      <c r="B360" s="26">
        <v>43447</v>
      </c>
      <c r="C360" s="9" t="s">
        <v>96</v>
      </c>
      <c r="D360" s="6" t="s">
        <v>269</v>
      </c>
      <c r="E360" s="9" t="s">
        <v>1138</v>
      </c>
      <c r="F360" s="7">
        <v>-260</v>
      </c>
    </row>
    <row r="361" spans="1:6" x14ac:dyDescent="0.3">
      <c r="A361" s="5" t="s">
        <v>475</v>
      </c>
      <c r="B361" s="30">
        <v>43447</v>
      </c>
      <c r="C361" s="9" t="s">
        <v>42</v>
      </c>
      <c r="D361" s="6" t="s">
        <v>269</v>
      </c>
      <c r="E361" s="9" t="s">
        <v>1138</v>
      </c>
      <c r="F361" s="7">
        <v>-100</v>
      </c>
    </row>
    <row r="362" spans="1:6" x14ac:dyDescent="0.3">
      <c r="A362" s="5" t="s">
        <v>476</v>
      </c>
      <c r="B362" s="30">
        <v>43447</v>
      </c>
      <c r="C362" s="8" t="s">
        <v>87</v>
      </c>
      <c r="D362" s="6" t="s">
        <v>269</v>
      </c>
      <c r="E362" s="8" t="s">
        <v>1148</v>
      </c>
      <c r="F362" s="12">
        <v>30000</v>
      </c>
    </row>
    <row r="363" spans="1:6" x14ac:dyDescent="0.3">
      <c r="A363" s="5" t="s">
        <v>477</v>
      </c>
      <c r="B363" s="30">
        <v>43447</v>
      </c>
      <c r="C363" s="8" t="s">
        <v>10</v>
      </c>
      <c r="D363" s="6" t="s">
        <v>269</v>
      </c>
      <c r="E363" s="9" t="s">
        <v>1138</v>
      </c>
      <c r="F363" s="7">
        <v>-1000</v>
      </c>
    </row>
    <row r="364" spans="1:6" x14ac:dyDescent="0.3">
      <c r="A364" s="5" t="s">
        <v>478</v>
      </c>
      <c r="B364" s="30">
        <v>43447</v>
      </c>
      <c r="C364" s="8" t="s">
        <v>97</v>
      </c>
      <c r="D364" s="6" t="s">
        <v>269</v>
      </c>
      <c r="E364" s="9" t="s">
        <v>1138</v>
      </c>
      <c r="F364" s="7">
        <v>-1000</v>
      </c>
    </row>
    <row r="365" spans="1:6" x14ac:dyDescent="0.3">
      <c r="A365" s="5" t="s">
        <v>479</v>
      </c>
      <c r="B365" s="30">
        <v>43448</v>
      </c>
      <c r="C365" s="8" t="s">
        <v>26</v>
      </c>
      <c r="D365" s="6" t="s">
        <v>269</v>
      </c>
      <c r="E365" s="9" t="s">
        <v>1138</v>
      </c>
      <c r="F365" s="7">
        <v>-5000</v>
      </c>
    </row>
    <row r="366" spans="1:6" x14ac:dyDescent="0.3">
      <c r="A366" s="5" t="s">
        <v>480</v>
      </c>
      <c r="B366" s="26">
        <v>43450</v>
      </c>
      <c r="C366" s="8" t="s">
        <v>42</v>
      </c>
      <c r="D366" s="6" t="s">
        <v>269</v>
      </c>
      <c r="E366" s="9" t="s">
        <v>1138</v>
      </c>
      <c r="F366" s="7">
        <v>-150</v>
      </c>
    </row>
    <row r="367" spans="1:6" x14ac:dyDescent="0.3">
      <c r="A367" s="5" t="s">
        <v>481</v>
      </c>
      <c r="B367" s="26">
        <v>43450</v>
      </c>
      <c r="C367" s="9" t="s">
        <v>98</v>
      </c>
      <c r="D367" s="6" t="s">
        <v>269</v>
      </c>
      <c r="E367" s="9" t="s">
        <v>1138</v>
      </c>
      <c r="F367" s="7">
        <v>-50</v>
      </c>
    </row>
    <row r="368" spans="1:6" x14ac:dyDescent="0.3">
      <c r="A368" s="5" t="s">
        <v>482</v>
      </c>
      <c r="B368" s="26">
        <v>43450</v>
      </c>
      <c r="C368" s="8" t="s">
        <v>26</v>
      </c>
      <c r="D368" s="6" t="s">
        <v>269</v>
      </c>
      <c r="E368" s="9" t="s">
        <v>1138</v>
      </c>
      <c r="F368" s="7">
        <v>-5000</v>
      </c>
    </row>
    <row r="369" spans="1:6" x14ac:dyDescent="0.3">
      <c r="A369" s="5" t="s">
        <v>483</v>
      </c>
      <c r="B369" s="26">
        <v>43451</v>
      </c>
      <c r="C369" s="8" t="s">
        <v>99</v>
      </c>
      <c r="D369" s="6" t="s">
        <v>269</v>
      </c>
      <c r="E369" s="8" t="s">
        <v>1148</v>
      </c>
      <c r="F369" s="12">
        <v>300000</v>
      </c>
    </row>
    <row r="370" spans="1:6" x14ac:dyDescent="0.3">
      <c r="A370" s="5" t="s">
        <v>484</v>
      </c>
      <c r="B370" s="27">
        <v>43451</v>
      </c>
      <c r="C370" s="11" t="s">
        <v>31</v>
      </c>
      <c r="D370" s="6" t="s">
        <v>269</v>
      </c>
      <c r="E370" s="9" t="s">
        <v>1138</v>
      </c>
      <c r="F370" s="7">
        <v>-12000</v>
      </c>
    </row>
    <row r="371" spans="1:6" x14ac:dyDescent="0.3">
      <c r="A371" s="5" t="s">
        <v>485</v>
      </c>
      <c r="B371" s="26">
        <v>43451</v>
      </c>
      <c r="C371" s="8" t="s">
        <v>42</v>
      </c>
      <c r="D371" s="6" t="s">
        <v>269</v>
      </c>
      <c r="E371" s="9" t="s">
        <v>1138</v>
      </c>
      <c r="F371" s="7">
        <v>-350</v>
      </c>
    </row>
    <row r="372" spans="1:6" x14ac:dyDescent="0.3">
      <c r="A372" s="5" t="s">
        <v>486</v>
      </c>
      <c r="B372" s="27">
        <v>43451</v>
      </c>
      <c r="C372" s="8" t="s">
        <v>100</v>
      </c>
      <c r="D372" s="6" t="s">
        <v>269</v>
      </c>
      <c r="E372" s="9" t="s">
        <v>1138</v>
      </c>
      <c r="F372" s="7">
        <v>-2000</v>
      </c>
    </row>
    <row r="373" spans="1:6" x14ac:dyDescent="0.3">
      <c r="A373" s="5" t="s">
        <v>487</v>
      </c>
      <c r="B373" s="25">
        <v>43451</v>
      </c>
      <c r="C373" s="8" t="s">
        <v>10</v>
      </c>
      <c r="D373" s="6" t="s">
        <v>269</v>
      </c>
      <c r="E373" s="9" t="s">
        <v>1138</v>
      </c>
      <c r="F373" s="7">
        <v>-2000</v>
      </c>
    </row>
    <row r="374" spans="1:6" x14ac:dyDescent="0.3">
      <c r="A374" s="5" t="s">
        <v>488</v>
      </c>
      <c r="B374" s="25">
        <v>43451</v>
      </c>
      <c r="C374" s="9" t="s">
        <v>7</v>
      </c>
      <c r="D374" s="6" t="s">
        <v>269</v>
      </c>
      <c r="E374" s="9" t="s">
        <v>1138</v>
      </c>
      <c r="F374" s="7">
        <v>-2000</v>
      </c>
    </row>
    <row r="375" spans="1:6" x14ac:dyDescent="0.3">
      <c r="A375" s="5" t="s">
        <v>489</v>
      </c>
      <c r="B375" s="25">
        <v>43451</v>
      </c>
      <c r="C375" s="8" t="s">
        <v>97</v>
      </c>
      <c r="D375" s="6" t="s">
        <v>269</v>
      </c>
      <c r="E375" s="9" t="s">
        <v>1138</v>
      </c>
      <c r="F375" s="7">
        <v>-1000</v>
      </c>
    </row>
    <row r="376" spans="1:6" x14ac:dyDescent="0.3">
      <c r="A376" s="5" t="s">
        <v>490</v>
      </c>
      <c r="B376" s="25">
        <v>43451</v>
      </c>
      <c r="C376" s="6" t="s">
        <v>101</v>
      </c>
      <c r="D376" s="6" t="s">
        <v>269</v>
      </c>
      <c r="E376" s="9" t="s">
        <v>1138</v>
      </c>
      <c r="F376" s="7">
        <v>-66000</v>
      </c>
    </row>
    <row r="377" spans="1:6" x14ac:dyDescent="0.3">
      <c r="A377" s="5" t="s">
        <v>491</v>
      </c>
      <c r="B377" s="25">
        <v>43451</v>
      </c>
      <c r="C377" s="8" t="s">
        <v>102</v>
      </c>
      <c r="D377" s="6" t="s">
        <v>269</v>
      </c>
      <c r="E377" s="9" t="s">
        <v>1138</v>
      </c>
      <c r="F377" s="7">
        <v>-30000</v>
      </c>
    </row>
    <row r="378" spans="1:6" x14ac:dyDescent="0.3">
      <c r="A378" s="5" t="s">
        <v>492</v>
      </c>
      <c r="B378" s="25">
        <v>43451</v>
      </c>
      <c r="C378" s="8" t="s">
        <v>6</v>
      </c>
      <c r="D378" s="6" t="s">
        <v>269</v>
      </c>
      <c r="E378" s="9" t="s">
        <v>1138</v>
      </c>
      <c r="F378" s="7">
        <v>-100000</v>
      </c>
    </row>
    <row r="379" spans="1:6" x14ac:dyDescent="0.3">
      <c r="A379" s="5" t="s">
        <v>493</v>
      </c>
      <c r="B379" s="25">
        <v>43451</v>
      </c>
      <c r="C379" s="11" t="s">
        <v>103</v>
      </c>
      <c r="D379" s="6" t="s">
        <v>269</v>
      </c>
      <c r="E379" s="9" t="s">
        <v>1138</v>
      </c>
      <c r="F379" s="7">
        <v>-60000</v>
      </c>
    </row>
    <row r="380" spans="1:6" x14ac:dyDescent="0.3">
      <c r="A380" s="5" t="s">
        <v>494</v>
      </c>
      <c r="B380" s="25">
        <v>43451</v>
      </c>
      <c r="C380" s="8" t="s">
        <v>62</v>
      </c>
      <c r="D380" s="6" t="s">
        <v>269</v>
      </c>
      <c r="E380" s="9" t="s">
        <v>1138</v>
      </c>
      <c r="F380" s="7">
        <v>-100</v>
      </c>
    </row>
    <row r="381" spans="1:6" x14ac:dyDescent="0.3">
      <c r="A381" s="5" t="s">
        <v>495</v>
      </c>
      <c r="B381" s="25">
        <v>43452</v>
      </c>
      <c r="C381" s="8" t="s">
        <v>26</v>
      </c>
      <c r="D381" s="6" t="s">
        <v>269</v>
      </c>
      <c r="E381" s="9" t="s">
        <v>1138</v>
      </c>
      <c r="F381" s="7">
        <v>-2000</v>
      </c>
    </row>
    <row r="382" spans="1:6" x14ac:dyDescent="0.3">
      <c r="A382" s="5" t="s">
        <v>496</v>
      </c>
      <c r="B382" s="26">
        <v>43452</v>
      </c>
      <c r="C382" s="11" t="s">
        <v>31</v>
      </c>
      <c r="D382" s="6" t="s">
        <v>269</v>
      </c>
      <c r="E382" s="9" t="s">
        <v>1138</v>
      </c>
      <c r="F382" s="7">
        <v>-2000</v>
      </c>
    </row>
    <row r="383" spans="1:6" x14ac:dyDescent="0.3">
      <c r="A383" s="5" t="s">
        <v>497</v>
      </c>
      <c r="B383" s="26">
        <v>43452</v>
      </c>
      <c r="C383" s="11" t="s">
        <v>42</v>
      </c>
      <c r="D383" s="6" t="s">
        <v>269</v>
      </c>
      <c r="E383" s="9" t="s">
        <v>1138</v>
      </c>
      <c r="F383" s="7">
        <v>-240</v>
      </c>
    </row>
    <row r="384" spans="1:6" x14ac:dyDescent="0.3">
      <c r="A384" s="5" t="s">
        <v>498</v>
      </c>
      <c r="B384" s="26">
        <v>43453</v>
      </c>
      <c r="C384" s="9" t="s">
        <v>84</v>
      </c>
      <c r="D384" s="6" t="s">
        <v>269</v>
      </c>
      <c r="E384" s="9" t="s">
        <v>1138</v>
      </c>
      <c r="F384" s="7">
        <v>-3750</v>
      </c>
    </row>
    <row r="385" spans="1:6" x14ac:dyDescent="0.3">
      <c r="A385" s="5" t="s">
        <v>499</v>
      </c>
      <c r="B385" s="26">
        <v>43453</v>
      </c>
      <c r="C385" s="8" t="s">
        <v>104</v>
      </c>
      <c r="D385" s="6" t="s">
        <v>269</v>
      </c>
      <c r="E385" s="9" t="s">
        <v>1138</v>
      </c>
      <c r="F385" s="7">
        <v>-240</v>
      </c>
    </row>
    <row r="386" spans="1:6" x14ac:dyDescent="0.3">
      <c r="A386" s="5" t="s">
        <v>500</v>
      </c>
      <c r="B386" s="26">
        <v>43453</v>
      </c>
      <c r="C386" s="11" t="s">
        <v>31</v>
      </c>
      <c r="D386" s="6" t="s">
        <v>269</v>
      </c>
      <c r="E386" s="9" t="s">
        <v>1138</v>
      </c>
      <c r="F386" s="7">
        <v>-10000</v>
      </c>
    </row>
    <row r="387" spans="1:6" x14ac:dyDescent="0.3">
      <c r="A387" s="5" t="s">
        <v>501</v>
      </c>
      <c r="B387" s="26">
        <v>43453</v>
      </c>
      <c r="C387" s="8" t="s">
        <v>26</v>
      </c>
      <c r="D387" s="6" t="s">
        <v>269</v>
      </c>
      <c r="E387" s="9" t="s">
        <v>1138</v>
      </c>
      <c r="F387" s="7">
        <v>-6000</v>
      </c>
    </row>
    <row r="388" spans="1:6" x14ac:dyDescent="0.3">
      <c r="A388" s="5" t="s">
        <v>502</v>
      </c>
      <c r="B388" s="26">
        <v>43453</v>
      </c>
      <c r="C388" s="8" t="s">
        <v>10</v>
      </c>
      <c r="D388" s="6" t="s">
        <v>269</v>
      </c>
      <c r="E388" s="9" t="s">
        <v>1138</v>
      </c>
      <c r="F388" s="7">
        <v>-500</v>
      </c>
    </row>
    <row r="389" spans="1:6" x14ac:dyDescent="0.3">
      <c r="A389" s="5" t="s">
        <v>503</v>
      </c>
      <c r="B389" s="26">
        <v>43454</v>
      </c>
      <c r="C389" s="8" t="s">
        <v>26</v>
      </c>
      <c r="D389" s="6" t="s">
        <v>269</v>
      </c>
      <c r="E389" s="9" t="s">
        <v>1138</v>
      </c>
      <c r="F389" s="7">
        <v>-3000</v>
      </c>
    </row>
    <row r="390" spans="1:6" x14ac:dyDescent="0.3">
      <c r="A390" s="5" t="s">
        <v>504</v>
      </c>
      <c r="B390" s="26">
        <v>43454</v>
      </c>
      <c r="C390" s="9" t="s">
        <v>105</v>
      </c>
      <c r="D390" s="6" t="s">
        <v>269</v>
      </c>
      <c r="E390" s="9" t="s">
        <v>1138</v>
      </c>
      <c r="F390" s="7">
        <v>-70</v>
      </c>
    </row>
    <row r="391" spans="1:6" x14ac:dyDescent="0.3">
      <c r="A391" s="5" t="s">
        <v>505</v>
      </c>
      <c r="B391" s="26">
        <v>43455</v>
      </c>
      <c r="C391" s="8" t="s">
        <v>42</v>
      </c>
      <c r="D391" s="6" t="s">
        <v>269</v>
      </c>
      <c r="E391" s="9" t="s">
        <v>1138</v>
      </c>
      <c r="F391" s="7">
        <v>-75</v>
      </c>
    </row>
    <row r="392" spans="1:6" x14ac:dyDescent="0.3">
      <c r="A392" s="5" t="s">
        <v>506</v>
      </c>
      <c r="B392" s="26">
        <v>43455</v>
      </c>
      <c r="C392" s="9" t="s">
        <v>7</v>
      </c>
      <c r="D392" s="6" t="s">
        <v>269</v>
      </c>
      <c r="E392" s="9" t="s">
        <v>1138</v>
      </c>
      <c r="F392" s="7">
        <v>-1000</v>
      </c>
    </row>
    <row r="393" spans="1:6" x14ac:dyDescent="0.3">
      <c r="A393" s="5" t="s">
        <v>507</v>
      </c>
      <c r="B393" s="27">
        <v>43455</v>
      </c>
      <c r="C393" s="9" t="s">
        <v>94</v>
      </c>
      <c r="D393" s="6" t="s">
        <v>269</v>
      </c>
      <c r="E393" s="9" t="s">
        <v>1138</v>
      </c>
      <c r="F393" s="7">
        <v>-1000</v>
      </c>
    </row>
    <row r="394" spans="1:6" x14ac:dyDescent="0.3">
      <c r="A394" s="5" t="s">
        <v>508</v>
      </c>
      <c r="B394" s="26">
        <v>43455</v>
      </c>
      <c r="C394" s="9" t="s">
        <v>26</v>
      </c>
      <c r="D394" s="6" t="s">
        <v>269</v>
      </c>
      <c r="E394" s="9" t="s">
        <v>1138</v>
      </c>
      <c r="F394" s="7">
        <v>-7000</v>
      </c>
    </row>
    <row r="395" spans="1:6" x14ac:dyDescent="0.3">
      <c r="A395" s="5" t="s">
        <v>509</v>
      </c>
      <c r="B395" s="26">
        <v>43456</v>
      </c>
      <c r="C395" s="11" t="s">
        <v>31</v>
      </c>
      <c r="D395" s="6" t="s">
        <v>269</v>
      </c>
      <c r="E395" s="9" t="s">
        <v>1138</v>
      </c>
      <c r="F395" s="7">
        <v>-4000</v>
      </c>
    </row>
    <row r="396" spans="1:6" x14ac:dyDescent="0.3">
      <c r="A396" s="5" t="s">
        <v>510</v>
      </c>
      <c r="B396" s="26">
        <v>43456</v>
      </c>
      <c r="C396" s="9" t="s">
        <v>26</v>
      </c>
      <c r="D396" s="6" t="s">
        <v>269</v>
      </c>
      <c r="E396" s="9" t="s">
        <v>1138</v>
      </c>
      <c r="F396" s="7">
        <v>-3000</v>
      </c>
    </row>
    <row r="397" spans="1:6" x14ac:dyDescent="0.3">
      <c r="A397" s="5" t="s">
        <v>511</v>
      </c>
      <c r="B397" s="26">
        <v>43456</v>
      </c>
      <c r="C397" s="9" t="s">
        <v>42</v>
      </c>
      <c r="D397" s="6" t="s">
        <v>269</v>
      </c>
      <c r="E397" s="9" t="s">
        <v>1138</v>
      </c>
      <c r="F397" s="7">
        <v>-100</v>
      </c>
    </row>
    <row r="398" spans="1:6" x14ac:dyDescent="0.3">
      <c r="A398" s="5" t="s">
        <v>512</v>
      </c>
      <c r="B398" s="27">
        <v>43457</v>
      </c>
      <c r="C398" s="8" t="s">
        <v>87</v>
      </c>
      <c r="D398" s="6" t="s">
        <v>269</v>
      </c>
      <c r="E398" s="8" t="s">
        <v>1148</v>
      </c>
      <c r="F398" s="12">
        <v>49000</v>
      </c>
    </row>
    <row r="399" spans="1:6" x14ac:dyDescent="0.3">
      <c r="A399" s="5" t="s">
        <v>513</v>
      </c>
      <c r="B399" s="26">
        <v>43457</v>
      </c>
      <c r="C399" s="8" t="s">
        <v>106</v>
      </c>
      <c r="D399" s="6" t="s">
        <v>269</v>
      </c>
      <c r="E399" s="9" t="s">
        <v>1138</v>
      </c>
      <c r="F399" s="7">
        <v>-850</v>
      </c>
    </row>
    <row r="400" spans="1:6" x14ac:dyDescent="0.3">
      <c r="A400" s="5" t="s">
        <v>514</v>
      </c>
      <c r="B400" s="27">
        <v>43457</v>
      </c>
      <c r="C400" s="8" t="s">
        <v>107</v>
      </c>
      <c r="D400" s="6" t="s">
        <v>269</v>
      </c>
      <c r="E400" s="9" t="s">
        <v>1138</v>
      </c>
      <c r="F400" s="7">
        <v>-60</v>
      </c>
    </row>
    <row r="401" spans="1:6" x14ac:dyDescent="0.3">
      <c r="A401" s="5" t="s">
        <v>515</v>
      </c>
      <c r="B401" s="26">
        <v>43457</v>
      </c>
      <c r="C401" s="8" t="s">
        <v>26</v>
      </c>
      <c r="D401" s="6" t="s">
        <v>269</v>
      </c>
      <c r="E401" s="9" t="s">
        <v>1138</v>
      </c>
      <c r="F401" s="7">
        <v>-1000</v>
      </c>
    </row>
    <row r="402" spans="1:6" x14ac:dyDescent="0.3">
      <c r="A402" s="5" t="s">
        <v>516</v>
      </c>
      <c r="B402" s="30">
        <v>43457</v>
      </c>
      <c r="C402" s="8" t="s">
        <v>102</v>
      </c>
      <c r="D402" s="6" t="s">
        <v>269</v>
      </c>
      <c r="E402" s="9" t="s">
        <v>1138</v>
      </c>
      <c r="F402" s="7">
        <v>-30000</v>
      </c>
    </row>
    <row r="403" spans="1:6" x14ac:dyDescent="0.3">
      <c r="A403" s="5" t="s">
        <v>517</v>
      </c>
      <c r="B403" s="27">
        <v>43457</v>
      </c>
      <c r="C403" s="11" t="s">
        <v>31</v>
      </c>
      <c r="D403" s="6" t="s">
        <v>269</v>
      </c>
      <c r="E403" s="9" t="s">
        <v>1138</v>
      </c>
      <c r="F403" s="7">
        <v>-10000</v>
      </c>
    </row>
    <row r="404" spans="1:6" x14ac:dyDescent="0.3">
      <c r="A404" s="5" t="s">
        <v>518</v>
      </c>
      <c r="B404" s="26">
        <v>43459</v>
      </c>
      <c r="C404" s="11" t="s">
        <v>31</v>
      </c>
      <c r="D404" s="6" t="s">
        <v>269</v>
      </c>
      <c r="E404" s="9" t="s">
        <v>1138</v>
      </c>
      <c r="F404" s="7">
        <v>-5000</v>
      </c>
    </row>
    <row r="405" spans="1:6" x14ac:dyDescent="0.3">
      <c r="A405" s="5" t="s">
        <v>519</v>
      </c>
      <c r="B405" s="26">
        <v>43459</v>
      </c>
      <c r="C405" s="9" t="s">
        <v>7</v>
      </c>
      <c r="D405" s="6" t="s">
        <v>269</v>
      </c>
      <c r="E405" s="9" t="s">
        <v>1138</v>
      </c>
      <c r="F405" s="7">
        <v>-1000</v>
      </c>
    </row>
    <row r="406" spans="1:6" x14ac:dyDescent="0.3">
      <c r="A406" s="5" t="s">
        <v>520</v>
      </c>
      <c r="B406" s="26">
        <v>43459</v>
      </c>
      <c r="C406" s="9" t="s">
        <v>94</v>
      </c>
      <c r="D406" s="6" t="s">
        <v>269</v>
      </c>
      <c r="E406" s="9" t="s">
        <v>1138</v>
      </c>
      <c r="F406" s="7">
        <v>-1000</v>
      </c>
    </row>
    <row r="407" spans="1:6" x14ac:dyDescent="0.3">
      <c r="A407" s="5" t="s">
        <v>521</v>
      </c>
      <c r="B407" s="26">
        <v>43459</v>
      </c>
      <c r="C407" s="8" t="s">
        <v>42</v>
      </c>
      <c r="D407" s="6" t="s">
        <v>269</v>
      </c>
      <c r="E407" s="9" t="s">
        <v>1138</v>
      </c>
      <c r="F407" s="7">
        <v>-50</v>
      </c>
    </row>
    <row r="408" spans="1:6" x14ac:dyDescent="0.3">
      <c r="A408" s="5" t="s">
        <v>522</v>
      </c>
      <c r="B408" s="26">
        <v>43460</v>
      </c>
      <c r="C408" s="8" t="s">
        <v>87</v>
      </c>
      <c r="D408" s="6" t="s">
        <v>269</v>
      </c>
      <c r="E408" s="8" t="s">
        <v>1148</v>
      </c>
      <c r="F408" s="12">
        <v>50000</v>
      </c>
    </row>
    <row r="409" spans="1:6" x14ac:dyDescent="0.3">
      <c r="A409" s="5" t="s">
        <v>523</v>
      </c>
      <c r="B409" s="26">
        <v>43460</v>
      </c>
      <c r="C409" s="11" t="s">
        <v>31</v>
      </c>
      <c r="D409" s="6" t="s">
        <v>269</v>
      </c>
      <c r="E409" s="9" t="s">
        <v>1138</v>
      </c>
      <c r="F409" s="7">
        <v>-20000</v>
      </c>
    </row>
    <row r="410" spans="1:6" x14ac:dyDescent="0.3">
      <c r="A410" s="5" t="s">
        <v>524</v>
      </c>
      <c r="B410" s="26">
        <v>43460</v>
      </c>
      <c r="C410" s="9" t="s">
        <v>7</v>
      </c>
      <c r="D410" s="6" t="s">
        <v>269</v>
      </c>
      <c r="E410" s="9" t="s">
        <v>1138</v>
      </c>
      <c r="F410" s="7">
        <v>-1000</v>
      </c>
    </row>
    <row r="411" spans="1:6" x14ac:dyDescent="0.3">
      <c r="A411" s="5" t="s">
        <v>525</v>
      </c>
      <c r="B411" s="26">
        <v>43460</v>
      </c>
      <c r="C411" s="8" t="s">
        <v>108</v>
      </c>
      <c r="D411" s="6" t="s">
        <v>269</v>
      </c>
      <c r="E411" s="9" t="s">
        <v>1138</v>
      </c>
      <c r="F411" s="7">
        <v>-40</v>
      </c>
    </row>
    <row r="412" spans="1:6" x14ac:dyDescent="0.3">
      <c r="A412" s="5" t="s">
        <v>526</v>
      </c>
      <c r="B412" s="27">
        <v>43461</v>
      </c>
      <c r="C412" s="8" t="s">
        <v>42</v>
      </c>
      <c r="D412" s="6" t="s">
        <v>269</v>
      </c>
      <c r="E412" s="9" t="s">
        <v>1138</v>
      </c>
      <c r="F412" s="7">
        <v>-50</v>
      </c>
    </row>
    <row r="413" spans="1:6" x14ac:dyDescent="0.3">
      <c r="A413" s="5" t="s">
        <v>527</v>
      </c>
      <c r="B413" s="27">
        <v>43463</v>
      </c>
      <c r="C413" s="8" t="s">
        <v>87</v>
      </c>
      <c r="D413" s="6" t="s">
        <v>269</v>
      </c>
      <c r="E413" s="8" t="s">
        <v>1148</v>
      </c>
      <c r="F413" s="12">
        <v>100000</v>
      </c>
    </row>
    <row r="414" spans="1:6" x14ac:dyDescent="0.3">
      <c r="A414" s="5" t="s">
        <v>528</v>
      </c>
      <c r="B414" s="27">
        <v>43463</v>
      </c>
      <c r="C414" s="8" t="s">
        <v>102</v>
      </c>
      <c r="D414" s="6" t="s">
        <v>269</v>
      </c>
      <c r="E414" s="9" t="s">
        <v>1138</v>
      </c>
      <c r="F414" s="7">
        <v>-30000</v>
      </c>
    </row>
    <row r="415" spans="1:6" x14ac:dyDescent="0.3">
      <c r="A415" s="5" t="s">
        <v>529</v>
      </c>
      <c r="B415" s="26">
        <v>43463</v>
      </c>
      <c r="C415" s="6" t="s">
        <v>109</v>
      </c>
      <c r="D415" s="6" t="s">
        <v>269</v>
      </c>
      <c r="E415" s="9" t="s">
        <v>1138</v>
      </c>
      <c r="F415" s="7">
        <v>-22000</v>
      </c>
    </row>
    <row r="416" spans="1:6" x14ac:dyDescent="0.3">
      <c r="A416" s="5" t="s">
        <v>530</v>
      </c>
      <c r="B416" s="26">
        <v>43463</v>
      </c>
      <c r="C416" s="8" t="s">
        <v>110</v>
      </c>
      <c r="D416" s="6" t="s">
        <v>269</v>
      </c>
      <c r="E416" s="9" t="s">
        <v>1138</v>
      </c>
      <c r="F416" s="7">
        <v>-2000</v>
      </c>
    </row>
    <row r="417" spans="1:6" x14ac:dyDescent="0.3">
      <c r="A417" s="5" t="s">
        <v>531</v>
      </c>
      <c r="B417" s="25">
        <v>43463</v>
      </c>
      <c r="C417" s="8" t="s">
        <v>62</v>
      </c>
      <c r="D417" s="6" t="s">
        <v>269</v>
      </c>
      <c r="E417" s="9" t="s">
        <v>1138</v>
      </c>
      <c r="F417" s="7">
        <v>-150</v>
      </c>
    </row>
    <row r="418" spans="1:6" x14ac:dyDescent="0.3">
      <c r="A418" s="5" t="s">
        <v>532</v>
      </c>
      <c r="B418" s="25">
        <v>43463</v>
      </c>
      <c r="C418" s="11" t="s">
        <v>31</v>
      </c>
      <c r="D418" s="6" t="s">
        <v>269</v>
      </c>
      <c r="E418" s="9" t="s">
        <v>1138</v>
      </c>
      <c r="F418" s="7">
        <v>-20000</v>
      </c>
    </row>
    <row r="419" spans="1:6" x14ac:dyDescent="0.3">
      <c r="A419" s="5" t="s">
        <v>533</v>
      </c>
      <c r="B419" s="25">
        <v>43463</v>
      </c>
      <c r="C419" s="9" t="s">
        <v>94</v>
      </c>
      <c r="D419" s="6" t="s">
        <v>269</v>
      </c>
      <c r="E419" s="9" t="s">
        <v>1138</v>
      </c>
      <c r="F419" s="7">
        <v>-1000</v>
      </c>
    </row>
    <row r="420" spans="1:6" x14ac:dyDescent="0.3">
      <c r="A420" s="5" t="s">
        <v>534</v>
      </c>
      <c r="B420" s="25">
        <v>43463</v>
      </c>
      <c r="C420" s="8" t="s">
        <v>69</v>
      </c>
      <c r="D420" s="6" t="s">
        <v>269</v>
      </c>
      <c r="E420" s="9" t="s">
        <v>1138</v>
      </c>
      <c r="F420" s="7">
        <v>-30000</v>
      </c>
    </row>
    <row r="421" spans="1:6" x14ac:dyDescent="0.3">
      <c r="A421" s="5" t="s">
        <v>535</v>
      </c>
      <c r="B421" s="25">
        <v>43463</v>
      </c>
      <c r="C421" s="9" t="s">
        <v>7</v>
      </c>
      <c r="D421" s="6" t="s">
        <v>269</v>
      </c>
      <c r="E421" s="9" t="s">
        <v>1138</v>
      </c>
      <c r="F421" s="7">
        <v>-1000</v>
      </c>
    </row>
    <row r="422" spans="1:6" x14ac:dyDescent="0.3">
      <c r="A422" s="5" t="s">
        <v>536</v>
      </c>
      <c r="B422" s="25">
        <v>43463</v>
      </c>
      <c r="C422" s="8" t="s">
        <v>97</v>
      </c>
      <c r="D422" s="6" t="s">
        <v>269</v>
      </c>
      <c r="E422" s="9" t="s">
        <v>1138</v>
      </c>
      <c r="F422" s="7">
        <v>-1000</v>
      </c>
    </row>
    <row r="423" spans="1:6" x14ac:dyDescent="0.3">
      <c r="A423" s="5" t="s">
        <v>537</v>
      </c>
      <c r="B423" s="25">
        <v>43463</v>
      </c>
      <c r="C423" s="8" t="s">
        <v>42</v>
      </c>
      <c r="D423" s="6" t="s">
        <v>269</v>
      </c>
      <c r="E423" s="9" t="s">
        <v>1138</v>
      </c>
      <c r="F423" s="7">
        <v>-200</v>
      </c>
    </row>
    <row r="424" spans="1:6" x14ac:dyDescent="0.3">
      <c r="A424" s="5" t="s">
        <v>538</v>
      </c>
      <c r="B424" s="25">
        <v>43463</v>
      </c>
      <c r="C424" s="11" t="s">
        <v>100</v>
      </c>
      <c r="D424" s="6" t="s">
        <v>269</v>
      </c>
      <c r="E424" s="9" t="s">
        <v>1138</v>
      </c>
      <c r="F424" s="7">
        <v>-1000</v>
      </c>
    </row>
    <row r="425" spans="1:6" x14ac:dyDescent="0.3">
      <c r="A425" s="5" t="s">
        <v>539</v>
      </c>
      <c r="B425" s="26">
        <v>43464</v>
      </c>
      <c r="C425" s="11" t="s">
        <v>31</v>
      </c>
      <c r="D425" s="6" t="s">
        <v>269</v>
      </c>
      <c r="E425" s="9" t="s">
        <v>1138</v>
      </c>
      <c r="F425" s="7">
        <v>-13000</v>
      </c>
    </row>
    <row r="426" spans="1:6" x14ac:dyDescent="0.3">
      <c r="A426" s="5" t="s">
        <v>540</v>
      </c>
      <c r="B426" s="26">
        <v>43465</v>
      </c>
      <c r="C426" s="11" t="s">
        <v>42</v>
      </c>
      <c r="D426" s="6" t="s">
        <v>269</v>
      </c>
      <c r="E426" s="9" t="s">
        <v>1138</v>
      </c>
      <c r="F426" s="7">
        <v>-75</v>
      </c>
    </row>
    <row r="427" spans="1:6" x14ac:dyDescent="0.3">
      <c r="A427" s="5" t="s">
        <v>541</v>
      </c>
      <c r="B427" s="26">
        <v>43466</v>
      </c>
      <c r="C427" s="11" t="s">
        <v>31</v>
      </c>
      <c r="D427" s="6" t="s">
        <v>269</v>
      </c>
      <c r="E427" s="9" t="s">
        <v>1138</v>
      </c>
      <c r="F427" s="7">
        <v>-3000</v>
      </c>
    </row>
    <row r="428" spans="1:6" x14ac:dyDescent="0.3">
      <c r="A428" s="5" t="s">
        <v>542</v>
      </c>
      <c r="B428" s="26">
        <v>43466</v>
      </c>
      <c r="C428" s="11" t="s">
        <v>42</v>
      </c>
      <c r="D428" s="6" t="s">
        <v>269</v>
      </c>
      <c r="E428" s="9" t="s">
        <v>1138</v>
      </c>
      <c r="F428" s="7">
        <v>-50</v>
      </c>
    </row>
    <row r="429" spans="1:6" x14ac:dyDescent="0.3">
      <c r="A429" s="5" t="s">
        <v>543</v>
      </c>
      <c r="B429" s="26">
        <v>43467</v>
      </c>
      <c r="C429" s="11" t="s">
        <v>31</v>
      </c>
      <c r="D429" s="6" t="s">
        <v>269</v>
      </c>
      <c r="E429" s="9" t="s">
        <v>1138</v>
      </c>
      <c r="F429" s="7">
        <v>-10000</v>
      </c>
    </row>
    <row r="430" spans="1:6" x14ac:dyDescent="0.3">
      <c r="A430" s="5" t="s">
        <v>544</v>
      </c>
      <c r="B430" s="26">
        <v>43467</v>
      </c>
      <c r="C430" s="11" t="s">
        <v>106</v>
      </c>
      <c r="D430" s="6" t="s">
        <v>269</v>
      </c>
      <c r="E430" s="9" t="s">
        <v>1138</v>
      </c>
      <c r="F430" s="7">
        <v>-560</v>
      </c>
    </row>
    <row r="431" spans="1:6" x14ac:dyDescent="0.3">
      <c r="A431" s="5" t="s">
        <v>545</v>
      </c>
      <c r="B431" s="26">
        <v>43468</v>
      </c>
      <c r="C431" s="8" t="s">
        <v>87</v>
      </c>
      <c r="D431" s="6" t="s">
        <v>269</v>
      </c>
      <c r="E431" s="8" t="s">
        <v>1148</v>
      </c>
      <c r="F431" s="12">
        <v>250000</v>
      </c>
    </row>
    <row r="432" spans="1:6" x14ac:dyDescent="0.3">
      <c r="A432" s="5" t="s">
        <v>546</v>
      </c>
      <c r="B432" s="26">
        <v>43468</v>
      </c>
      <c r="C432" s="11" t="s">
        <v>31</v>
      </c>
      <c r="D432" s="6" t="s">
        <v>269</v>
      </c>
      <c r="E432" s="9" t="s">
        <v>1138</v>
      </c>
      <c r="F432" s="7">
        <v>-100000</v>
      </c>
    </row>
    <row r="433" spans="1:6" x14ac:dyDescent="0.3">
      <c r="A433" s="5" t="s">
        <v>547</v>
      </c>
      <c r="B433" s="26">
        <v>43468</v>
      </c>
      <c r="C433" s="11" t="s">
        <v>26</v>
      </c>
      <c r="D433" s="6" t="s">
        <v>269</v>
      </c>
      <c r="E433" s="9" t="s">
        <v>1138</v>
      </c>
      <c r="F433" s="7">
        <v>-20000</v>
      </c>
    </row>
    <row r="434" spans="1:6" x14ac:dyDescent="0.3">
      <c r="A434" s="5" t="s">
        <v>548</v>
      </c>
      <c r="B434" s="26">
        <v>43468</v>
      </c>
      <c r="C434" s="11" t="s">
        <v>102</v>
      </c>
      <c r="D434" s="6" t="s">
        <v>269</v>
      </c>
      <c r="E434" s="9" t="s">
        <v>1138</v>
      </c>
      <c r="F434" s="7">
        <v>-40000</v>
      </c>
    </row>
    <row r="435" spans="1:6" x14ac:dyDescent="0.3">
      <c r="A435" s="5" t="s">
        <v>549</v>
      </c>
      <c r="B435" s="26">
        <v>43468</v>
      </c>
      <c r="C435" s="9" t="s">
        <v>111</v>
      </c>
      <c r="D435" s="6" t="s">
        <v>269</v>
      </c>
      <c r="E435" s="9" t="s">
        <v>1138</v>
      </c>
      <c r="F435" s="7">
        <v>-15800</v>
      </c>
    </row>
    <row r="436" spans="1:6" x14ac:dyDescent="0.3">
      <c r="A436" s="5" t="s">
        <v>550</v>
      </c>
      <c r="B436" s="26">
        <v>43469</v>
      </c>
      <c r="C436" s="11" t="s">
        <v>69</v>
      </c>
      <c r="D436" s="6" t="s">
        <v>269</v>
      </c>
      <c r="E436" s="9" t="s">
        <v>1138</v>
      </c>
      <c r="F436" s="7">
        <v>-30000</v>
      </c>
    </row>
    <row r="437" spans="1:6" x14ac:dyDescent="0.3">
      <c r="A437" s="5" t="s">
        <v>551</v>
      </c>
      <c r="B437" s="26">
        <v>43469</v>
      </c>
      <c r="C437" s="11" t="s">
        <v>112</v>
      </c>
      <c r="D437" s="6" t="s">
        <v>269</v>
      </c>
      <c r="E437" s="9" t="s">
        <v>1138</v>
      </c>
      <c r="F437" s="7">
        <v>-22650</v>
      </c>
    </row>
    <row r="438" spans="1:6" x14ac:dyDescent="0.3">
      <c r="A438" s="5" t="s">
        <v>552</v>
      </c>
      <c r="B438" s="26">
        <v>43469</v>
      </c>
      <c r="C438" s="11" t="s">
        <v>113</v>
      </c>
      <c r="D438" s="6" t="s">
        <v>269</v>
      </c>
      <c r="E438" s="9" t="s">
        <v>1138</v>
      </c>
      <c r="F438" s="7">
        <v>-20000</v>
      </c>
    </row>
    <row r="439" spans="1:6" x14ac:dyDescent="0.3">
      <c r="A439" s="5" t="s">
        <v>553</v>
      </c>
      <c r="B439" s="26">
        <v>43469</v>
      </c>
      <c r="C439" s="11" t="s">
        <v>42</v>
      </c>
      <c r="D439" s="6" t="s">
        <v>269</v>
      </c>
      <c r="E439" s="9" t="s">
        <v>1138</v>
      </c>
      <c r="F439" s="7">
        <v>-50</v>
      </c>
    </row>
    <row r="440" spans="1:6" x14ac:dyDescent="0.3">
      <c r="A440" s="5" t="s">
        <v>554</v>
      </c>
      <c r="B440" s="26">
        <v>43469</v>
      </c>
      <c r="C440" s="9" t="s">
        <v>114</v>
      </c>
      <c r="D440" s="6" t="s">
        <v>269</v>
      </c>
      <c r="E440" s="9" t="s">
        <v>1138</v>
      </c>
      <c r="F440" s="7">
        <v>-9600</v>
      </c>
    </row>
    <row r="441" spans="1:6" x14ac:dyDescent="0.3">
      <c r="A441" s="5" t="s">
        <v>555</v>
      </c>
      <c r="B441" s="27">
        <v>43470</v>
      </c>
      <c r="C441" s="8" t="s">
        <v>87</v>
      </c>
      <c r="D441" s="6" t="s">
        <v>269</v>
      </c>
      <c r="E441" s="8" t="s">
        <v>1148</v>
      </c>
      <c r="F441" s="12">
        <v>200000</v>
      </c>
    </row>
    <row r="442" spans="1:6" x14ac:dyDescent="0.3">
      <c r="A442" s="5" t="s">
        <v>556</v>
      </c>
      <c r="B442" s="26">
        <v>43470</v>
      </c>
      <c r="C442" s="11" t="s">
        <v>6</v>
      </c>
      <c r="D442" s="6" t="s">
        <v>269</v>
      </c>
      <c r="E442" s="9" t="s">
        <v>1138</v>
      </c>
      <c r="F442" s="7">
        <v>-100000</v>
      </c>
    </row>
    <row r="443" spans="1:6" x14ac:dyDescent="0.3">
      <c r="A443" s="5" t="s">
        <v>557</v>
      </c>
      <c r="B443" s="26">
        <v>43470</v>
      </c>
      <c r="C443" s="11" t="s">
        <v>42</v>
      </c>
      <c r="D443" s="6" t="s">
        <v>269</v>
      </c>
      <c r="E443" s="9" t="s">
        <v>1138</v>
      </c>
      <c r="F443" s="7">
        <v>-50</v>
      </c>
    </row>
    <row r="444" spans="1:6" x14ac:dyDescent="0.3">
      <c r="A444" s="5" t="s">
        <v>558</v>
      </c>
      <c r="B444" s="26">
        <v>43471</v>
      </c>
      <c r="C444" s="11" t="s">
        <v>106</v>
      </c>
      <c r="D444" s="6" t="s">
        <v>269</v>
      </c>
      <c r="E444" s="9" t="s">
        <v>1138</v>
      </c>
      <c r="F444" s="7">
        <v>-6615</v>
      </c>
    </row>
    <row r="445" spans="1:6" x14ac:dyDescent="0.3">
      <c r="A445" s="5" t="s">
        <v>559</v>
      </c>
      <c r="B445" s="26">
        <v>43472</v>
      </c>
      <c r="C445" s="9" t="s">
        <v>94</v>
      </c>
      <c r="D445" s="6" t="s">
        <v>269</v>
      </c>
      <c r="E445" s="9" t="s">
        <v>1138</v>
      </c>
      <c r="F445" s="7">
        <v>-400</v>
      </c>
    </row>
    <row r="446" spans="1:6" x14ac:dyDescent="0.3">
      <c r="A446" s="5" t="s">
        <v>560</v>
      </c>
      <c r="B446" s="26">
        <v>43472</v>
      </c>
      <c r="C446" s="11" t="s">
        <v>42</v>
      </c>
      <c r="D446" s="6" t="s">
        <v>269</v>
      </c>
      <c r="E446" s="9" t="s">
        <v>1138</v>
      </c>
      <c r="F446" s="7">
        <v>-100</v>
      </c>
    </row>
    <row r="447" spans="1:6" x14ac:dyDescent="0.3">
      <c r="A447" s="5" t="s">
        <v>561</v>
      </c>
      <c r="B447" s="26">
        <v>43472</v>
      </c>
      <c r="C447" s="11" t="s">
        <v>115</v>
      </c>
      <c r="D447" s="6" t="s">
        <v>269</v>
      </c>
      <c r="E447" s="9" t="s">
        <v>1138</v>
      </c>
      <c r="F447" s="7">
        <v>-60000</v>
      </c>
    </row>
    <row r="448" spans="1:6" x14ac:dyDescent="0.3">
      <c r="A448" s="5" t="s">
        <v>562</v>
      </c>
      <c r="B448" s="26">
        <v>43472</v>
      </c>
      <c r="C448" s="11" t="s">
        <v>69</v>
      </c>
      <c r="D448" s="6" t="s">
        <v>269</v>
      </c>
      <c r="E448" s="9" t="s">
        <v>1138</v>
      </c>
      <c r="F448" s="7">
        <v>-2000</v>
      </c>
    </row>
    <row r="449" spans="1:6" x14ac:dyDescent="0.3">
      <c r="A449" s="5" t="s">
        <v>563</v>
      </c>
      <c r="B449" s="26">
        <v>43473</v>
      </c>
      <c r="C449" s="8" t="s">
        <v>36</v>
      </c>
      <c r="D449" s="6" t="s">
        <v>269</v>
      </c>
      <c r="E449" s="8" t="s">
        <v>1148</v>
      </c>
      <c r="F449" s="12">
        <v>100000</v>
      </c>
    </row>
    <row r="450" spans="1:6" x14ac:dyDescent="0.3">
      <c r="A450" s="5" t="s">
        <v>564</v>
      </c>
      <c r="B450" s="26">
        <v>43473</v>
      </c>
      <c r="C450" s="11" t="s">
        <v>31</v>
      </c>
      <c r="D450" s="6" t="s">
        <v>269</v>
      </c>
      <c r="E450" s="9" t="s">
        <v>1138</v>
      </c>
      <c r="F450" s="7">
        <v>-30000</v>
      </c>
    </row>
    <row r="451" spans="1:6" x14ac:dyDescent="0.3">
      <c r="A451" s="5" t="s">
        <v>565</v>
      </c>
      <c r="B451" s="26">
        <v>43474</v>
      </c>
      <c r="C451" s="8" t="s">
        <v>87</v>
      </c>
      <c r="D451" s="6" t="s">
        <v>269</v>
      </c>
      <c r="E451" s="8" t="s">
        <v>1148</v>
      </c>
      <c r="F451" s="12">
        <v>130000</v>
      </c>
    </row>
    <row r="452" spans="1:6" x14ac:dyDescent="0.3">
      <c r="A452" s="5" t="s">
        <v>566</v>
      </c>
      <c r="B452" s="26">
        <v>43474</v>
      </c>
      <c r="C452" s="8" t="s">
        <v>87</v>
      </c>
      <c r="D452" s="6" t="s">
        <v>269</v>
      </c>
      <c r="E452" s="8" t="s">
        <v>1148</v>
      </c>
      <c r="F452" s="12">
        <v>70000</v>
      </c>
    </row>
    <row r="453" spans="1:6" x14ac:dyDescent="0.3">
      <c r="A453" s="5" t="s">
        <v>567</v>
      </c>
      <c r="B453" s="26">
        <v>43474</v>
      </c>
      <c r="C453" s="9" t="s">
        <v>7</v>
      </c>
      <c r="D453" s="6" t="s">
        <v>269</v>
      </c>
      <c r="E453" s="9" t="s">
        <v>1138</v>
      </c>
      <c r="F453" s="7">
        <v>-2000</v>
      </c>
    </row>
    <row r="454" spans="1:6" x14ac:dyDescent="0.3">
      <c r="A454" s="5" t="s">
        <v>568</v>
      </c>
      <c r="B454" s="26">
        <v>43474</v>
      </c>
      <c r="C454" s="11" t="s">
        <v>116</v>
      </c>
      <c r="D454" s="6" t="s">
        <v>269</v>
      </c>
      <c r="E454" s="9" t="s">
        <v>1138</v>
      </c>
      <c r="F454" s="7">
        <v>-1600</v>
      </c>
    </row>
    <row r="455" spans="1:6" x14ac:dyDescent="0.3">
      <c r="A455" s="5" t="s">
        <v>569</v>
      </c>
      <c r="B455" s="26">
        <v>43474</v>
      </c>
      <c r="C455" s="11" t="s">
        <v>117</v>
      </c>
      <c r="D455" s="6" t="s">
        <v>269</v>
      </c>
      <c r="E455" s="9" t="s">
        <v>1138</v>
      </c>
      <c r="F455" s="7">
        <v>-2950</v>
      </c>
    </row>
    <row r="456" spans="1:6" x14ac:dyDescent="0.3">
      <c r="A456" s="5" t="s">
        <v>570</v>
      </c>
      <c r="B456" s="26">
        <v>43474</v>
      </c>
      <c r="C456" s="11" t="s">
        <v>118</v>
      </c>
      <c r="D456" s="6" t="s">
        <v>269</v>
      </c>
      <c r="E456" s="9" t="s">
        <v>1138</v>
      </c>
      <c r="F456" s="7">
        <v>-1250</v>
      </c>
    </row>
    <row r="457" spans="1:6" x14ac:dyDescent="0.3">
      <c r="A457" s="5" t="s">
        <v>571</v>
      </c>
      <c r="B457" s="26">
        <v>43474</v>
      </c>
      <c r="C457" s="11" t="s">
        <v>102</v>
      </c>
      <c r="D457" s="6" t="s">
        <v>269</v>
      </c>
      <c r="E457" s="9" t="s">
        <v>1138</v>
      </c>
      <c r="F457" s="7">
        <v>-20000</v>
      </c>
    </row>
    <row r="458" spans="1:6" x14ac:dyDescent="0.3">
      <c r="A458" s="5" t="s">
        <v>572</v>
      </c>
      <c r="B458" s="26">
        <v>43474</v>
      </c>
      <c r="C458" s="11" t="s">
        <v>31</v>
      </c>
      <c r="D458" s="6" t="s">
        <v>269</v>
      </c>
      <c r="E458" s="9" t="s">
        <v>1138</v>
      </c>
      <c r="F458" s="7">
        <v>-100000</v>
      </c>
    </row>
    <row r="459" spans="1:6" x14ac:dyDescent="0.3">
      <c r="A459" s="5" t="s">
        <v>573</v>
      </c>
      <c r="B459" s="26">
        <v>43474</v>
      </c>
      <c r="C459" s="11" t="s">
        <v>6</v>
      </c>
      <c r="D459" s="6" t="s">
        <v>269</v>
      </c>
      <c r="E459" s="9" t="s">
        <v>1138</v>
      </c>
      <c r="F459" s="7">
        <v>-50000</v>
      </c>
    </row>
    <row r="460" spans="1:6" x14ac:dyDescent="0.3">
      <c r="A460" s="5" t="s">
        <v>574</v>
      </c>
      <c r="B460" s="26">
        <v>43474</v>
      </c>
      <c r="C460" s="11" t="s">
        <v>31</v>
      </c>
      <c r="D460" s="6" t="s">
        <v>269</v>
      </c>
      <c r="E460" s="9" t="s">
        <v>1138</v>
      </c>
      <c r="F460" s="7">
        <v>-25000</v>
      </c>
    </row>
    <row r="461" spans="1:6" x14ac:dyDescent="0.3">
      <c r="A461" s="5" t="s">
        <v>575</v>
      </c>
      <c r="B461" s="26">
        <v>43475</v>
      </c>
      <c r="C461" s="11" t="s">
        <v>106</v>
      </c>
      <c r="D461" s="6" t="s">
        <v>269</v>
      </c>
      <c r="E461" s="9" t="s">
        <v>1138</v>
      </c>
      <c r="F461" s="7">
        <v>-3150</v>
      </c>
    </row>
    <row r="462" spans="1:6" x14ac:dyDescent="0.3">
      <c r="A462" s="5" t="s">
        <v>576</v>
      </c>
      <c r="B462" s="26">
        <v>43477</v>
      </c>
      <c r="C462" s="9" t="s">
        <v>119</v>
      </c>
      <c r="D462" s="6" t="s">
        <v>269</v>
      </c>
      <c r="E462" s="9" t="s">
        <v>1138</v>
      </c>
      <c r="F462" s="7">
        <v>-580</v>
      </c>
    </row>
    <row r="463" spans="1:6" x14ac:dyDescent="0.3">
      <c r="A463" s="5" t="s">
        <v>577</v>
      </c>
      <c r="B463" s="26">
        <v>43477</v>
      </c>
      <c r="C463" s="11" t="s">
        <v>42</v>
      </c>
      <c r="D463" s="6" t="s">
        <v>269</v>
      </c>
      <c r="E463" s="9" t="s">
        <v>1138</v>
      </c>
      <c r="F463" s="7">
        <v>-50</v>
      </c>
    </row>
    <row r="464" spans="1:6" x14ac:dyDescent="0.3">
      <c r="A464" s="5" t="s">
        <v>578</v>
      </c>
      <c r="B464" s="26">
        <v>43477</v>
      </c>
      <c r="C464" s="11" t="s">
        <v>106</v>
      </c>
      <c r="D464" s="6" t="s">
        <v>269</v>
      </c>
      <c r="E464" s="9" t="s">
        <v>1138</v>
      </c>
      <c r="F464" s="7">
        <v>-6540</v>
      </c>
    </row>
    <row r="465" spans="1:6" x14ac:dyDescent="0.3">
      <c r="A465" s="5" t="s">
        <v>579</v>
      </c>
      <c r="B465" s="25">
        <v>43477</v>
      </c>
      <c r="C465" s="11" t="s">
        <v>120</v>
      </c>
      <c r="D465" s="6" t="s">
        <v>269</v>
      </c>
      <c r="E465" s="9" t="s">
        <v>1138</v>
      </c>
      <c r="F465" s="7">
        <v>-700</v>
      </c>
    </row>
    <row r="466" spans="1:6" x14ac:dyDescent="0.3">
      <c r="A466" s="5" t="s">
        <v>580</v>
      </c>
      <c r="B466" s="25">
        <v>43477</v>
      </c>
      <c r="C466" s="11" t="s">
        <v>121</v>
      </c>
      <c r="D466" s="6" t="s">
        <v>269</v>
      </c>
      <c r="E466" s="9" t="s">
        <v>1138</v>
      </c>
      <c r="F466" s="7">
        <v>-2600</v>
      </c>
    </row>
    <row r="467" spans="1:6" x14ac:dyDescent="0.3">
      <c r="A467" s="5" t="s">
        <v>581</v>
      </c>
      <c r="B467" s="25">
        <v>43479</v>
      </c>
      <c r="C467" s="11" t="s">
        <v>31</v>
      </c>
      <c r="D467" s="6" t="s">
        <v>269</v>
      </c>
      <c r="E467" s="9" t="s">
        <v>1138</v>
      </c>
      <c r="F467" s="7">
        <v>-10000</v>
      </c>
    </row>
    <row r="468" spans="1:6" x14ac:dyDescent="0.3">
      <c r="A468" s="5" t="s">
        <v>582</v>
      </c>
      <c r="B468" s="25">
        <v>43479</v>
      </c>
      <c r="C468" s="11" t="s">
        <v>42</v>
      </c>
      <c r="D468" s="6" t="s">
        <v>269</v>
      </c>
      <c r="E468" s="9" t="s">
        <v>1138</v>
      </c>
      <c r="F468" s="7">
        <v>-100</v>
      </c>
    </row>
    <row r="469" spans="1:6" x14ac:dyDescent="0.3">
      <c r="A469" s="5" t="s">
        <v>583</v>
      </c>
      <c r="B469" s="25">
        <v>43479</v>
      </c>
      <c r="C469" s="9" t="s">
        <v>119</v>
      </c>
      <c r="D469" s="6" t="s">
        <v>269</v>
      </c>
      <c r="E469" s="9" t="s">
        <v>1138</v>
      </c>
      <c r="F469" s="7">
        <v>-300</v>
      </c>
    </row>
    <row r="470" spans="1:6" x14ac:dyDescent="0.3">
      <c r="A470" s="5" t="s">
        <v>584</v>
      </c>
      <c r="B470" s="26">
        <v>43479</v>
      </c>
      <c r="C470" s="9" t="s">
        <v>94</v>
      </c>
      <c r="D470" s="6" t="s">
        <v>269</v>
      </c>
      <c r="E470" s="9" t="s">
        <v>1138</v>
      </c>
      <c r="F470" s="7">
        <v>-1000</v>
      </c>
    </row>
    <row r="471" spans="1:6" x14ac:dyDescent="0.3">
      <c r="A471" s="5" t="s">
        <v>585</v>
      </c>
      <c r="B471" s="26">
        <v>43479</v>
      </c>
      <c r="C471" s="9" t="s">
        <v>7</v>
      </c>
      <c r="D471" s="6" t="s">
        <v>269</v>
      </c>
      <c r="E471" s="9" t="s">
        <v>1138</v>
      </c>
      <c r="F471" s="7">
        <v>-1000</v>
      </c>
    </row>
    <row r="472" spans="1:6" x14ac:dyDescent="0.3">
      <c r="A472" s="5" t="s">
        <v>586</v>
      </c>
      <c r="B472" s="26">
        <v>43479</v>
      </c>
      <c r="C472" s="9" t="s">
        <v>42</v>
      </c>
      <c r="D472" s="6" t="s">
        <v>269</v>
      </c>
      <c r="E472" s="9" t="s">
        <v>1138</v>
      </c>
      <c r="F472" s="7">
        <v>-100</v>
      </c>
    </row>
    <row r="473" spans="1:6" x14ac:dyDescent="0.3">
      <c r="A473" s="5" t="s">
        <v>587</v>
      </c>
      <c r="B473" s="25">
        <v>43479</v>
      </c>
      <c r="C473" s="9" t="s">
        <v>122</v>
      </c>
      <c r="D473" s="6" t="s">
        <v>269</v>
      </c>
      <c r="E473" s="9" t="s">
        <v>1138</v>
      </c>
      <c r="F473" s="7">
        <v>-70</v>
      </c>
    </row>
    <row r="474" spans="1:6" x14ac:dyDescent="0.3">
      <c r="A474" s="5" t="s">
        <v>588</v>
      </c>
      <c r="B474" s="26">
        <v>43479</v>
      </c>
      <c r="C474" s="9" t="s">
        <v>123</v>
      </c>
      <c r="D474" s="6" t="s">
        <v>269</v>
      </c>
      <c r="E474" s="9" t="s">
        <v>1138</v>
      </c>
      <c r="F474" s="7">
        <v>-40</v>
      </c>
    </row>
    <row r="475" spans="1:6" x14ac:dyDescent="0.3">
      <c r="A475" s="5" t="s">
        <v>589</v>
      </c>
      <c r="B475" s="26">
        <v>43480</v>
      </c>
      <c r="C475" s="8" t="s">
        <v>124</v>
      </c>
      <c r="D475" s="6" t="s">
        <v>269</v>
      </c>
      <c r="E475" s="8" t="s">
        <v>1148</v>
      </c>
      <c r="F475" s="12">
        <v>300000</v>
      </c>
    </row>
    <row r="476" spans="1:6" x14ac:dyDescent="0.3">
      <c r="A476" s="5" t="s">
        <v>590</v>
      </c>
      <c r="B476" s="26">
        <v>43480</v>
      </c>
      <c r="C476" s="9" t="s">
        <v>102</v>
      </c>
      <c r="D476" s="6" t="s">
        <v>269</v>
      </c>
      <c r="E476" s="9" t="s">
        <v>1138</v>
      </c>
      <c r="F476" s="7">
        <v>-10000</v>
      </c>
    </row>
    <row r="477" spans="1:6" x14ac:dyDescent="0.3">
      <c r="A477" s="5" t="s">
        <v>591</v>
      </c>
      <c r="B477" s="27">
        <v>43480</v>
      </c>
      <c r="C477" s="9" t="s">
        <v>42</v>
      </c>
      <c r="D477" s="6" t="s">
        <v>269</v>
      </c>
      <c r="E477" s="9" t="s">
        <v>1138</v>
      </c>
      <c r="F477" s="7">
        <v>-75</v>
      </c>
    </row>
    <row r="478" spans="1:6" x14ac:dyDescent="0.3">
      <c r="A478" s="5" t="s">
        <v>592</v>
      </c>
      <c r="B478" s="26">
        <v>43481</v>
      </c>
      <c r="C478" s="9" t="s">
        <v>26</v>
      </c>
      <c r="D478" s="6" t="s">
        <v>269</v>
      </c>
      <c r="E478" s="9" t="s">
        <v>1138</v>
      </c>
      <c r="F478" s="7">
        <v>-20000</v>
      </c>
    </row>
    <row r="479" spans="1:6" x14ac:dyDescent="0.3">
      <c r="A479" s="5" t="s">
        <v>593</v>
      </c>
      <c r="B479" s="27">
        <v>43481</v>
      </c>
      <c r="C479" s="11" t="s">
        <v>31</v>
      </c>
      <c r="D479" s="6" t="s">
        <v>269</v>
      </c>
      <c r="E479" s="9" t="s">
        <v>1138</v>
      </c>
      <c r="F479" s="7">
        <v>-22000</v>
      </c>
    </row>
    <row r="480" spans="1:6" x14ac:dyDescent="0.3">
      <c r="A480" s="5" t="s">
        <v>594</v>
      </c>
      <c r="B480" s="26">
        <v>43481</v>
      </c>
      <c r="C480" s="9" t="s">
        <v>94</v>
      </c>
      <c r="D480" s="6" t="s">
        <v>269</v>
      </c>
      <c r="E480" s="9" t="s">
        <v>1138</v>
      </c>
      <c r="F480" s="7">
        <v>-1000</v>
      </c>
    </row>
    <row r="481" spans="1:6" x14ac:dyDescent="0.3">
      <c r="A481" s="5" t="s">
        <v>595</v>
      </c>
      <c r="B481" s="26">
        <v>43481</v>
      </c>
      <c r="C481" s="9" t="s">
        <v>42</v>
      </c>
      <c r="D481" s="6" t="s">
        <v>269</v>
      </c>
      <c r="E481" s="9" t="s">
        <v>1138</v>
      </c>
      <c r="F481" s="7">
        <v>-100</v>
      </c>
    </row>
    <row r="482" spans="1:6" x14ac:dyDescent="0.3">
      <c r="A482" s="5" t="s">
        <v>596</v>
      </c>
      <c r="B482" s="26">
        <v>43483</v>
      </c>
      <c r="C482" s="9" t="s">
        <v>106</v>
      </c>
      <c r="D482" s="6" t="s">
        <v>269</v>
      </c>
      <c r="E482" s="9" t="s">
        <v>1138</v>
      </c>
      <c r="F482" s="7">
        <v>-3150</v>
      </c>
    </row>
    <row r="483" spans="1:6" x14ac:dyDescent="0.3">
      <c r="A483" s="5" t="s">
        <v>597</v>
      </c>
      <c r="B483" s="26">
        <v>43483</v>
      </c>
      <c r="C483" s="11" t="s">
        <v>31</v>
      </c>
      <c r="D483" s="6" t="s">
        <v>269</v>
      </c>
      <c r="E483" s="9" t="s">
        <v>1138</v>
      </c>
      <c r="F483" s="7">
        <v>-2000</v>
      </c>
    </row>
    <row r="484" spans="1:6" x14ac:dyDescent="0.3">
      <c r="A484" s="5" t="s">
        <v>598</v>
      </c>
      <c r="B484" s="26">
        <v>43484</v>
      </c>
      <c r="C484" s="11" t="s">
        <v>31</v>
      </c>
      <c r="D484" s="6" t="s">
        <v>269</v>
      </c>
      <c r="E484" s="9" t="s">
        <v>1138</v>
      </c>
      <c r="F484" s="7">
        <v>-50000</v>
      </c>
    </row>
    <row r="485" spans="1:6" x14ac:dyDescent="0.3">
      <c r="A485" s="5" t="s">
        <v>599</v>
      </c>
      <c r="B485" s="26">
        <v>43484</v>
      </c>
      <c r="C485" s="9" t="s">
        <v>26</v>
      </c>
      <c r="D485" s="6" t="s">
        <v>269</v>
      </c>
      <c r="E485" s="9" t="s">
        <v>1138</v>
      </c>
      <c r="F485" s="7">
        <v>-30000</v>
      </c>
    </row>
    <row r="486" spans="1:6" x14ac:dyDescent="0.3">
      <c r="A486" s="5" t="s">
        <v>600</v>
      </c>
      <c r="B486" s="26">
        <v>43484</v>
      </c>
      <c r="C486" s="9" t="s">
        <v>102</v>
      </c>
      <c r="D486" s="6" t="s">
        <v>269</v>
      </c>
      <c r="E486" s="9" t="s">
        <v>1138</v>
      </c>
      <c r="F486" s="7">
        <v>-20000</v>
      </c>
    </row>
    <row r="487" spans="1:6" x14ac:dyDescent="0.3">
      <c r="A487" s="5" t="s">
        <v>601</v>
      </c>
      <c r="B487" s="26">
        <v>43484</v>
      </c>
      <c r="C487" s="9" t="s">
        <v>42</v>
      </c>
      <c r="D487" s="6" t="s">
        <v>269</v>
      </c>
      <c r="E487" s="9" t="s">
        <v>1138</v>
      </c>
      <c r="F487" s="7">
        <v>-50</v>
      </c>
    </row>
    <row r="488" spans="1:6" x14ac:dyDescent="0.3">
      <c r="A488" s="5" t="s">
        <v>602</v>
      </c>
      <c r="B488" s="26">
        <v>43485</v>
      </c>
      <c r="C488" s="9" t="s">
        <v>125</v>
      </c>
      <c r="D488" s="6" t="s">
        <v>269</v>
      </c>
      <c r="E488" s="9" t="s">
        <v>1138</v>
      </c>
      <c r="F488" s="7">
        <v>-3000</v>
      </c>
    </row>
    <row r="489" spans="1:6" x14ac:dyDescent="0.3">
      <c r="A489" s="5" t="s">
        <v>603</v>
      </c>
      <c r="B489" s="26">
        <v>43487</v>
      </c>
      <c r="C489" s="9" t="s">
        <v>7</v>
      </c>
      <c r="D489" s="6" t="s">
        <v>269</v>
      </c>
      <c r="E489" s="9" t="s">
        <v>1138</v>
      </c>
      <c r="F489" s="7">
        <v>-3000</v>
      </c>
    </row>
    <row r="490" spans="1:6" x14ac:dyDescent="0.3">
      <c r="A490" s="5" t="s">
        <v>604</v>
      </c>
      <c r="B490" s="26">
        <v>43488</v>
      </c>
      <c r="C490" s="11" t="s">
        <v>31</v>
      </c>
      <c r="D490" s="6" t="s">
        <v>269</v>
      </c>
      <c r="E490" s="9" t="s">
        <v>1138</v>
      </c>
      <c r="F490" s="7">
        <v>-30000</v>
      </c>
    </row>
    <row r="491" spans="1:6" x14ac:dyDescent="0.3">
      <c r="A491" s="5" t="s">
        <v>605</v>
      </c>
      <c r="B491" s="26">
        <v>43489</v>
      </c>
      <c r="C491" s="8" t="s">
        <v>87</v>
      </c>
      <c r="D491" s="6" t="s">
        <v>269</v>
      </c>
      <c r="E491" s="8" t="s">
        <v>1148</v>
      </c>
      <c r="F491" s="12">
        <v>80000</v>
      </c>
    </row>
    <row r="492" spans="1:6" x14ac:dyDescent="0.3">
      <c r="A492" s="5" t="s">
        <v>606</v>
      </c>
      <c r="B492" s="26">
        <v>43489</v>
      </c>
      <c r="C492" s="11" t="s">
        <v>31</v>
      </c>
      <c r="D492" s="6" t="s">
        <v>269</v>
      </c>
      <c r="E492" s="9" t="s">
        <v>1138</v>
      </c>
      <c r="F492" s="7">
        <v>-30000</v>
      </c>
    </row>
    <row r="493" spans="1:6" x14ac:dyDescent="0.3">
      <c r="A493" s="5" t="s">
        <v>607</v>
      </c>
      <c r="B493" s="26">
        <v>43489</v>
      </c>
      <c r="C493" s="9" t="s">
        <v>26</v>
      </c>
      <c r="D493" s="6" t="s">
        <v>269</v>
      </c>
      <c r="E493" s="9" t="s">
        <v>1138</v>
      </c>
      <c r="F493" s="7">
        <v>-10000</v>
      </c>
    </row>
    <row r="494" spans="1:6" x14ac:dyDescent="0.3">
      <c r="A494" s="5" t="s">
        <v>608</v>
      </c>
      <c r="B494" s="26">
        <v>43489</v>
      </c>
      <c r="C494" s="9" t="s">
        <v>106</v>
      </c>
      <c r="D494" s="6" t="s">
        <v>269</v>
      </c>
      <c r="E494" s="9" t="s">
        <v>1138</v>
      </c>
      <c r="F494" s="7">
        <v>-525</v>
      </c>
    </row>
    <row r="495" spans="1:6" x14ac:dyDescent="0.3">
      <c r="A495" s="5" t="s">
        <v>609</v>
      </c>
      <c r="B495" s="27">
        <v>43491</v>
      </c>
      <c r="C495" s="9" t="s">
        <v>69</v>
      </c>
      <c r="D495" s="6" t="s">
        <v>269</v>
      </c>
      <c r="E495" s="9" t="s">
        <v>1138</v>
      </c>
      <c r="F495" s="7">
        <v>-15000</v>
      </c>
    </row>
    <row r="496" spans="1:6" x14ac:dyDescent="0.3">
      <c r="A496" s="5" t="s">
        <v>610</v>
      </c>
      <c r="B496" s="26">
        <v>43491</v>
      </c>
      <c r="C496" s="9" t="s">
        <v>42</v>
      </c>
      <c r="D496" s="6" t="s">
        <v>269</v>
      </c>
      <c r="E496" s="9" t="s">
        <v>1138</v>
      </c>
      <c r="F496" s="7">
        <v>-150</v>
      </c>
    </row>
    <row r="497" spans="1:6" x14ac:dyDescent="0.3">
      <c r="A497" s="5" t="s">
        <v>611</v>
      </c>
      <c r="B497" s="26">
        <v>43492</v>
      </c>
      <c r="C497" s="8" t="s">
        <v>99</v>
      </c>
      <c r="D497" s="6" t="s">
        <v>269</v>
      </c>
      <c r="E497" s="8" t="s">
        <v>1148</v>
      </c>
      <c r="F497" s="12">
        <v>250000</v>
      </c>
    </row>
    <row r="498" spans="1:6" x14ac:dyDescent="0.3">
      <c r="A498" s="5" t="s">
        <v>612</v>
      </c>
      <c r="B498" s="26">
        <v>43492</v>
      </c>
      <c r="C498" s="6" t="s">
        <v>126</v>
      </c>
      <c r="D498" s="6" t="s">
        <v>269</v>
      </c>
      <c r="E498" s="9" t="s">
        <v>1138</v>
      </c>
      <c r="F498" s="7">
        <v>-66000</v>
      </c>
    </row>
    <row r="499" spans="1:6" x14ac:dyDescent="0.3">
      <c r="A499" s="5" t="s">
        <v>613</v>
      </c>
      <c r="B499" s="27">
        <v>43492</v>
      </c>
      <c r="C499" s="9" t="s">
        <v>6</v>
      </c>
      <c r="D499" s="6" t="s">
        <v>269</v>
      </c>
      <c r="E499" s="9" t="s">
        <v>1138</v>
      </c>
      <c r="F499" s="7">
        <v>-75000</v>
      </c>
    </row>
    <row r="500" spans="1:6" x14ac:dyDescent="0.3">
      <c r="A500" s="5" t="s">
        <v>614</v>
      </c>
      <c r="B500" s="26">
        <v>43492</v>
      </c>
      <c r="C500" s="9" t="s">
        <v>102</v>
      </c>
      <c r="D500" s="6" t="s">
        <v>269</v>
      </c>
      <c r="E500" s="9" t="s">
        <v>1138</v>
      </c>
      <c r="F500" s="7">
        <v>-50000</v>
      </c>
    </row>
    <row r="501" spans="1:6" x14ac:dyDescent="0.3">
      <c r="A501" s="5" t="s">
        <v>615</v>
      </c>
      <c r="B501" s="26">
        <v>43492</v>
      </c>
      <c r="C501" s="11" t="s">
        <v>31</v>
      </c>
      <c r="D501" s="6" t="s">
        <v>269</v>
      </c>
      <c r="E501" s="9" t="s">
        <v>1138</v>
      </c>
      <c r="F501" s="7">
        <v>-20000</v>
      </c>
    </row>
    <row r="502" spans="1:6" x14ac:dyDescent="0.3">
      <c r="A502" s="5" t="s">
        <v>616</v>
      </c>
      <c r="B502" s="26">
        <v>43492</v>
      </c>
      <c r="C502" s="9" t="s">
        <v>69</v>
      </c>
      <c r="D502" s="6" t="s">
        <v>269</v>
      </c>
      <c r="E502" s="9" t="s">
        <v>1138</v>
      </c>
      <c r="F502" s="7">
        <v>-20000</v>
      </c>
    </row>
    <row r="503" spans="1:6" x14ac:dyDescent="0.3">
      <c r="A503" s="5" t="s">
        <v>617</v>
      </c>
      <c r="B503" s="26">
        <v>43492</v>
      </c>
      <c r="C503" s="9" t="s">
        <v>7</v>
      </c>
      <c r="D503" s="6" t="s">
        <v>269</v>
      </c>
      <c r="E503" s="9" t="s">
        <v>1138</v>
      </c>
      <c r="F503" s="7">
        <v>-2000</v>
      </c>
    </row>
    <row r="504" spans="1:6" x14ac:dyDescent="0.3">
      <c r="A504" s="5" t="s">
        <v>618</v>
      </c>
      <c r="B504" s="26">
        <v>43492</v>
      </c>
      <c r="C504" s="9" t="s">
        <v>127</v>
      </c>
      <c r="D504" s="6" t="s">
        <v>269</v>
      </c>
      <c r="E504" s="9" t="s">
        <v>1138</v>
      </c>
      <c r="F504" s="7">
        <v>-1500</v>
      </c>
    </row>
    <row r="505" spans="1:6" x14ac:dyDescent="0.3">
      <c r="A505" s="5" t="s">
        <v>619</v>
      </c>
      <c r="B505" s="27">
        <v>43492</v>
      </c>
      <c r="C505" s="9" t="s">
        <v>42</v>
      </c>
      <c r="D505" s="6" t="s">
        <v>269</v>
      </c>
      <c r="E505" s="9" t="s">
        <v>1138</v>
      </c>
      <c r="F505" s="7">
        <v>-200</v>
      </c>
    </row>
    <row r="506" spans="1:6" x14ac:dyDescent="0.3">
      <c r="A506" s="5" t="s">
        <v>620</v>
      </c>
      <c r="B506" s="26">
        <v>43492</v>
      </c>
      <c r="C506" s="9" t="s">
        <v>62</v>
      </c>
      <c r="D506" s="6" t="s">
        <v>269</v>
      </c>
      <c r="E506" s="9" t="s">
        <v>1138</v>
      </c>
      <c r="F506" s="7">
        <v>-150</v>
      </c>
    </row>
    <row r="507" spans="1:6" x14ac:dyDescent="0.3">
      <c r="A507" s="5" t="s">
        <v>621</v>
      </c>
      <c r="B507" s="26">
        <v>43493</v>
      </c>
      <c r="C507" s="9" t="s">
        <v>104</v>
      </c>
      <c r="D507" s="6" t="s">
        <v>269</v>
      </c>
      <c r="E507" s="9" t="s">
        <v>1138</v>
      </c>
      <c r="F507" s="7">
        <v>-200</v>
      </c>
    </row>
    <row r="508" spans="1:6" x14ac:dyDescent="0.3">
      <c r="A508" s="5" t="s">
        <v>622</v>
      </c>
      <c r="B508" s="26">
        <v>43493</v>
      </c>
      <c r="C508" s="9" t="s">
        <v>42</v>
      </c>
      <c r="D508" s="6" t="s">
        <v>269</v>
      </c>
      <c r="E508" s="9" t="s">
        <v>1138</v>
      </c>
      <c r="F508" s="7">
        <v>-50</v>
      </c>
    </row>
    <row r="509" spans="1:6" x14ac:dyDescent="0.3">
      <c r="A509" s="5" t="s">
        <v>623</v>
      </c>
      <c r="B509" s="26">
        <v>43494</v>
      </c>
      <c r="C509" s="9" t="s">
        <v>67</v>
      </c>
      <c r="D509" s="6" t="s">
        <v>269</v>
      </c>
      <c r="E509" s="9" t="s">
        <v>1138</v>
      </c>
      <c r="F509" s="7">
        <v>-2500</v>
      </c>
    </row>
    <row r="510" spans="1:6" x14ac:dyDescent="0.3">
      <c r="A510" s="5" t="s">
        <v>624</v>
      </c>
      <c r="B510" s="27">
        <v>43494</v>
      </c>
      <c r="C510" s="9" t="s">
        <v>26</v>
      </c>
      <c r="D510" s="6" t="s">
        <v>269</v>
      </c>
      <c r="E510" s="9" t="s">
        <v>1138</v>
      </c>
      <c r="F510" s="7">
        <v>-3000</v>
      </c>
    </row>
    <row r="511" spans="1:6" x14ac:dyDescent="0.3">
      <c r="A511" s="5" t="s">
        <v>625</v>
      </c>
      <c r="B511" s="27">
        <v>43494</v>
      </c>
      <c r="C511" s="9" t="s">
        <v>113</v>
      </c>
      <c r="D511" s="6" t="s">
        <v>269</v>
      </c>
      <c r="E511" s="9" t="s">
        <v>1138</v>
      </c>
      <c r="F511" s="7">
        <v>-5000</v>
      </c>
    </row>
    <row r="512" spans="1:6" x14ac:dyDescent="0.3">
      <c r="A512" s="5" t="s">
        <v>626</v>
      </c>
      <c r="B512" s="26">
        <v>43496</v>
      </c>
      <c r="C512" s="9" t="s">
        <v>128</v>
      </c>
      <c r="D512" s="6" t="s">
        <v>269</v>
      </c>
      <c r="E512" s="9" t="s">
        <v>1138</v>
      </c>
      <c r="F512" s="7">
        <v>-9500</v>
      </c>
    </row>
    <row r="513" spans="1:6" x14ac:dyDescent="0.3">
      <c r="A513" s="5" t="s">
        <v>627</v>
      </c>
      <c r="B513" s="26">
        <v>43496</v>
      </c>
      <c r="C513" s="9" t="s">
        <v>106</v>
      </c>
      <c r="D513" s="6" t="s">
        <v>269</v>
      </c>
      <c r="E513" s="9" t="s">
        <v>1138</v>
      </c>
      <c r="F513" s="7">
        <v>-2530</v>
      </c>
    </row>
    <row r="514" spans="1:6" x14ac:dyDescent="0.3">
      <c r="A514" s="5" t="s">
        <v>628</v>
      </c>
      <c r="B514" s="26">
        <v>43496</v>
      </c>
      <c r="C514" s="9" t="s">
        <v>7</v>
      </c>
      <c r="D514" s="6" t="s">
        <v>269</v>
      </c>
      <c r="E514" s="9" t="s">
        <v>1138</v>
      </c>
      <c r="F514" s="7">
        <v>-5000</v>
      </c>
    </row>
    <row r="515" spans="1:6" x14ac:dyDescent="0.3">
      <c r="A515" s="5" t="s">
        <v>629</v>
      </c>
      <c r="B515" s="26">
        <v>43496</v>
      </c>
      <c r="C515" s="9" t="s">
        <v>26</v>
      </c>
      <c r="D515" s="6" t="s">
        <v>269</v>
      </c>
      <c r="E515" s="9" t="s">
        <v>1138</v>
      </c>
      <c r="F515" s="7">
        <v>-10000</v>
      </c>
    </row>
    <row r="516" spans="1:6" x14ac:dyDescent="0.3">
      <c r="A516" s="5" t="s">
        <v>630</v>
      </c>
      <c r="B516" s="26">
        <v>43496</v>
      </c>
      <c r="C516" s="11" t="s">
        <v>31</v>
      </c>
      <c r="D516" s="6" t="s">
        <v>269</v>
      </c>
      <c r="E516" s="9" t="s">
        <v>1138</v>
      </c>
      <c r="F516" s="7">
        <v>-20000</v>
      </c>
    </row>
    <row r="517" spans="1:6" x14ac:dyDescent="0.3">
      <c r="A517" s="5" t="s">
        <v>631</v>
      </c>
      <c r="B517" s="26">
        <v>43496</v>
      </c>
      <c r="C517" s="9" t="s">
        <v>127</v>
      </c>
      <c r="D517" s="6" t="s">
        <v>269</v>
      </c>
      <c r="E517" s="9" t="s">
        <v>1138</v>
      </c>
      <c r="F517" s="7">
        <v>-300</v>
      </c>
    </row>
    <row r="518" spans="1:6" x14ac:dyDescent="0.3">
      <c r="A518" s="5" t="s">
        <v>632</v>
      </c>
      <c r="B518" s="26">
        <v>43498</v>
      </c>
      <c r="C518" s="8" t="s">
        <v>129</v>
      </c>
      <c r="D518" s="6" t="s">
        <v>269</v>
      </c>
      <c r="E518" s="8" t="s">
        <v>1148</v>
      </c>
      <c r="F518" s="12">
        <v>200000</v>
      </c>
    </row>
    <row r="519" spans="1:6" x14ac:dyDescent="0.3">
      <c r="A519" s="5" t="s">
        <v>633</v>
      </c>
      <c r="B519" s="26">
        <v>43498</v>
      </c>
      <c r="C519" s="8" t="s">
        <v>130</v>
      </c>
      <c r="D519" s="6" t="s">
        <v>269</v>
      </c>
      <c r="E519" s="8" t="s">
        <v>1148</v>
      </c>
      <c r="F519" s="12">
        <v>50000</v>
      </c>
    </row>
    <row r="520" spans="1:6" x14ac:dyDescent="0.3">
      <c r="A520" s="5" t="s">
        <v>634</v>
      </c>
      <c r="B520" s="26">
        <v>43498</v>
      </c>
      <c r="C520" s="9" t="s">
        <v>26</v>
      </c>
      <c r="D520" s="6" t="s">
        <v>269</v>
      </c>
      <c r="E520" s="9" t="s">
        <v>1138</v>
      </c>
      <c r="F520" s="7">
        <v>-10000</v>
      </c>
    </row>
    <row r="521" spans="1:6" x14ac:dyDescent="0.3">
      <c r="A521" s="5" t="s">
        <v>635</v>
      </c>
      <c r="B521" s="26">
        <v>43498</v>
      </c>
      <c r="C521" s="9" t="s">
        <v>102</v>
      </c>
      <c r="D521" s="6" t="s">
        <v>269</v>
      </c>
      <c r="E521" s="9" t="s">
        <v>1138</v>
      </c>
      <c r="F521" s="7">
        <v>-40000</v>
      </c>
    </row>
    <row r="522" spans="1:6" x14ac:dyDescent="0.3">
      <c r="A522" s="5" t="s">
        <v>636</v>
      </c>
      <c r="B522" s="26">
        <v>43499</v>
      </c>
      <c r="C522" s="9" t="s">
        <v>106</v>
      </c>
      <c r="D522" s="6" t="s">
        <v>269</v>
      </c>
      <c r="E522" s="9" t="s">
        <v>1138</v>
      </c>
      <c r="F522" s="7">
        <v>-1050</v>
      </c>
    </row>
    <row r="523" spans="1:6" x14ac:dyDescent="0.3">
      <c r="A523" s="5" t="s">
        <v>637</v>
      </c>
      <c r="B523" s="26">
        <v>43501</v>
      </c>
      <c r="C523" s="11" t="s">
        <v>31</v>
      </c>
      <c r="D523" s="6" t="s">
        <v>269</v>
      </c>
      <c r="E523" s="9" t="s">
        <v>1138</v>
      </c>
      <c r="F523" s="7">
        <v>-28000</v>
      </c>
    </row>
    <row r="524" spans="1:6" x14ac:dyDescent="0.3">
      <c r="A524" s="5" t="s">
        <v>638</v>
      </c>
      <c r="B524" s="26">
        <v>43501</v>
      </c>
      <c r="C524" s="9" t="s">
        <v>7</v>
      </c>
      <c r="D524" s="6" t="s">
        <v>269</v>
      </c>
      <c r="E524" s="9" t="s">
        <v>1138</v>
      </c>
      <c r="F524" s="7">
        <v>-2000</v>
      </c>
    </row>
    <row r="525" spans="1:6" x14ac:dyDescent="0.3">
      <c r="A525" s="5" t="s">
        <v>639</v>
      </c>
      <c r="B525" s="26">
        <v>43502</v>
      </c>
      <c r="C525" s="9" t="s">
        <v>69</v>
      </c>
      <c r="D525" s="6" t="s">
        <v>269</v>
      </c>
      <c r="E525" s="9" t="s">
        <v>1138</v>
      </c>
      <c r="F525" s="7">
        <v>-15000</v>
      </c>
    </row>
    <row r="526" spans="1:6" x14ac:dyDescent="0.3">
      <c r="A526" s="5" t="s">
        <v>640</v>
      </c>
      <c r="B526" s="26">
        <v>43502</v>
      </c>
      <c r="C526" s="9" t="s">
        <v>102</v>
      </c>
      <c r="D526" s="6" t="s">
        <v>269</v>
      </c>
      <c r="E526" s="9" t="s">
        <v>1138</v>
      </c>
      <c r="F526" s="7">
        <v>-50000</v>
      </c>
    </row>
    <row r="527" spans="1:6" x14ac:dyDescent="0.3">
      <c r="A527" s="5" t="s">
        <v>641</v>
      </c>
      <c r="B527" s="26">
        <v>43502</v>
      </c>
      <c r="C527" s="6" t="s">
        <v>131</v>
      </c>
      <c r="D527" s="6" t="s">
        <v>269</v>
      </c>
      <c r="E527" s="9" t="s">
        <v>1138</v>
      </c>
      <c r="F527" s="7">
        <v>-22000</v>
      </c>
    </row>
    <row r="528" spans="1:6" x14ac:dyDescent="0.3">
      <c r="A528" s="5" t="s">
        <v>642</v>
      </c>
      <c r="B528" s="26">
        <v>43502</v>
      </c>
      <c r="C528" s="8" t="s">
        <v>132</v>
      </c>
      <c r="D528" s="6" t="s">
        <v>269</v>
      </c>
      <c r="E528" s="8" t="s">
        <v>1148</v>
      </c>
      <c r="F528" s="12">
        <v>100000</v>
      </c>
    </row>
    <row r="529" spans="1:6" x14ac:dyDescent="0.3">
      <c r="A529" s="5" t="s">
        <v>643</v>
      </c>
      <c r="B529" s="26">
        <v>43502</v>
      </c>
      <c r="C529" s="11" t="s">
        <v>133</v>
      </c>
      <c r="D529" s="6" t="s">
        <v>269</v>
      </c>
      <c r="E529" s="9" t="s">
        <v>1138</v>
      </c>
      <c r="F529" s="7">
        <v>-850</v>
      </c>
    </row>
    <row r="530" spans="1:6" x14ac:dyDescent="0.3">
      <c r="A530" s="5" t="s">
        <v>644</v>
      </c>
      <c r="B530" s="26">
        <v>43502</v>
      </c>
      <c r="C530" s="11" t="s">
        <v>134</v>
      </c>
      <c r="D530" s="6" t="s">
        <v>269</v>
      </c>
      <c r="E530" s="9" t="s">
        <v>1138</v>
      </c>
      <c r="F530" s="7">
        <v>-850</v>
      </c>
    </row>
    <row r="531" spans="1:6" x14ac:dyDescent="0.3">
      <c r="A531" s="5" t="s">
        <v>645</v>
      </c>
      <c r="B531" s="26">
        <v>43502</v>
      </c>
      <c r="C531" s="11" t="s">
        <v>135</v>
      </c>
      <c r="D531" s="6" t="s">
        <v>269</v>
      </c>
      <c r="E531" s="9" t="s">
        <v>1138</v>
      </c>
      <c r="F531" s="7">
        <v>-850</v>
      </c>
    </row>
    <row r="532" spans="1:6" x14ac:dyDescent="0.3">
      <c r="A532" s="5" t="s">
        <v>646</v>
      </c>
      <c r="B532" s="26">
        <v>43502</v>
      </c>
      <c r="C532" s="9" t="s">
        <v>136</v>
      </c>
      <c r="D532" s="6" t="s">
        <v>269</v>
      </c>
      <c r="E532" s="9" t="s">
        <v>1138</v>
      </c>
      <c r="F532" s="7">
        <v>-500</v>
      </c>
    </row>
    <row r="533" spans="1:6" x14ac:dyDescent="0.3">
      <c r="A533" s="5" t="s">
        <v>647</v>
      </c>
      <c r="B533" s="26">
        <v>43502</v>
      </c>
      <c r="C533" s="11" t="s">
        <v>31</v>
      </c>
      <c r="D533" s="6" t="s">
        <v>269</v>
      </c>
      <c r="E533" s="9" t="s">
        <v>1138</v>
      </c>
      <c r="F533" s="7">
        <v>-20000</v>
      </c>
    </row>
    <row r="534" spans="1:6" x14ac:dyDescent="0.3">
      <c r="A534" s="5" t="s">
        <v>648</v>
      </c>
      <c r="B534" s="26">
        <v>43503</v>
      </c>
      <c r="C534" s="11" t="s">
        <v>137</v>
      </c>
      <c r="D534" s="6" t="s">
        <v>269</v>
      </c>
      <c r="E534" s="9" t="s">
        <v>1138</v>
      </c>
      <c r="F534" s="7">
        <v>-4600</v>
      </c>
    </row>
    <row r="535" spans="1:6" x14ac:dyDescent="0.3">
      <c r="A535" s="5" t="s">
        <v>649</v>
      </c>
      <c r="B535" s="26">
        <v>43503</v>
      </c>
      <c r="C535" s="9" t="s">
        <v>138</v>
      </c>
      <c r="D535" s="6" t="s">
        <v>269</v>
      </c>
      <c r="E535" s="9" t="s">
        <v>1138</v>
      </c>
      <c r="F535" s="7">
        <v>-800</v>
      </c>
    </row>
    <row r="536" spans="1:6" x14ac:dyDescent="0.3">
      <c r="A536" s="5" t="s">
        <v>650</v>
      </c>
      <c r="B536" s="26">
        <v>43503</v>
      </c>
      <c r="C536" s="9" t="s">
        <v>139</v>
      </c>
      <c r="D536" s="6" t="s">
        <v>269</v>
      </c>
      <c r="E536" s="9" t="s">
        <v>1138</v>
      </c>
      <c r="F536" s="7">
        <v>-250</v>
      </c>
    </row>
    <row r="537" spans="1:6" x14ac:dyDescent="0.3">
      <c r="A537" s="5" t="s">
        <v>651</v>
      </c>
      <c r="B537" s="26">
        <v>43503</v>
      </c>
      <c r="C537" s="9" t="s">
        <v>42</v>
      </c>
      <c r="D537" s="6" t="s">
        <v>269</v>
      </c>
      <c r="E537" s="9" t="s">
        <v>1138</v>
      </c>
      <c r="F537" s="7">
        <v>-100</v>
      </c>
    </row>
    <row r="538" spans="1:6" x14ac:dyDescent="0.3">
      <c r="A538" s="5" t="s">
        <v>652</v>
      </c>
      <c r="B538" s="26">
        <v>43503</v>
      </c>
      <c r="C538" s="8" t="s">
        <v>140</v>
      </c>
      <c r="D538" s="6" t="s">
        <v>269</v>
      </c>
      <c r="E538" s="8" t="s">
        <v>1148</v>
      </c>
      <c r="F538" s="12">
        <v>200000</v>
      </c>
    </row>
    <row r="539" spans="1:6" x14ac:dyDescent="0.3">
      <c r="A539" s="5" t="s">
        <v>653</v>
      </c>
      <c r="B539" s="26">
        <v>43503</v>
      </c>
      <c r="C539" s="8" t="s">
        <v>141</v>
      </c>
      <c r="D539" s="6" t="s">
        <v>269</v>
      </c>
      <c r="E539" s="8" t="s">
        <v>1148</v>
      </c>
      <c r="F539" s="12">
        <v>300000</v>
      </c>
    </row>
    <row r="540" spans="1:6" x14ac:dyDescent="0.3">
      <c r="A540" s="5" t="s">
        <v>654</v>
      </c>
      <c r="B540" s="26">
        <v>43504</v>
      </c>
      <c r="C540" s="9" t="s">
        <v>26</v>
      </c>
      <c r="D540" s="6" t="s">
        <v>269</v>
      </c>
      <c r="E540" s="9" t="s">
        <v>1138</v>
      </c>
      <c r="F540" s="7">
        <v>-50000</v>
      </c>
    </row>
    <row r="541" spans="1:6" x14ac:dyDescent="0.3">
      <c r="A541" s="5" t="s">
        <v>655</v>
      </c>
      <c r="B541" s="26">
        <v>43504</v>
      </c>
      <c r="C541" s="9" t="s">
        <v>142</v>
      </c>
      <c r="D541" s="6" t="s">
        <v>269</v>
      </c>
      <c r="E541" s="9" t="s">
        <v>1138</v>
      </c>
      <c r="F541" s="7">
        <v>-13350</v>
      </c>
    </row>
    <row r="542" spans="1:6" x14ac:dyDescent="0.3">
      <c r="A542" s="5" t="s">
        <v>656</v>
      </c>
      <c r="B542" s="26">
        <v>43504</v>
      </c>
      <c r="C542" s="11" t="s">
        <v>143</v>
      </c>
      <c r="D542" s="6" t="s">
        <v>269</v>
      </c>
      <c r="E542" s="9" t="s">
        <v>1138</v>
      </c>
      <c r="F542" s="7">
        <v>-60000</v>
      </c>
    </row>
    <row r="543" spans="1:6" x14ac:dyDescent="0.3">
      <c r="A543" s="5" t="s">
        <v>657</v>
      </c>
      <c r="B543" s="26">
        <v>43504</v>
      </c>
      <c r="C543" s="9" t="s">
        <v>144</v>
      </c>
      <c r="D543" s="6" t="s">
        <v>269</v>
      </c>
      <c r="E543" s="9" t="s">
        <v>1138</v>
      </c>
      <c r="F543" s="7">
        <v>-2000</v>
      </c>
    </row>
    <row r="544" spans="1:6" x14ac:dyDescent="0.3">
      <c r="A544" s="5" t="s">
        <v>658</v>
      </c>
      <c r="B544" s="26">
        <v>43506</v>
      </c>
      <c r="C544" s="9" t="s">
        <v>106</v>
      </c>
      <c r="D544" s="6" t="s">
        <v>269</v>
      </c>
      <c r="E544" s="9" t="s">
        <v>1138</v>
      </c>
      <c r="F544" s="7">
        <v>-510</v>
      </c>
    </row>
    <row r="545" spans="1:6" x14ac:dyDescent="0.3">
      <c r="A545" s="5" t="s">
        <v>659</v>
      </c>
      <c r="B545" s="26">
        <v>43506</v>
      </c>
      <c r="C545" s="11" t="s">
        <v>31</v>
      </c>
      <c r="D545" s="6" t="s">
        <v>269</v>
      </c>
      <c r="E545" s="9" t="s">
        <v>1138</v>
      </c>
      <c r="F545" s="7">
        <v>-40000</v>
      </c>
    </row>
    <row r="546" spans="1:6" x14ac:dyDescent="0.3">
      <c r="A546" s="5" t="s">
        <v>660</v>
      </c>
      <c r="B546" s="26">
        <v>43508</v>
      </c>
      <c r="C546" s="9" t="s">
        <v>106</v>
      </c>
      <c r="D546" s="6" t="s">
        <v>269</v>
      </c>
      <c r="E546" s="9" t="s">
        <v>1138</v>
      </c>
      <c r="F546" s="7">
        <v>-2750</v>
      </c>
    </row>
    <row r="547" spans="1:6" x14ac:dyDescent="0.3">
      <c r="A547" s="5" t="s">
        <v>661</v>
      </c>
      <c r="B547" s="26">
        <v>43508</v>
      </c>
      <c r="C547" s="11" t="s">
        <v>31</v>
      </c>
      <c r="D547" s="6" t="s">
        <v>269</v>
      </c>
      <c r="E547" s="9" t="s">
        <v>1138</v>
      </c>
      <c r="F547" s="7">
        <v>-50000</v>
      </c>
    </row>
    <row r="548" spans="1:6" x14ac:dyDescent="0.3">
      <c r="A548" s="5" t="s">
        <v>662</v>
      </c>
      <c r="B548" s="26">
        <v>43508</v>
      </c>
      <c r="C548" s="9" t="s">
        <v>145</v>
      </c>
      <c r="D548" s="6" t="s">
        <v>269</v>
      </c>
      <c r="E548" s="9" t="s">
        <v>1138</v>
      </c>
      <c r="F548" s="7">
        <v>-1000</v>
      </c>
    </row>
    <row r="549" spans="1:6" x14ac:dyDescent="0.3">
      <c r="A549" s="5" t="s">
        <v>663</v>
      </c>
      <c r="B549" s="26">
        <v>43510</v>
      </c>
      <c r="C549" s="9" t="s">
        <v>102</v>
      </c>
      <c r="D549" s="6" t="s">
        <v>269</v>
      </c>
      <c r="E549" s="9" t="s">
        <v>1138</v>
      </c>
      <c r="F549" s="7">
        <v>-15000</v>
      </c>
    </row>
    <row r="550" spans="1:6" x14ac:dyDescent="0.3">
      <c r="A550" s="5" t="s">
        <v>664</v>
      </c>
      <c r="B550" s="26">
        <v>43510</v>
      </c>
      <c r="C550" s="14" t="s">
        <v>50</v>
      </c>
      <c r="D550" s="6" t="s">
        <v>269</v>
      </c>
      <c r="E550" s="9" t="s">
        <v>1138</v>
      </c>
      <c r="F550" s="7">
        <v>-12600</v>
      </c>
    </row>
    <row r="551" spans="1:6" x14ac:dyDescent="0.3">
      <c r="A551" s="5" t="s">
        <v>665</v>
      </c>
      <c r="B551" s="26">
        <v>43511</v>
      </c>
      <c r="C551" s="11" t="s">
        <v>31</v>
      </c>
      <c r="D551" s="6" t="s">
        <v>269</v>
      </c>
      <c r="E551" s="9" t="s">
        <v>1138</v>
      </c>
      <c r="F551" s="7">
        <v>-25000</v>
      </c>
    </row>
    <row r="552" spans="1:6" x14ac:dyDescent="0.3">
      <c r="A552" s="5" t="s">
        <v>666</v>
      </c>
      <c r="B552" s="26">
        <v>43511</v>
      </c>
      <c r="C552" s="9" t="s">
        <v>145</v>
      </c>
      <c r="D552" s="6" t="s">
        <v>269</v>
      </c>
      <c r="E552" s="9" t="s">
        <v>1138</v>
      </c>
      <c r="F552" s="7">
        <v>-3000</v>
      </c>
    </row>
    <row r="553" spans="1:6" x14ac:dyDescent="0.3">
      <c r="A553" s="5" t="s">
        <v>667</v>
      </c>
      <c r="B553" s="26">
        <v>43512</v>
      </c>
      <c r="C553" s="11" t="s">
        <v>31</v>
      </c>
      <c r="D553" s="6" t="s">
        <v>269</v>
      </c>
      <c r="E553" s="9" t="s">
        <v>1138</v>
      </c>
      <c r="F553" s="7">
        <v>-20000</v>
      </c>
    </row>
    <row r="554" spans="1:6" x14ac:dyDescent="0.3">
      <c r="A554" s="5" t="s">
        <v>668</v>
      </c>
      <c r="B554" s="26">
        <v>43512</v>
      </c>
      <c r="C554" s="9" t="s">
        <v>106</v>
      </c>
      <c r="D554" s="6" t="s">
        <v>269</v>
      </c>
      <c r="E554" s="9" t="s">
        <v>1138</v>
      </c>
      <c r="F554" s="7">
        <v>-3300</v>
      </c>
    </row>
    <row r="555" spans="1:6" x14ac:dyDescent="0.3">
      <c r="A555" s="5" t="s">
        <v>669</v>
      </c>
      <c r="B555" s="26">
        <v>43512</v>
      </c>
      <c r="C555" s="9" t="s">
        <v>42</v>
      </c>
      <c r="D555" s="6" t="s">
        <v>269</v>
      </c>
      <c r="E555" s="9" t="s">
        <v>1138</v>
      </c>
      <c r="F555" s="7">
        <v>-50</v>
      </c>
    </row>
    <row r="556" spans="1:6" x14ac:dyDescent="0.3">
      <c r="A556" s="5" t="s">
        <v>670</v>
      </c>
      <c r="B556" s="26">
        <v>43514</v>
      </c>
      <c r="C556" s="9" t="s">
        <v>106</v>
      </c>
      <c r="D556" s="6" t="s">
        <v>269</v>
      </c>
      <c r="E556" s="9" t="s">
        <v>1138</v>
      </c>
      <c r="F556" s="7">
        <v>-425</v>
      </c>
    </row>
    <row r="557" spans="1:6" x14ac:dyDescent="0.3">
      <c r="A557" s="5" t="s">
        <v>671</v>
      </c>
      <c r="B557" s="26">
        <v>43514</v>
      </c>
      <c r="C557" s="9" t="s">
        <v>50</v>
      </c>
      <c r="D557" s="6" t="s">
        <v>269</v>
      </c>
      <c r="E557" s="9" t="s">
        <v>1138</v>
      </c>
      <c r="F557" s="7">
        <v>-12600</v>
      </c>
    </row>
    <row r="558" spans="1:6" x14ac:dyDescent="0.3">
      <c r="A558" s="5" t="s">
        <v>672</v>
      </c>
      <c r="B558" s="26">
        <v>43514</v>
      </c>
      <c r="C558" s="9" t="s">
        <v>42</v>
      </c>
      <c r="D558" s="6" t="s">
        <v>269</v>
      </c>
      <c r="E558" s="9" t="s">
        <v>1138</v>
      </c>
      <c r="F558" s="7">
        <v>-50</v>
      </c>
    </row>
    <row r="559" spans="1:6" x14ac:dyDescent="0.3">
      <c r="A559" s="5" t="s">
        <v>673</v>
      </c>
      <c r="B559" s="26">
        <v>43514</v>
      </c>
      <c r="C559" s="9" t="s">
        <v>102</v>
      </c>
      <c r="D559" s="6" t="s">
        <v>269</v>
      </c>
      <c r="E559" s="9" t="s">
        <v>1138</v>
      </c>
      <c r="F559" s="7">
        <v>-10000</v>
      </c>
    </row>
    <row r="560" spans="1:6" x14ac:dyDescent="0.3">
      <c r="A560" s="5" t="s">
        <v>674</v>
      </c>
      <c r="B560" s="27">
        <v>43515</v>
      </c>
      <c r="C560" s="8" t="s">
        <v>146</v>
      </c>
      <c r="D560" s="6" t="s">
        <v>269</v>
      </c>
      <c r="E560" s="8" t="s">
        <v>1148</v>
      </c>
      <c r="F560" s="12">
        <v>200000</v>
      </c>
    </row>
    <row r="561" spans="1:6" x14ac:dyDescent="0.3">
      <c r="A561" s="5" t="s">
        <v>675</v>
      </c>
      <c r="B561" s="26">
        <v>43515</v>
      </c>
      <c r="C561" s="11" t="s">
        <v>31</v>
      </c>
      <c r="D561" s="6" t="s">
        <v>269</v>
      </c>
      <c r="E561" s="9" t="s">
        <v>1138</v>
      </c>
      <c r="F561" s="7">
        <v>-75000</v>
      </c>
    </row>
    <row r="562" spans="1:6" x14ac:dyDescent="0.3">
      <c r="A562" s="5" t="s">
        <v>676</v>
      </c>
      <c r="B562" s="27">
        <v>43515</v>
      </c>
      <c r="C562" s="9" t="s">
        <v>102</v>
      </c>
      <c r="D562" s="6" t="s">
        <v>269</v>
      </c>
      <c r="E562" s="9" t="s">
        <v>1138</v>
      </c>
      <c r="F562" s="7">
        <v>-25000</v>
      </c>
    </row>
    <row r="563" spans="1:6" x14ac:dyDescent="0.3">
      <c r="A563" s="5" t="s">
        <v>677</v>
      </c>
      <c r="B563" s="26">
        <v>43515</v>
      </c>
      <c r="C563" s="9" t="s">
        <v>42</v>
      </c>
      <c r="D563" s="6" t="s">
        <v>269</v>
      </c>
      <c r="E563" s="9" t="s">
        <v>1138</v>
      </c>
      <c r="F563" s="7">
        <v>-50</v>
      </c>
    </row>
    <row r="564" spans="1:6" x14ac:dyDescent="0.3">
      <c r="A564" s="5" t="s">
        <v>678</v>
      </c>
      <c r="B564" s="26">
        <v>43516</v>
      </c>
      <c r="C564" s="9" t="s">
        <v>106</v>
      </c>
      <c r="D564" s="6" t="s">
        <v>269</v>
      </c>
      <c r="E564" s="9" t="s">
        <v>1138</v>
      </c>
      <c r="F564" s="7">
        <v>-3750</v>
      </c>
    </row>
    <row r="565" spans="1:6" x14ac:dyDescent="0.3">
      <c r="A565" s="5" t="s">
        <v>679</v>
      </c>
      <c r="B565" s="26">
        <v>43516</v>
      </c>
      <c r="C565" s="9" t="s">
        <v>108</v>
      </c>
      <c r="D565" s="6" t="s">
        <v>269</v>
      </c>
      <c r="E565" s="9" t="s">
        <v>1138</v>
      </c>
      <c r="F565" s="7">
        <v>-100</v>
      </c>
    </row>
    <row r="566" spans="1:6" x14ac:dyDescent="0.3">
      <c r="A566" s="5" t="s">
        <v>680</v>
      </c>
      <c r="B566" s="26">
        <v>43516</v>
      </c>
      <c r="C566" s="9" t="s">
        <v>26</v>
      </c>
      <c r="D566" s="6" t="s">
        <v>269</v>
      </c>
      <c r="E566" s="9" t="s">
        <v>1138</v>
      </c>
      <c r="F566" s="7">
        <v>-10000</v>
      </c>
    </row>
    <row r="567" spans="1:6" x14ac:dyDescent="0.3">
      <c r="A567" s="5" t="s">
        <v>681</v>
      </c>
      <c r="B567" s="26">
        <v>43517</v>
      </c>
      <c r="C567" s="8" t="s">
        <v>147</v>
      </c>
      <c r="D567" s="6" t="s">
        <v>269</v>
      </c>
      <c r="E567" s="8" t="s">
        <v>1148</v>
      </c>
      <c r="F567" s="12">
        <v>500000</v>
      </c>
    </row>
    <row r="568" spans="1:6" x14ac:dyDescent="0.3">
      <c r="A568" s="5" t="s">
        <v>682</v>
      </c>
      <c r="B568" s="26">
        <v>43517</v>
      </c>
      <c r="C568" s="8" t="s">
        <v>148</v>
      </c>
      <c r="D568" s="6" t="s">
        <v>269</v>
      </c>
      <c r="E568" s="8" t="s">
        <v>1148</v>
      </c>
      <c r="F568" s="12">
        <v>500000</v>
      </c>
    </row>
    <row r="569" spans="1:6" x14ac:dyDescent="0.3">
      <c r="A569" s="5" t="s">
        <v>683</v>
      </c>
      <c r="B569" s="30">
        <v>43519</v>
      </c>
      <c r="C569" s="9" t="s">
        <v>106</v>
      </c>
      <c r="D569" s="6" t="s">
        <v>269</v>
      </c>
      <c r="E569" s="9" t="s">
        <v>1138</v>
      </c>
      <c r="F569" s="7">
        <v>-3520</v>
      </c>
    </row>
    <row r="570" spans="1:6" x14ac:dyDescent="0.3">
      <c r="A570" s="5" t="s">
        <v>684</v>
      </c>
      <c r="B570" s="27">
        <v>43519</v>
      </c>
      <c r="C570" s="9" t="s">
        <v>42</v>
      </c>
      <c r="D570" s="6" t="s">
        <v>269</v>
      </c>
      <c r="E570" s="9" t="s">
        <v>1138</v>
      </c>
      <c r="F570" s="7">
        <v>-100</v>
      </c>
    </row>
    <row r="571" spans="1:6" x14ac:dyDescent="0.3">
      <c r="A571" s="5" t="s">
        <v>685</v>
      </c>
      <c r="B571" s="26">
        <v>43519</v>
      </c>
      <c r="C571" s="9" t="s">
        <v>145</v>
      </c>
      <c r="D571" s="6" t="s">
        <v>269</v>
      </c>
      <c r="E571" s="9" t="s">
        <v>1138</v>
      </c>
      <c r="F571" s="7">
        <v>-3000</v>
      </c>
    </row>
    <row r="572" spans="1:6" x14ac:dyDescent="0.3">
      <c r="A572" s="5" t="s">
        <v>686</v>
      </c>
      <c r="B572" s="26">
        <v>43519</v>
      </c>
      <c r="C572" s="11" t="s">
        <v>31</v>
      </c>
      <c r="D572" s="6" t="s">
        <v>269</v>
      </c>
      <c r="E572" s="9" t="s">
        <v>1138</v>
      </c>
      <c r="F572" s="7">
        <v>-10000</v>
      </c>
    </row>
    <row r="573" spans="1:6" x14ac:dyDescent="0.3">
      <c r="A573" s="5" t="s">
        <v>687</v>
      </c>
      <c r="B573" s="26">
        <v>43521</v>
      </c>
      <c r="C573" s="11" t="s">
        <v>31</v>
      </c>
      <c r="D573" s="6" t="s">
        <v>269</v>
      </c>
      <c r="E573" s="9" t="s">
        <v>1138</v>
      </c>
      <c r="F573" s="7">
        <v>-25000</v>
      </c>
    </row>
    <row r="574" spans="1:6" x14ac:dyDescent="0.3">
      <c r="A574" s="5" t="s">
        <v>688</v>
      </c>
      <c r="B574" s="26">
        <v>43522</v>
      </c>
      <c r="C574" s="9" t="s">
        <v>102</v>
      </c>
      <c r="D574" s="6" t="s">
        <v>269</v>
      </c>
      <c r="E574" s="9" t="s">
        <v>1138</v>
      </c>
      <c r="F574" s="7">
        <v>-20000</v>
      </c>
    </row>
    <row r="575" spans="1:6" x14ac:dyDescent="0.3">
      <c r="A575" s="5" t="s">
        <v>689</v>
      </c>
      <c r="B575" s="26">
        <v>43522</v>
      </c>
      <c r="C575" s="11" t="s">
        <v>31</v>
      </c>
      <c r="D575" s="6" t="s">
        <v>269</v>
      </c>
      <c r="E575" s="9" t="s">
        <v>1138</v>
      </c>
      <c r="F575" s="7">
        <v>-35000</v>
      </c>
    </row>
    <row r="576" spans="1:6" x14ac:dyDescent="0.3">
      <c r="A576" s="5" t="s">
        <v>690</v>
      </c>
      <c r="B576" s="26">
        <v>43522</v>
      </c>
      <c r="C576" s="9" t="s">
        <v>145</v>
      </c>
      <c r="D576" s="6" t="s">
        <v>269</v>
      </c>
      <c r="E576" s="9" t="s">
        <v>1138</v>
      </c>
      <c r="F576" s="7">
        <v>-1000</v>
      </c>
    </row>
    <row r="577" spans="1:7" x14ac:dyDescent="0.3">
      <c r="A577" s="5" t="s">
        <v>691</v>
      </c>
      <c r="B577" s="26">
        <v>43523</v>
      </c>
      <c r="C577" s="9" t="s">
        <v>26</v>
      </c>
      <c r="D577" s="6" t="s">
        <v>269</v>
      </c>
      <c r="E577" s="9" t="s">
        <v>1138</v>
      </c>
      <c r="F577" s="7">
        <v>-20000</v>
      </c>
      <c r="G577">
        <v>4950</v>
      </c>
    </row>
    <row r="578" spans="1:7" x14ac:dyDescent="0.3">
      <c r="A578" s="5" t="s">
        <v>692</v>
      </c>
      <c r="B578" s="25">
        <v>43523</v>
      </c>
      <c r="C578" s="9" t="s">
        <v>122</v>
      </c>
      <c r="D578" s="6" t="s">
        <v>269</v>
      </c>
      <c r="E578" s="9" t="s">
        <v>1138</v>
      </c>
      <c r="F578" s="7">
        <v>-100</v>
      </c>
    </row>
    <row r="579" spans="1:7" x14ac:dyDescent="0.3">
      <c r="A579" s="5" t="s">
        <v>693</v>
      </c>
      <c r="B579" s="25">
        <v>43523</v>
      </c>
      <c r="C579" s="9" t="s">
        <v>42</v>
      </c>
      <c r="D579" s="6" t="s">
        <v>269</v>
      </c>
      <c r="E579" s="9" t="s">
        <v>1138</v>
      </c>
      <c r="F579" s="7">
        <v>-50</v>
      </c>
    </row>
    <row r="580" spans="1:7" x14ac:dyDescent="0.3">
      <c r="A580" s="5" t="s">
        <v>694</v>
      </c>
      <c r="B580" s="26">
        <v>43523</v>
      </c>
      <c r="C580" s="9" t="s">
        <v>113</v>
      </c>
      <c r="D580" s="6" t="s">
        <v>269</v>
      </c>
      <c r="E580" s="9" t="s">
        <v>1138</v>
      </c>
      <c r="F580" s="7">
        <v>-5000</v>
      </c>
    </row>
    <row r="581" spans="1:7" x14ac:dyDescent="0.3">
      <c r="A581" s="5" t="s">
        <v>695</v>
      </c>
      <c r="B581" s="27">
        <v>43528</v>
      </c>
      <c r="C581" s="9" t="s">
        <v>26</v>
      </c>
      <c r="D581" s="6" t="s">
        <v>269</v>
      </c>
      <c r="E581" s="9" t="s">
        <v>1138</v>
      </c>
      <c r="F581" s="7">
        <v>-20000</v>
      </c>
    </row>
    <row r="582" spans="1:7" x14ac:dyDescent="0.3">
      <c r="A582" s="5" t="s">
        <v>696</v>
      </c>
      <c r="B582" s="26">
        <v>43528</v>
      </c>
      <c r="C582" s="11" t="s">
        <v>31</v>
      </c>
      <c r="D582" s="6" t="s">
        <v>269</v>
      </c>
      <c r="E582" s="9" t="s">
        <v>1138</v>
      </c>
      <c r="F582" s="7">
        <v>-25000</v>
      </c>
    </row>
    <row r="583" spans="1:7" x14ac:dyDescent="0.3">
      <c r="A583" s="5" t="s">
        <v>697</v>
      </c>
      <c r="B583" s="26">
        <v>43528</v>
      </c>
      <c r="C583" s="9" t="s">
        <v>145</v>
      </c>
      <c r="D583" s="6" t="s">
        <v>269</v>
      </c>
      <c r="E583" s="9" t="s">
        <v>1138</v>
      </c>
      <c r="F583" s="7">
        <v>-2000</v>
      </c>
    </row>
    <row r="584" spans="1:7" x14ac:dyDescent="0.3">
      <c r="A584" s="5" t="s">
        <v>698</v>
      </c>
      <c r="B584" s="26">
        <v>43529</v>
      </c>
      <c r="C584" s="9" t="s">
        <v>149</v>
      </c>
      <c r="D584" s="6" t="s">
        <v>269</v>
      </c>
      <c r="E584" s="9" t="s">
        <v>1138</v>
      </c>
      <c r="F584" s="7">
        <v>-33000</v>
      </c>
    </row>
    <row r="585" spans="1:7" x14ac:dyDescent="0.3">
      <c r="A585" s="5" t="s">
        <v>699</v>
      </c>
      <c r="B585" s="25">
        <v>43529</v>
      </c>
      <c r="C585" s="9" t="s">
        <v>150</v>
      </c>
      <c r="D585" s="6" t="s">
        <v>269</v>
      </c>
      <c r="E585" s="9" t="s">
        <v>1138</v>
      </c>
      <c r="F585" s="7">
        <v>-8400</v>
      </c>
    </row>
    <row r="586" spans="1:7" x14ac:dyDescent="0.3">
      <c r="A586" s="5" t="s">
        <v>700</v>
      </c>
      <c r="B586" s="26">
        <v>43529</v>
      </c>
      <c r="C586" s="9" t="s">
        <v>151</v>
      </c>
      <c r="D586" s="6" t="s">
        <v>269</v>
      </c>
      <c r="E586" s="9" t="s">
        <v>1138</v>
      </c>
      <c r="F586" s="7">
        <v>-2700</v>
      </c>
    </row>
    <row r="587" spans="1:7" x14ac:dyDescent="0.3">
      <c r="A587" s="5" t="s">
        <v>701</v>
      </c>
      <c r="B587" s="26">
        <v>43530</v>
      </c>
      <c r="C587" s="11" t="s">
        <v>31</v>
      </c>
      <c r="D587" s="6" t="s">
        <v>269</v>
      </c>
      <c r="E587" s="9" t="s">
        <v>1138</v>
      </c>
      <c r="F587" s="7">
        <v>-25000</v>
      </c>
    </row>
    <row r="588" spans="1:7" x14ac:dyDescent="0.3">
      <c r="A588" s="5" t="s">
        <v>702</v>
      </c>
      <c r="B588" s="26">
        <v>43530</v>
      </c>
      <c r="C588" s="9" t="s">
        <v>42</v>
      </c>
      <c r="D588" s="6" t="s">
        <v>269</v>
      </c>
      <c r="E588" s="9" t="s">
        <v>1138</v>
      </c>
      <c r="F588" s="7">
        <v>-50</v>
      </c>
    </row>
    <row r="589" spans="1:7" x14ac:dyDescent="0.3">
      <c r="A589" s="5" t="s">
        <v>703</v>
      </c>
      <c r="B589" s="26">
        <v>43530</v>
      </c>
      <c r="C589" s="8" t="s">
        <v>146</v>
      </c>
      <c r="D589" s="6" t="s">
        <v>269</v>
      </c>
      <c r="E589" s="8" t="s">
        <v>1148</v>
      </c>
      <c r="F589" s="12">
        <v>100000</v>
      </c>
    </row>
    <row r="590" spans="1:7" x14ac:dyDescent="0.3">
      <c r="A590" s="5" t="s">
        <v>704</v>
      </c>
      <c r="B590" s="26">
        <v>43530</v>
      </c>
      <c r="C590" s="9" t="s">
        <v>26</v>
      </c>
      <c r="D590" s="6" t="s">
        <v>269</v>
      </c>
      <c r="E590" s="9" t="s">
        <v>1138</v>
      </c>
      <c r="F590" s="7">
        <v>-20000</v>
      </c>
    </row>
    <row r="591" spans="1:7" x14ac:dyDescent="0.3">
      <c r="A591" s="5" t="s">
        <v>705</v>
      </c>
      <c r="B591" s="27">
        <v>43530</v>
      </c>
      <c r="C591" s="9" t="s">
        <v>102</v>
      </c>
      <c r="D591" s="6" t="s">
        <v>269</v>
      </c>
      <c r="E591" s="9" t="s">
        <v>1138</v>
      </c>
      <c r="F591" s="7">
        <v>-10000</v>
      </c>
    </row>
    <row r="592" spans="1:7" x14ac:dyDescent="0.3">
      <c r="A592" s="5" t="s">
        <v>706</v>
      </c>
      <c r="B592" s="25">
        <v>43530</v>
      </c>
      <c r="C592" s="11" t="s">
        <v>152</v>
      </c>
      <c r="D592" s="6" t="s">
        <v>269</v>
      </c>
      <c r="E592" s="9" t="s">
        <v>1138</v>
      </c>
      <c r="F592" s="7">
        <v>-60000</v>
      </c>
    </row>
    <row r="593" spans="1:7" x14ac:dyDescent="0.3">
      <c r="A593" s="5" t="s">
        <v>707</v>
      </c>
      <c r="B593" s="25">
        <v>43531</v>
      </c>
      <c r="C593" s="9" t="s">
        <v>69</v>
      </c>
      <c r="D593" s="6" t="s">
        <v>269</v>
      </c>
      <c r="E593" s="9" t="s">
        <v>1138</v>
      </c>
      <c r="F593" s="7">
        <v>-20000</v>
      </c>
    </row>
    <row r="594" spans="1:7" x14ac:dyDescent="0.3">
      <c r="A594" s="5" t="s">
        <v>708</v>
      </c>
      <c r="B594" s="25">
        <v>43533</v>
      </c>
      <c r="C594" s="11" t="s">
        <v>31</v>
      </c>
      <c r="D594" s="6" t="s">
        <v>269</v>
      </c>
      <c r="E594" s="9" t="s">
        <v>1138</v>
      </c>
      <c r="F594" s="7">
        <v>-20000</v>
      </c>
    </row>
    <row r="595" spans="1:7" x14ac:dyDescent="0.3">
      <c r="A595" s="5" t="s">
        <v>709</v>
      </c>
      <c r="B595" s="25">
        <v>43533</v>
      </c>
      <c r="C595" s="9" t="s">
        <v>153</v>
      </c>
      <c r="D595" s="6" t="s">
        <v>269</v>
      </c>
      <c r="E595" s="9" t="s">
        <v>1138</v>
      </c>
      <c r="F595" s="7">
        <v>-400</v>
      </c>
    </row>
    <row r="596" spans="1:7" x14ac:dyDescent="0.3">
      <c r="A596" s="5" t="s">
        <v>710</v>
      </c>
      <c r="B596" s="25">
        <v>43533</v>
      </c>
      <c r="C596" s="9" t="s">
        <v>26</v>
      </c>
      <c r="D596" s="6" t="s">
        <v>269</v>
      </c>
      <c r="E596" s="9" t="s">
        <v>1138</v>
      </c>
      <c r="F596" s="7">
        <v>-3000</v>
      </c>
    </row>
    <row r="597" spans="1:7" x14ac:dyDescent="0.3">
      <c r="A597" s="5" t="s">
        <v>711</v>
      </c>
      <c r="B597" s="25">
        <v>43536</v>
      </c>
      <c r="C597" s="9" t="s">
        <v>119</v>
      </c>
      <c r="D597" s="6" t="s">
        <v>269</v>
      </c>
      <c r="E597" s="9" t="s">
        <v>1138</v>
      </c>
      <c r="F597" s="7">
        <v>-70</v>
      </c>
    </row>
    <row r="598" spans="1:7" x14ac:dyDescent="0.3">
      <c r="A598" s="5" t="s">
        <v>712</v>
      </c>
      <c r="B598" s="25">
        <v>43536</v>
      </c>
      <c r="C598" s="11" t="s">
        <v>31</v>
      </c>
      <c r="D598" s="6" t="s">
        <v>269</v>
      </c>
      <c r="E598" s="9" t="s">
        <v>1138</v>
      </c>
      <c r="F598" s="7">
        <v>-25000</v>
      </c>
    </row>
    <row r="599" spans="1:7" x14ac:dyDescent="0.3">
      <c r="A599" s="5" t="s">
        <v>713</v>
      </c>
      <c r="B599" s="25">
        <v>43536</v>
      </c>
      <c r="C599" s="11" t="s">
        <v>102</v>
      </c>
      <c r="D599" s="6" t="s">
        <v>269</v>
      </c>
      <c r="E599" s="9" t="s">
        <v>1138</v>
      </c>
      <c r="F599" s="7">
        <v>-10000</v>
      </c>
      <c r="G599" t="s">
        <v>202</v>
      </c>
    </row>
    <row r="600" spans="1:7" x14ac:dyDescent="0.3">
      <c r="A600" s="5" t="s">
        <v>714</v>
      </c>
      <c r="B600" s="25">
        <v>43536</v>
      </c>
      <c r="C600" s="11" t="s">
        <v>42</v>
      </c>
      <c r="D600" s="6" t="s">
        <v>269</v>
      </c>
      <c r="E600" s="9" t="s">
        <v>1138</v>
      </c>
      <c r="F600" s="7">
        <v>-300</v>
      </c>
      <c r="G600" t="s">
        <v>204</v>
      </c>
    </row>
    <row r="601" spans="1:7" hidden="1" x14ac:dyDescent="0.3">
      <c r="A601" s="5" t="s">
        <v>1387</v>
      </c>
      <c r="B601" s="31">
        <v>43536</v>
      </c>
      <c r="C601" s="9" t="s">
        <v>1388</v>
      </c>
      <c r="D601" s="9" t="s">
        <v>1137</v>
      </c>
      <c r="E601" s="9" t="s">
        <v>1148</v>
      </c>
      <c r="F601" s="37">
        <v>300000</v>
      </c>
    </row>
    <row r="602" spans="1:7" x14ac:dyDescent="0.3">
      <c r="A602" s="5" t="s">
        <v>715</v>
      </c>
      <c r="B602" s="27">
        <v>43538</v>
      </c>
      <c r="C602" s="8" t="s">
        <v>154</v>
      </c>
      <c r="D602" s="6" t="s">
        <v>269</v>
      </c>
      <c r="E602" s="8" t="s">
        <v>1148</v>
      </c>
      <c r="F602" s="12">
        <v>200000</v>
      </c>
    </row>
    <row r="603" spans="1:7" x14ac:dyDescent="0.3">
      <c r="A603" s="5" t="s">
        <v>716</v>
      </c>
      <c r="B603" s="26">
        <v>43538</v>
      </c>
      <c r="C603" s="11" t="s">
        <v>62</v>
      </c>
      <c r="D603" s="6" t="s">
        <v>269</v>
      </c>
      <c r="E603" s="9" t="s">
        <v>1138</v>
      </c>
      <c r="F603" s="7">
        <v>-100</v>
      </c>
    </row>
    <row r="604" spans="1:7" x14ac:dyDescent="0.3">
      <c r="A604" s="5" t="s">
        <v>717</v>
      </c>
      <c r="B604" s="26">
        <v>43538</v>
      </c>
      <c r="C604" s="6" t="s">
        <v>155</v>
      </c>
      <c r="D604" s="6" t="s">
        <v>269</v>
      </c>
      <c r="E604" s="9" t="s">
        <v>1138</v>
      </c>
      <c r="F604" s="7">
        <v>-73000</v>
      </c>
    </row>
    <row r="605" spans="1:7" x14ac:dyDescent="0.3">
      <c r="A605" s="5" t="s">
        <v>718</v>
      </c>
      <c r="B605" s="26">
        <v>43538</v>
      </c>
      <c r="C605" s="11" t="s">
        <v>102</v>
      </c>
      <c r="D605" s="6" t="s">
        <v>269</v>
      </c>
      <c r="E605" s="9" t="s">
        <v>1138</v>
      </c>
      <c r="F605" s="7">
        <v>-50000</v>
      </c>
    </row>
    <row r="606" spans="1:7" x14ac:dyDescent="0.3">
      <c r="A606" s="5" t="s">
        <v>719</v>
      </c>
      <c r="B606" s="26">
        <v>43538</v>
      </c>
      <c r="C606" s="11" t="s">
        <v>31</v>
      </c>
      <c r="D606" s="6" t="s">
        <v>269</v>
      </c>
      <c r="E606" s="9" t="s">
        <v>1138</v>
      </c>
      <c r="F606" s="7">
        <v>-50000</v>
      </c>
    </row>
    <row r="607" spans="1:7" x14ac:dyDescent="0.3">
      <c r="A607" s="5" t="s">
        <v>720</v>
      </c>
      <c r="B607" s="30">
        <v>43538</v>
      </c>
      <c r="C607" s="11" t="s">
        <v>12</v>
      </c>
      <c r="D607" s="6" t="s">
        <v>269</v>
      </c>
      <c r="E607" s="9" t="s">
        <v>1138</v>
      </c>
      <c r="F607" s="7">
        <v>-850</v>
      </c>
    </row>
    <row r="608" spans="1:7" x14ac:dyDescent="0.3">
      <c r="A608" s="5" t="s">
        <v>721</v>
      </c>
      <c r="B608" s="27">
        <v>43538</v>
      </c>
      <c r="C608" s="11" t="s">
        <v>93</v>
      </c>
      <c r="D608" s="6" t="s">
        <v>269</v>
      </c>
      <c r="E608" s="9" t="s">
        <v>1138</v>
      </c>
      <c r="F608" s="7">
        <v>-850</v>
      </c>
    </row>
    <row r="609" spans="1:6" x14ac:dyDescent="0.3">
      <c r="A609" s="5" t="s">
        <v>722</v>
      </c>
      <c r="B609" s="25">
        <v>43538</v>
      </c>
      <c r="C609" s="9" t="s">
        <v>156</v>
      </c>
      <c r="D609" s="6" t="s">
        <v>269</v>
      </c>
      <c r="E609" s="9" t="s">
        <v>1138</v>
      </c>
      <c r="F609" s="7">
        <v>-20000</v>
      </c>
    </row>
    <row r="610" spans="1:6" x14ac:dyDescent="0.3">
      <c r="A610" s="5" t="s">
        <v>723</v>
      </c>
      <c r="B610" s="26">
        <v>43538</v>
      </c>
      <c r="C610" s="9" t="s">
        <v>145</v>
      </c>
      <c r="D610" s="6" t="s">
        <v>269</v>
      </c>
      <c r="E610" s="9" t="s">
        <v>1138</v>
      </c>
      <c r="F610" s="7">
        <v>-3000</v>
      </c>
    </row>
    <row r="611" spans="1:6" x14ac:dyDescent="0.3">
      <c r="A611" s="5" t="s">
        <v>724</v>
      </c>
      <c r="B611" s="27">
        <v>43538</v>
      </c>
      <c r="C611" s="9" t="s">
        <v>157</v>
      </c>
      <c r="D611" s="6" t="s">
        <v>269</v>
      </c>
      <c r="E611" s="9" t="s">
        <v>1138</v>
      </c>
      <c r="F611" s="7">
        <v>-500</v>
      </c>
    </row>
    <row r="612" spans="1:6" x14ac:dyDescent="0.3">
      <c r="A612" s="5" t="s">
        <v>725</v>
      </c>
      <c r="B612" s="26">
        <v>43539</v>
      </c>
      <c r="C612" s="9" t="s">
        <v>157</v>
      </c>
      <c r="D612" s="6" t="s">
        <v>269</v>
      </c>
      <c r="E612" s="9" t="s">
        <v>1138</v>
      </c>
      <c r="F612" s="7">
        <v>-1000</v>
      </c>
    </row>
    <row r="613" spans="1:6" x14ac:dyDescent="0.3">
      <c r="A613" s="5" t="s">
        <v>726</v>
      </c>
      <c r="B613" s="26">
        <v>43539</v>
      </c>
      <c r="C613" s="9" t="s">
        <v>158</v>
      </c>
      <c r="D613" s="6" t="s">
        <v>269</v>
      </c>
      <c r="E613" s="9" t="s">
        <v>1138</v>
      </c>
      <c r="F613" s="7">
        <v>-150</v>
      </c>
    </row>
    <row r="614" spans="1:6" x14ac:dyDescent="0.3">
      <c r="A614" s="5" t="s">
        <v>727</v>
      </c>
      <c r="B614" s="26">
        <v>43539</v>
      </c>
      <c r="C614" s="9" t="s">
        <v>159</v>
      </c>
      <c r="D614" s="6" t="s">
        <v>269</v>
      </c>
      <c r="E614" s="9" t="s">
        <v>1138</v>
      </c>
      <c r="F614" s="7">
        <v>-50000</v>
      </c>
    </row>
    <row r="615" spans="1:6" x14ac:dyDescent="0.3">
      <c r="A615" s="5" t="s">
        <v>728</v>
      </c>
      <c r="B615" s="26">
        <v>43539</v>
      </c>
      <c r="C615" s="9" t="s">
        <v>42</v>
      </c>
      <c r="D615" s="6" t="s">
        <v>269</v>
      </c>
      <c r="E615" s="9" t="s">
        <v>1138</v>
      </c>
      <c r="F615" s="7">
        <v>-50</v>
      </c>
    </row>
    <row r="616" spans="1:6" x14ac:dyDescent="0.3">
      <c r="A616" s="5" t="s">
        <v>729</v>
      </c>
      <c r="B616" s="25">
        <v>43540</v>
      </c>
      <c r="C616" s="9" t="s">
        <v>42</v>
      </c>
      <c r="D616" s="6" t="s">
        <v>269</v>
      </c>
      <c r="E616" s="9" t="s">
        <v>1138</v>
      </c>
      <c r="F616" s="7">
        <v>-50</v>
      </c>
    </row>
    <row r="617" spans="1:6" x14ac:dyDescent="0.3">
      <c r="A617" s="5" t="s">
        <v>730</v>
      </c>
      <c r="B617" s="25">
        <v>43540</v>
      </c>
      <c r="C617" s="9" t="s">
        <v>157</v>
      </c>
      <c r="D617" s="6" t="s">
        <v>269</v>
      </c>
      <c r="E617" s="9" t="s">
        <v>1138</v>
      </c>
      <c r="F617" s="7">
        <v>-1000</v>
      </c>
    </row>
    <row r="618" spans="1:6" x14ac:dyDescent="0.3">
      <c r="A618" s="5" t="s">
        <v>731</v>
      </c>
      <c r="B618" s="25">
        <v>43543</v>
      </c>
      <c r="C618" s="9" t="s">
        <v>42</v>
      </c>
      <c r="D618" s="6" t="s">
        <v>269</v>
      </c>
      <c r="E618" s="9" t="s">
        <v>1138</v>
      </c>
      <c r="F618" s="7">
        <v>-50</v>
      </c>
    </row>
    <row r="619" spans="1:6" x14ac:dyDescent="0.3">
      <c r="A619" s="5" t="s">
        <v>732</v>
      </c>
      <c r="B619" s="25">
        <v>43543</v>
      </c>
      <c r="C619" s="8" t="s">
        <v>160</v>
      </c>
      <c r="D619" s="6" t="s">
        <v>269</v>
      </c>
      <c r="E619" s="8" t="s">
        <v>1148</v>
      </c>
      <c r="F619" s="12">
        <v>150000</v>
      </c>
    </row>
    <row r="620" spans="1:6" x14ac:dyDescent="0.3">
      <c r="A620" s="5" t="s">
        <v>733</v>
      </c>
      <c r="B620" s="25">
        <v>43543</v>
      </c>
      <c r="C620" s="11" t="s">
        <v>31</v>
      </c>
      <c r="D620" s="6" t="s">
        <v>269</v>
      </c>
      <c r="E620" s="9" t="s">
        <v>1138</v>
      </c>
      <c r="F620" s="7">
        <v>-65000</v>
      </c>
    </row>
    <row r="621" spans="1:6" x14ac:dyDescent="0.3">
      <c r="A621" s="5" t="s">
        <v>734</v>
      </c>
      <c r="B621" s="25">
        <v>43543</v>
      </c>
      <c r="C621" s="9" t="s">
        <v>102</v>
      </c>
      <c r="D621" s="6" t="s">
        <v>269</v>
      </c>
      <c r="E621" s="9" t="s">
        <v>1138</v>
      </c>
      <c r="F621" s="7">
        <v>-50000</v>
      </c>
    </row>
    <row r="622" spans="1:6" x14ac:dyDescent="0.3">
      <c r="A622" s="5" t="s">
        <v>735</v>
      </c>
      <c r="B622" s="25">
        <v>43543</v>
      </c>
      <c r="C622" s="9" t="s">
        <v>157</v>
      </c>
      <c r="D622" s="6" t="s">
        <v>269</v>
      </c>
      <c r="E622" s="9" t="s">
        <v>1138</v>
      </c>
      <c r="F622" s="7">
        <v>-2500</v>
      </c>
    </row>
    <row r="623" spans="1:6" x14ac:dyDescent="0.3">
      <c r="A623" s="5" t="s">
        <v>739</v>
      </c>
      <c r="B623" s="25">
        <v>43545</v>
      </c>
      <c r="C623" s="9" t="s">
        <v>163</v>
      </c>
      <c r="D623" s="6" t="s">
        <v>269</v>
      </c>
      <c r="E623" s="9" t="s">
        <v>1138</v>
      </c>
      <c r="F623" s="7">
        <v>-100000</v>
      </c>
    </row>
    <row r="624" spans="1:6" x14ac:dyDescent="0.3">
      <c r="A624" s="5" t="s">
        <v>740</v>
      </c>
      <c r="B624" s="25">
        <v>43546</v>
      </c>
      <c r="C624" s="9" t="s">
        <v>145</v>
      </c>
      <c r="D624" s="6" t="s">
        <v>269</v>
      </c>
      <c r="E624" s="9" t="s">
        <v>1138</v>
      </c>
      <c r="F624" s="7">
        <v>-2000</v>
      </c>
    </row>
    <row r="625" spans="1:6" x14ac:dyDescent="0.3">
      <c r="A625" s="5" t="s">
        <v>741</v>
      </c>
      <c r="B625" s="25">
        <v>43546</v>
      </c>
      <c r="C625" s="9" t="s">
        <v>42</v>
      </c>
      <c r="D625" s="6" t="s">
        <v>269</v>
      </c>
      <c r="E625" s="9" t="s">
        <v>1138</v>
      </c>
      <c r="F625" s="7">
        <v>-50</v>
      </c>
    </row>
    <row r="626" spans="1:6" x14ac:dyDescent="0.3">
      <c r="A626" s="5" t="s">
        <v>742</v>
      </c>
      <c r="B626" s="25">
        <v>43546</v>
      </c>
      <c r="C626" s="11" t="s">
        <v>31</v>
      </c>
      <c r="D626" s="6" t="s">
        <v>269</v>
      </c>
      <c r="E626" s="9" t="s">
        <v>1138</v>
      </c>
      <c r="F626" s="7">
        <v>-10000</v>
      </c>
    </row>
    <row r="627" spans="1:6" x14ac:dyDescent="0.3">
      <c r="A627" s="5" t="s">
        <v>743</v>
      </c>
      <c r="B627" s="26">
        <v>43547</v>
      </c>
      <c r="C627" s="11" t="s">
        <v>31</v>
      </c>
      <c r="D627" s="6" t="s">
        <v>269</v>
      </c>
      <c r="E627" s="9" t="s">
        <v>1138</v>
      </c>
      <c r="F627" s="7">
        <v>-10000</v>
      </c>
    </row>
    <row r="628" spans="1:6" x14ac:dyDescent="0.3">
      <c r="A628" s="5" t="s">
        <v>744</v>
      </c>
      <c r="B628" s="26">
        <v>43548</v>
      </c>
      <c r="C628" s="9" t="s">
        <v>157</v>
      </c>
      <c r="D628" s="6" t="s">
        <v>269</v>
      </c>
      <c r="E628" s="9" t="s">
        <v>1138</v>
      </c>
      <c r="F628" s="7">
        <v>-1100</v>
      </c>
    </row>
    <row r="629" spans="1:6" x14ac:dyDescent="0.3">
      <c r="A629" s="5" t="s">
        <v>745</v>
      </c>
      <c r="B629" s="26">
        <v>43548</v>
      </c>
      <c r="C629" s="9" t="s">
        <v>42</v>
      </c>
      <c r="D629" s="6" t="s">
        <v>269</v>
      </c>
      <c r="E629" s="9" t="s">
        <v>1138</v>
      </c>
      <c r="F629" s="7">
        <v>-50</v>
      </c>
    </row>
    <row r="630" spans="1:6" x14ac:dyDescent="0.3">
      <c r="A630" s="5" t="s">
        <v>746</v>
      </c>
      <c r="B630" s="25">
        <v>43550</v>
      </c>
      <c r="C630" s="9" t="s">
        <v>42</v>
      </c>
      <c r="D630" s="6" t="s">
        <v>269</v>
      </c>
      <c r="E630" s="9" t="s">
        <v>1138</v>
      </c>
      <c r="F630" s="7">
        <v>-50</v>
      </c>
    </row>
    <row r="631" spans="1:6" x14ac:dyDescent="0.3">
      <c r="A631" s="5" t="s">
        <v>747</v>
      </c>
      <c r="B631" s="26">
        <v>43550</v>
      </c>
      <c r="C631" s="9" t="s">
        <v>164</v>
      </c>
      <c r="D631" s="6" t="s">
        <v>269</v>
      </c>
      <c r="E631" s="9" t="s">
        <v>1138</v>
      </c>
      <c r="F631" s="7">
        <v>-85940</v>
      </c>
    </row>
    <row r="632" spans="1:6" x14ac:dyDescent="0.3">
      <c r="A632" s="5" t="s">
        <v>748</v>
      </c>
      <c r="B632" s="26">
        <v>43550</v>
      </c>
      <c r="C632" s="11" t="s">
        <v>31</v>
      </c>
      <c r="D632" s="6" t="s">
        <v>269</v>
      </c>
      <c r="E632" s="9" t="s">
        <v>1138</v>
      </c>
      <c r="F632" s="7">
        <v>-5000</v>
      </c>
    </row>
    <row r="633" spans="1:6" x14ac:dyDescent="0.3">
      <c r="A633" s="5" t="s">
        <v>749</v>
      </c>
      <c r="B633" s="26">
        <v>43550</v>
      </c>
      <c r="C633" s="11" t="s">
        <v>165</v>
      </c>
      <c r="D633" s="6" t="s">
        <v>269</v>
      </c>
      <c r="E633" s="9" t="s">
        <v>1138</v>
      </c>
      <c r="F633" s="7">
        <v>-50000</v>
      </c>
    </row>
    <row r="634" spans="1:6" x14ac:dyDescent="0.3">
      <c r="A634" s="5" t="s">
        <v>750</v>
      </c>
      <c r="B634" s="26">
        <v>43550</v>
      </c>
      <c r="C634" s="8" t="s">
        <v>160</v>
      </c>
      <c r="D634" s="6" t="s">
        <v>269</v>
      </c>
      <c r="E634" s="8" t="s">
        <v>1148</v>
      </c>
      <c r="F634" s="12">
        <v>100000</v>
      </c>
    </row>
    <row r="635" spans="1:6" x14ac:dyDescent="0.3">
      <c r="A635" s="5" t="s">
        <v>751</v>
      </c>
      <c r="B635" s="27">
        <v>43550</v>
      </c>
      <c r="C635" s="11" t="s">
        <v>31</v>
      </c>
      <c r="D635" s="6" t="s">
        <v>269</v>
      </c>
      <c r="E635" s="9" t="s">
        <v>1138</v>
      </c>
      <c r="F635" s="7">
        <v>-100000</v>
      </c>
    </row>
    <row r="636" spans="1:6" x14ac:dyDescent="0.3">
      <c r="A636" s="5" t="s">
        <v>752</v>
      </c>
      <c r="B636" s="26">
        <v>43552</v>
      </c>
      <c r="C636" s="8" t="s">
        <v>160</v>
      </c>
      <c r="D636" s="6" t="s">
        <v>269</v>
      </c>
      <c r="E636" s="8" t="s">
        <v>1148</v>
      </c>
      <c r="F636" s="12">
        <v>95000</v>
      </c>
    </row>
    <row r="637" spans="1:6" x14ac:dyDescent="0.3">
      <c r="A637" s="5" t="s">
        <v>753</v>
      </c>
      <c r="B637" s="27">
        <v>43552</v>
      </c>
      <c r="C637" s="9" t="s">
        <v>102</v>
      </c>
      <c r="D637" s="6" t="s">
        <v>269</v>
      </c>
      <c r="E637" s="9" t="s">
        <v>1138</v>
      </c>
      <c r="F637" s="7">
        <v>-50000</v>
      </c>
    </row>
    <row r="638" spans="1:6" x14ac:dyDescent="0.3">
      <c r="A638" s="5" t="s">
        <v>754</v>
      </c>
      <c r="B638" s="26">
        <v>43552</v>
      </c>
      <c r="C638" s="9" t="s">
        <v>145</v>
      </c>
      <c r="D638" s="6" t="s">
        <v>269</v>
      </c>
      <c r="E638" s="9" t="s">
        <v>1138</v>
      </c>
      <c r="F638" s="7">
        <v>-2000</v>
      </c>
    </row>
    <row r="639" spans="1:6" x14ac:dyDescent="0.3">
      <c r="A639" s="5" t="s">
        <v>755</v>
      </c>
      <c r="B639" s="26">
        <v>43552</v>
      </c>
      <c r="C639" s="9" t="s">
        <v>157</v>
      </c>
      <c r="D639" s="6" t="s">
        <v>269</v>
      </c>
      <c r="E639" s="9" t="s">
        <v>1138</v>
      </c>
      <c r="F639" s="7">
        <v>-1000</v>
      </c>
    </row>
    <row r="640" spans="1:6" x14ac:dyDescent="0.3">
      <c r="A640" s="5" t="s">
        <v>756</v>
      </c>
      <c r="B640" s="26">
        <v>43552</v>
      </c>
      <c r="C640" s="9" t="s">
        <v>42</v>
      </c>
      <c r="D640" s="6" t="s">
        <v>269</v>
      </c>
      <c r="E640" s="9" t="s">
        <v>1138</v>
      </c>
      <c r="F640" s="7">
        <v>-50</v>
      </c>
    </row>
    <row r="641" spans="1:6" x14ac:dyDescent="0.3">
      <c r="A641" s="5" t="s">
        <v>757</v>
      </c>
      <c r="B641" s="26">
        <v>43552</v>
      </c>
      <c r="C641" s="9" t="s">
        <v>69</v>
      </c>
      <c r="D641" s="6" t="s">
        <v>269</v>
      </c>
      <c r="E641" s="9" t="s">
        <v>1138</v>
      </c>
      <c r="F641" s="7">
        <v>-20000</v>
      </c>
    </row>
    <row r="642" spans="1:6" x14ac:dyDescent="0.3">
      <c r="A642" s="5" t="s">
        <v>758</v>
      </c>
      <c r="B642" s="26">
        <v>43552</v>
      </c>
      <c r="C642" s="9" t="s">
        <v>106</v>
      </c>
      <c r="D642" s="6" t="s">
        <v>269</v>
      </c>
      <c r="E642" s="9" t="s">
        <v>1138</v>
      </c>
      <c r="F642" s="7">
        <v>-2000</v>
      </c>
    </row>
    <row r="643" spans="1:6" x14ac:dyDescent="0.3">
      <c r="A643" s="5" t="s">
        <v>759</v>
      </c>
      <c r="B643" s="26">
        <v>43552</v>
      </c>
      <c r="C643" s="9" t="s">
        <v>166</v>
      </c>
      <c r="D643" s="6" t="s">
        <v>269</v>
      </c>
      <c r="E643" s="9" t="s">
        <v>1138</v>
      </c>
      <c r="F643" s="7">
        <v>-90</v>
      </c>
    </row>
    <row r="644" spans="1:6" x14ac:dyDescent="0.3">
      <c r="A644" s="5" t="s">
        <v>760</v>
      </c>
      <c r="B644" s="25">
        <v>43552</v>
      </c>
      <c r="C644" s="9" t="s">
        <v>42</v>
      </c>
      <c r="D644" s="6" t="s">
        <v>269</v>
      </c>
      <c r="E644" s="9" t="s">
        <v>1138</v>
      </c>
      <c r="F644" s="7">
        <v>-50</v>
      </c>
    </row>
    <row r="645" spans="1:6" x14ac:dyDescent="0.3">
      <c r="A645" s="5" t="s">
        <v>761</v>
      </c>
      <c r="B645" s="26">
        <v>43552</v>
      </c>
      <c r="C645" s="9" t="s">
        <v>42</v>
      </c>
      <c r="D645" s="6" t="s">
        <v>269</v>
      </c>
      <c r="E645" s="9" t="s">
        <v>1138</v>
      </c>
      <c r="F645" s="7">
        <v>-50</v>
      </c>
    </row>
    <row r="646" spans="1:6" x14ac:dyDescent="0.3">
      <c r="A646" s="5" t="s">
        <v>736</v>
      </c>
      <c r="B646" s="27">
        <v>43554</v>
      </c>
      <c r="C646" s="9" t="s">
        <v>145</v>
      </c>
      <c r="D646" s="6" t="s">
        <v>269</v>
      </c>
      <c r="E646" s="9" t="s">
        <v>1138</v>
      </c>
      <c r="F646" s="7">
        <v>-1000</v>
      </c>
    </row>
    <row r="647" spans="1:6" x14ac:dyDescent="0.3">
      <c r="A647" s="5" t="s">
        <v>737</v>
      </c>
      <c r="B647" s="26">
        <v>43554</v>
      </c>
      <c r="C647" s="9" t="s">
        <v>161</v>
      </c>
      <c r="D647" s="6" t="s">
        <v>269</v>
      </c>
      <c r="E647" s="9" t="s">
        <v>1138</v>
      </c>
      <c r="F647" s="7">
        <v>-7000</v>
      </c>
    </row>
    <row r="648" spans="1:6" x14ac:dyDescent="0.3">
      <c r="A648" s="5" t="s">
        <v>738</v>
      </c>
      <c r="B648" s="30">
        <v>43554</v>
      </c>
      <c r="C648" s="9" t="s">
        <v>162</v>
      </c>
      <c r="D648" s="6" t="s">
        <v>269</v>
      </c>
      <c r="E648" s="9" t="s">
        <v>1138</v>
      </c>
      <c r="F648" s="7">
        <v>-2500</v>
      </c>
    </row>
    <row r="649" spans="1:6" x14ac:dyDescent="0.3">
      <c r="A649" s="5" t="s">
        <v>762</v>
      </c>
      <c r="B649" s="27">
        <v>43554</v>
      </c>
      <c r="C649" s="9" t="s">
        <v>167</v>
      </c>
      <c r="D649" s="6" t="s">
        <v>269</v>
      </c>
      <c r="E649" s="9" t="s">
        <v>1138</v>
      </c>
      <c r="F649" s="7">
        <v>-4800</v>
      </c>
    </row>
    <row r="650" spans="1:6" x14ac:dyDescent="0.3">
      <c r="A650" s="5" t="s">
        <v>763</v>
      </c>
      <c r="B650" s="26">
        <v>43554</v>
      </c>
      <c r="C650" s="9" t="s">
        <v>145</v>
      </c>
      <c r="D650" s="6" t="s">
        <v>269</v>
      </c>
      <c r="E650" s="9" t="s">
        <v>1138</v>
      </c>
      <c r="F650" s="7">
        <v>-300</v>
      </c>
    </row>
    <row r="651" spans="1:6" x14ac:dyDescent="0.3">
      <c r="A651" s="5" t="s">
        <v>764</v>
      </c>
      <c r="B651" s="26">
        <v>43554</v>
      </c>
      <c r="C651" s="9" t="s">
        <v>42</v>
      </c>
      <c r="D651" s="6" t="s">
        <v>269</v>
      </c>
      <c r="E651" s="9" t="s">
        <v>1138</v>
      </c>
      <c r="F651" s="7">
        <v>-50</v>
      </c>
    </row>
    <row r="652" spans="1:6" x14ac:dyDescent="0.3">
      <c r="A652" s="5" t="s">
        <v>765</v>
      </c>
      <c r="B652" s="26">
        <v>43555</v>
      </c>
      <c r="C652" s="9" t="s">
        <v>42</v>
      </c>
      <c r="D652" s="6" t="s">
        <v>269</v>
      </c>
      <c r="E652" s="9" t="s">
        <v>1138</v>
      </c>
      <c r="F652" s="7">
        <v>-50</v>
      </c>
    </row>
    <row r="653" spans="1:6" x14ac:dyDescent="0.3">
      <c r="A653" s="5" t="s">
        <v>766</v>
      </c>
      <c r="B653" s="25">
        <v>43557</v>
      </c>
      <c r="C653" s="9" t="s">
        <v>119</v>
      </c>
      <c r="D653" s="6" t="s">
        <v>269</v>
      </c>
      <c r="E653" s="9" t="s">
        <v>1138</v>
      </c>
      <c r="F653" s="7">
        <v>-70</v>
      </c>
    </row>
    <row r="654" spans="1:6" x14ac:dyDescent="0.3">
      <c r="A654" s="5" t="s">
        <v>767</v>
      </c>
      <c r="B654" s="26">
        <v>43557</v>
      </c>
      <c r="C654" s="9" t="s">
        <v>42</v>
      </c>
      <c r="D654" s="6" t="s">
        <v>269</v>
      </c>
      <c r="E654" s="9" t="s">
        <v>1138</v>
      </c>
      <c r="F654" s="7">
        <v>-50</v>
      </c>
    </row>
    <row r="655" spans="1:6" x14ac:dyDescent="0.3">
      <c r="A655" s="5" t="s">
        <v>768</v>
      </c>
      <c r="B655" s="30">
        <v>43557</v>
      </c>
      <c r="C655" s="9" t="s">
        <v>168</v>
      </c>
      <c r="D655" s="6" t="s">
        <v>269</v>
      </c>
      <c r="E655" s="9" t="s">
        <v>1138</v>
      </c>
      <c r="F655" s="7">
        <v>-15200</v>
      </c>
    </row>
    <row r="656" spans="1:6" x14ac:dyDescent="0.3">
      <c r="A656" s="5" t="s">
        <v>769</v>
      </c>
      <c r="B656" s="30">
        <v>43557</v>
      </c>
      <c r="C656" s="9" t="s">
        <v>169</v>
      </c>
      <c r="D656" s="6" t="s">
        <v>269</v>
      </c>
      <c r="E656" s="9" t="s">
        <v>1138</v>
      </c>
      <c r="F656" s="7">
        <v>-1700</v>
      </c>
    </row>
    <row r="657" spans="1:6" x14ac:dyDescent="0.3">
      <c r="A657" s="5" t="s">
        <v>770</v>
      </c>
      <c r="B657" s="26">
        <v>43557</v>
      </c>
      <c r="C657" s="9" t="s">
        <v>170</v>
      </c>
      <c r="D657" s="6" t="s">
        <v>269</v>
      </c>
      <c r="E657" s="9" t="s">
        <v>1138</v>
      </c>
      <c r="F657" s="7">
        <v>-5600</v>
      </c>
    </row>
    <row r="658" spans="1:6" x14ac:dyDescent="0.3">
      <c r="A658" s="5" t="s">
        <v>771</v>
      </c>
      <c r="B658" s="30">
        <v>43558</v>
      </c>
      <c r="C658" s="9" t="s">
        <v>42</v>
      </c>
      <c r="D658" s="6" t="s">
        <v>269</v>
      </c>
      <c r="E658" s="9" t="s">
        <v>1138</v>
      </c>
      <c r="F658" s="7">
        <v>-50</v>
      </c>
    </row>
    <row r="659" spans="1:6" x14ac:dyDescent="0.3">
      <c r="A659" s="5" t="s">
        <v>772</v>
      </c>
      <c r="B659" s="27">
        <v>43559</v>
      </c>
      <c r="C659" s="9" t="s">
        <v>42</v>
      </c>
      <c r="D659" s="6" t="s">
        <v>269</v>
      </c>
      <c r="E659" s="9" t="s">
        <v>1138</v>
      </c>
      <c r="F659" s="7">
        <v>-50</v>
      </c>
    </row>
    <row r="660" spans="1:6" x14ac:dyDescent="0.3">
      <c r="A660" s="5" t="s">
        <v>773</v>
      </c>
      <c r="B660" s="26">
        <v>43559</v>
      </c>
      <c r="C660" s="8" t="s">
        <v>160</v>
      </c>
      <c r="D660" s="6" t="s">
        <v>269</v>
      </c>
      <c r="E660" s="8" t="s">
        <v>1148</v>
      </c>
      <c r="F660" s="12">
        <v>100000</v>
      </c>
    </row>
    <row r="661" spans="1:6" x14ac:dyDescent="0.3">
      <c r="A661" s="5" t="s">
        <v>774</v>
      </c>
      <c r="B661" s="27">
        <v>43559</v>
      </c>
      <c r="C661" s="11" t="s">
        <v>171</v>
      </c>
      <c r="D661" s="6" t="s">
        <v>269</v>
      </c>
      <c r="E661" s="9" t="s">
        <v>1138</v>
      </c>
      <c r="F661" s="7">
        <v>-60000</v>
      </c>
    </row>
    <row r="662" spans="1:6" x14ac:dyDescent="0.3">
      <c r="A662" s="5" t="s">
        <v>775</v>
      </c>
      <c r="B662" s="25">
        <v>43560</v>
      </c>
      <c r="C662" s="9" t="s">
        <v>172</v>
      </c>
      <c r="D662" s="6" t="s">
        <v>269</v>
      </c>
      <c r="E662" s="9" t="s">
        <v>1138</v>
      </c>
      <c r="F662" s="7">
        <v>-350</v>
      </c>
    </row>
    <row r="663" spans="1:6" x14ac:dyDescent="0.3">
      <c r="A663" s="5" t="s">
        <v>776</v>
      </c>
      <c r="B663" s="26">
        <v>43560</v>
      </c>
      <c r="C663" s="11" t="s">
        <v>31</v>
      </c>
      <c r="D663" s="6" t="s">
        <v>269</v>
      </c>
      <c r="E663" s="9" t="s">
        <v>1138</v>
      </c>
      <c r="F663" s="7">
        <v>-30000</v>
      </c>
    </row>
    <row r="664" spans="1:6" x14ac:dyDescent="0.3">
      <c r="A664" s="5" t="s">
        <v>777</v>
      </c>
      <c r="B664" s="26">
        <v>43561</v>
      </c>
      <c r="C664" s="9" t="s">
        <v>69</v>
      </c>
      <c r="D664" s="6" t="s">
        <v>269</v>
      </c>
      <c r="E664" s="9" t="s">
        <v>1138</v>
      </c>
      <c r="F664" s="7">
        <v>-15000</v>
      </c>
    </row>
    <row r="665" spans="1:6" x14ac:dyDescent="0.3">
      <c r="A665" s="5" t="s">
        <v>778</v>
      </c>
      <c r="B665" s="26">
        <v>43562</v>
      </c>
      <c r="C665" s="9" t="s">
        <v>173</v>
      </c>
      <c r="D665" s="6" t="s">
        <v>269</v>
      </c>
      <c r="E665" s="9" t="s">
        <v>1138</v>
      </c>
      <c r="F665" s="7">
        <v>-1000</v>
      </c>
    </row>
    <row r="666" spans="1:6" x14ac:dyDescent="0.3">
      <c r="A666" s="5" t="s">
        <v>779</v>
      </c>
      <c r="B666" s="27">
        <v>43562</v>
      </c>
      <c r="C666" s="9" t="s">
        <v>174</v>
      </c>
      <c r="D666" s="6" t="s">
        <v>269</v>
      </c>
      <c r="E666" s="9" t="s">
        <v>1138</v>
      </c>
      <c r="F666" s="7">
        <v>-1000</v>
      </c>
    </row>
    <row r="667" spans="1:6" x14ac:dyDescent="0.3">
      <c r="A667" s="5" t="s">
        <v>780</v>
      </c>
      <c r="B667" s="26">
        <v>43562</v>
      </c>
      <c r="C667" s="8" t="s">
        <v>175</v>
      </c>
      <c r="D667" s="6" t="s">
        <v>269</v>
      </c>
      <c r="E667" s="8" t="s">
        <v>1148</v>
      </c>
      <c r="F667" s="12">
        <v>220000</v>
      </c>
    </row>
    <row r="668" spans="1:6" x14ac:dyDescent="0.3">
      <c r="A668" s="5" t="s">
        <v>781</v>
      </c>
      <c r="B668" s="30">
        <v>43562</v>
      </c>
      <c r="C668" s="11" t="s">
        <v>176</v>
      </c>
      <c r="D668" s="6" t="s">
        <v>269</v>
      </c>
      <c r="E668" s="9" t="s">
        <v>1138</v>
      </c>
      <c r="F668" s="7">
        <v>-150000</v>
      </c>
    </row>
    <row r="669" spans="1:6" x14ac:dyDescent="0.3">
      <c r="A669" s="5" t="s">
        <v>782</v>
      </c>
      <c r="B669" s="27">
        <v>43562</v>
      </c>
      <c r="C669" s="9" t="s">
        <v>26</v>
      </c>
      <c r="D669" s="6" t="s">
        <v>269</v>
      </c>
      <c r="E669" s="9" t="s">
        <v>1138</v>
      </c>
      <c r="F669" s="7">
        <v>-10000</v>
      </c>
    </row>
    <row r="670" spans="1:6" x14ac:dyDescent="0.3">
      <c r="A670" s="5" t="s">
        <v>783</v>
      </c>
      <c r="B670" s="26">
        <v>43562</v>
      </c>
      <c r="C670" s="9" t="s">
        <v>69</v>
      </c>
      <c r="D670" s="6" t="s">
        <v>269</v>
      </c>
      <c r="E670" s="9" t="s">
        <v>1138</v>
      </c>
      <c r="F670" s="7">
        <v>-5000</v>
      </c>
    </row>
    <row r="671" spans="1:6" x14ac:dyDescent="0.3">
      <c r="A671" s="5" t="s">
        <v>784</v>
      </c>
      <c r="B671" s="30">
        <v>43562</v>
      </c>
      <c r="C671" s="9" t="s">
        <v>113</v>
      </c>
      <c r="D671" s="6" t="s">
        <v>269</v>
      </c>
      <c r="E671" s="9" t="s">
        <v>1138</v>
      </c>
      <c r="F671" s="7">
        <v>-10000</v>
      </c>
    </row>
    <row r="672" spans="1:6" x14ac:dyDescent="0.3">
      <c r="A672" s="5" t="s">
        <v>785</v>
      </c>
      <c r="B672" s="27">
        <v>43562</v>
      </c>
      <c r="C672" s="9" t="s">
        <v>173</v>
      </c>
      <c r="D672" s="6" t="s">
        <v>269</v>
      </c>
      <c r="E672" s="9" t="s">
        <v>1138</v>
      </c>
      <c r="F672" s="7">
        <v>-2000</v>
      </c>
    </row>
    <row r="673" spans="1:6" x14ac:dyDescent="0.3">
      <c r="A673" s="5" t="s">
        <v>786</v>
      </c>
      <c r="B673" s="26">
        <v>43562</v>
      </c>
      <c r="C673" s="9" t="s">
        <v>174</v>
      </c>
      <c r="D673" s="6" t="s">
        <v>269</v>
      </c>
      <c r="E673" s="9" t="s">
        <v>1138</v>
      </c>
      <c r="F673" s="7">
        <v>-1000</v>
      </c>
    </row>
    <row r="674" spans="1:6" x14ac:dyDescent="0.3">
      <c r="A674" s="5" t="s">
        <v>787</v>
      </c>
      <c r="B674" s="30">
        <v>43562</v>
      </c>
      <c r="C674" s="11" t="s">
        <v>119</v>
      </c>
      <c r="D674" s="6" t="s">
        <v>269</v>
      </c>
      <c r="E674" s="9" t="s">
        <v>1138</v>
      </c>
      <c r="F674" s="7">
        <v>-70</v>
      </c>
    </row>
    <row r="675" spans="1:6" x14ac:dyDescent="0.3">
      <c r="A675" s="5" t="s">
        <v>788</v>
      </c>
      <c r="B675" s="30">
        <v>43562</v>
      </c>
      <c r="C675" s="11" t="s">
        <v>102</v>
      </c>
      <c r="D675" s="6" t="s">
        <v>269</v>
      </c>
      <c r="E675" s="9" t="s">
        <v>1138</v>
      </c>
      <c r="F675" s="7">
        <v>-31000</v>
      </c>
    </row>
    <row r="676" spans="1:6" x14ac:dyDescent="0.3">
      <c r="A676" s="5" t="s">
        <v>851</v>
      </c>
      <c r="B676" s="30">
        <v>43567</v>
      </c>
      <c r="C676" s="11" t="s">
        <v>113</v>
      </c>
      <c r="D676" s="6" t="s">
        <v>269</v>
      </c>
      <c r="E676" s="9" t="s">
        <v>1138</v>
      </c>
      <c r="F676" s="7">
        <v>-400</v>
      </c>
    </row>
    <row r="677" spans="1:6" x14ac:dyDescent="0.3">
      <c r="A677" s="5" t="s">
        <v>789</v>
      </c>
      <c r="B677" s="26">
        <v>43571</v>
      </c>
      <c r="C677" s="9" t="s">
        <v>173</v>
      </c>
      <c r="D677" s="6" t="s">
        <v>269</v>
      </c>
      <c r="E677" s="9" t="s">
        <v>1138</v>
      </c>
      <c r="F677" s="7">
        <v>-1000</v>
      </c>
    </row>
    <row r="678" spans="1:6" x14ac:dyDescent="0.3">
      <c r="A678" s="5" t="s">
        <v>790</v>
      </c>
      <c r="B678" s="27">
        <v>43571</v>
      </c>
      <c r="C678" s="9" t="s">
        <v>174</v>
      </c>
      <c r="D678" s="6" t="s">
        <v>269</v>
      </c>
      <c r="E678" s="9" t="s">
        <v>1138</v>
      </c>
      <c r="F678" s="7">
        <v>-1000</v>
      </c>
    </row>
    <row r="679" spans="1:6" x14ac:dyDescent="0.3">
      <c r="A679" s="5" t="s">
        <v>791</v>
      </c>
      <c r="B679" s="26">
        <v>43571</v>
      </c>
      <c r="C679" s="11" t="s">
        <v>86</v>
      </c>
      <c r="D679" s="6" t="s">
        <v>269</v>
      </c>
      <c r="E679" s="9" t="s">
        <v>1138</v>
      </c>
      <c r="F679" s="7">
        <v>-60</v>
      </c>
    </row>
    <row r="680" spans="1:6" x14ac:dyDescent="0.3">
      <c r="A680" s="5" t="s">
        <v>792</v>
      </c>
      <c r="B680" s="30">
        <v>43571</v>
      </c>
      <c r="C680" s="9" t="s">
        <v>174</v>
      </c>
      <c r="D680" s="6" t="s">
        <v>269</v>
      </c>
      <c r="E680" s="9" t="s">
        <v>1138</v>
      </c>
      <c r="F680" s="7">
        <v>-1000</v>
      </c>
    </row>
    <row r="681" spans="1:6" x14ac:dyDescent="0.3">
      <c r="A681" s="5" t="s">
        <v>793</v>
      </c>
      <c r="B681" s="27">
        <v>43572</v>
      </c>
      <c r="C681" s="8" t="s">
        <v>160</v>
      </c>
      <c r="D681" s="6" t="s">
        <v>269</v>
      </c>
      <c r="E681" s="8" t="s">
        <v>1148</v>
      </c>
      <c r="F681" s="12">
        <v>200000</v>
      </c>
    </row>
    <row r="682" spans="1:6" x14ac:dyDescent="0.3">
      <c r="A682" s="5" t="s">
        <v>794</v>
      </c>
      <c r="B682" s="26">
        <v>43572</v>
      </c>
      <c r="C682" s="11" t="s">
        <v>31</v>
      </c>
      <c r="D682" s="6" t="s">
        <v>269</v>
      </c>
      <c r="E682" s="9" t="s">
        <v>1138</v>
      </c>
      <c r="F682" s="7">
        <v>-100000</v>
      </c>
    </row>
    <row r="683" spans="1:6" x14ac:dyDescent="0.3">
      <c r="A683" s="5" t="s">
        <v>795</v>
      </c>
      <c r="B683" s="26">
        <v>43572</v>
      </c>
      <c r="C683" s="11" t="s">
        <v>113</v>
      </c>
      <c r="D683" s="6" t="s">
        <v>269</v>
      </c>
      <c r="E683" s="9" t="s">
        <v>1138</v>
      </c>
      <c r="F683" s="7">
        <v>-15000</v>
      </c>
    </row>
    <row r="684" spans="1:6" x14ac:dyDescent="0.3">
      <c r="A684" s="5" t="s">
        <v>796</v>
      </c>
      <c r="B684" s="26">
        <v>43572</v>
      </c>
      <c r="C684" s="11" t="s">
        <v>69</v>
      </c>
      <c r="D684" s="6" t="s">
        <v>269</v>
      </c>
      <c r="E684" s="9" t="s">
        <v>1138</v>
      </c>
      <c r="F684" s="7">
        <v>-30000</v>
      </c>
    </row>
    <row r="685" spans="1:6" x14ac:dyDescent="0.3">
      <c r="A685" s="5" t="s">
        <v>797</v>
      </c>
      <c r="B685" s="26">
        <v>43574</v>
      </c>
      <c r="C685" s="11" t="s">
        <v>31</v>
      </c>
      <c r="D685" s="6" t="s">
        <v>269</v>
      </c>
      <c r="E685" s="9" t="s">
        <v>1138</v>
      </c>
      <c r="F685" s="7">
        <v>-5000</v>
      </c>
    </row>
    <row r="686" spans="1:6" x14ac:dyDescent="0.3">
      <c r="A686" s="5" t="s">
        <v>798</v>
      </c>
      <c r="B686" s="26">
        <v>43574</v>
      </c>
      <c r="C686" s="9" t="s">
        <v>173</v>
      </c>
      <c r="D686" s="6" t="s">
        <v>269</v>
      </c>
      <c r="E686" s="9" t="s">
        <v>1138</v>
      </c>
      <c r="F686" s="7">
        <v>-2000</v>
      </c>
    </row>
    <row r="687" spans="1:6" x14ac:dyDescent="0.3">
      <c r="A687" s="5" t="s">
        <v>799</v>
      </c>
      <c r="B687" s="26">
        <v>43574</v>
      </c>
      <c r="C687" s="9" t="s">
        <v>177</v>
      </c>
      <c r="D687" s="6" t="s">
        <v>269</v>
      </c>
      <c r="E687" s="9" t="s">
        <v>1138</v>
      </c>
      <c r="F687" s="7">
        <v>-10450</v>
      </c>
    </row>
    <row r="688" spans="1:6" x14ac:dyDescent="0.3">
      <c r="A688" s="5" t="s">
        <v>800</v>
      </c>
      <c r="B688" s="26">
        <v>43574</v>
      </c>
      <c r="C688" s="11" t="s">
        <v>178</v>
      </c>
      <c r="D688" s="6" t="s">
        <v>269</v>
      </c>
      <c r="E688" s="9" t="s">
        <v>1138</v>
      </c>
      <c r="F688" s="7">
        <v>-700</v>
      </c>
    </row>
    <row r="689" spans="1:6" x14ac:dyDescent="0.3">
      <c r="A689" s="5" t="s">
        <v>801</v>
      </c>
      <c r="B689" s="27">
        <v>43574</v>
      </c>
      <c r="C689" s="11" t="s">
        <v>179</v>
      </c>
      <c r="D689" s="6" t="s">
        <v>269</v>
      </c>
      <c r="E689" s="9" t="s">
        <v>1138</v>
      </c>
      <c r="F689" s="7">
        <v>-220</v>
      </c>
    </row>
    <row r="690" spans="1:6" x14ac:dyDescent="0.3">
      <c r="A690" s="5" t="s">
        <v>802</v>
      </c>
      <c r="B690" s="26">
        <v>43577</v>
      </c>
      <c r="C690" s="11" t="s">
        <v>42</v>
      </c>
      <c r="D690" s="6" t="s">
        <v>269</v>
      </c>
      <c r="E690" s="9" t="s">
        <v>1138</v>
      </c>
      <c r="F690" s="7">
        <v>-100</v>
      </c>
    </row>
    <row r="691" spans="1:6" x14ac:dyDescent="0.3">
      <c r="A691" s="5" t="s">
        <v>803</v>
      </c>
      <c r="B691" s="27">
        <v>43577</v>
      </c>
      <c r="C691" s="9" t="s">
        <v>173</v>
      </c>
      <c r="D691" s="6" t="s">
        <v>269</v>
      </c>
      <c r="E691" s="9" t="s">
        <v>1138</v>
      </c>
      <c r="F691" s="7">
        <v>-2000</v>
      </c>
    </row>
    <row r="692" spans="1:6" x14ac:dyDescent="0.3">
      <c r="A692" s="5" t="s">
        <v>804</v>
      </c>
      <c r="B692" s="26">
        <v>43577</v>
      </c>
      <c r="C692" s="8" t="s">
        <v>160</v>
      </c>
      <c r="D692" s="6" t="s">
        <v>269</v>
      </c>
      <c r="E692" s="8" t="s">
        <v>1148</v>
      </c>
      <c r="F692" s="12">
        <v>150000</v>
      </c>
    </row>
    <row r="693" spans="1:6" x14ac:dyDescent="0.3">
      <c r="A693" s="5" t="s">
        <v>805</v>
      </c>
      <c r="B693" s="26">
        <v>43577</v>
      </c>
      <c r="C693" s="11" t="s">
        <v>31</v>
      </c>
      <c r="D693" s="6" t="s">
        <v>269</v>
      </c>
      <c r="E693" s="9" t="s">
        <v>1138</v>
      </c>
      <c r="F693" s="7">
        <v>-150000</v>
      </c>
    </row>
    <row r="694" spans="1:6" x14ac:dyDescent="0.3">
      <c r="A694" s="5" t="s">
        <v>806</v>
      </c>
      <c r="B694" s="26">
        <v>43577</v>
      </c>
      <c r="C694" s="14" t="s">
        <v>180</v>
      </c>
      <c r="D694" s="6" t="s">
        <v>269</v>
      </c>
      <c r="E694" s="9" t="s">
        <v>1138</v>
      </c>
      <c r="F694" s="7">
        <v>-3600</v>
      </c>
    </row>
    <row r="695" spans="1:6" x14ac:dyDescent="0.3">
      <c r="A695" s="5" t="s">
        <v>807</v>
      </c>
      <c r="B695" s="26">
        <v>43577</v>
      </c>
      <c r="C695" s="11" t="s">
        <v>181</v>
      </c>
      <c r="D695" s="6" t="s">
        <v>269</v>
      </c>
      <c r="E695" s="9" t="s">
        <v>1138</v>
      </c>
      <c r="F695" s="7">
        <v>-2000</v>
      </c>
    </row>
    <row r="696" spans="1:6" x14ac:dyDescent="0.3">
      <c r="A696" s="5" t="s">
        <v>808</v>
      </c>
      <c r="B696" s="30">
        <v>43578</v>
      </c>
      <c r="C696" s="11" t="s">
        <v>182</v>
      </c>
      <c r="D696" s="6" t="s">
        <v>269</v>
      </c>
      <c r="E696" s="9" t="s">
        <v>1138</v>
      </c>
      <c r="F696" s="7">
        <v>-55000</v>
      </c>
    </row>
    <row r="697" spans="1:6" x14ac:dyDescent="0.3">
      <c r="A697" s="5" t="s">
        <v>809</v>
      </c>
      <c r="B697" s="27">
        <v>43578</v>
      </c>
      <c r="C697" s="11" t="s">
        <v>181</v>
      </c>
      <c r="D697" s="6" t="s">
        <v>269</v>
      </c>
      <c r="E697" s="9" t="s">
        <v>1138</v>
      </c>
      <c r="F697" s="7">
        <v>-3000</v>
      </c>
    </row>
    <row r="698" spans="1:6" x14ac:dyDescent="0.3">
      <c r="A698" s="5" t="s">
        <v>810</v>
      </c>
      <c r="B698" s="26">
        <v>43578</v>
      </c>
      <c r="C698" s="9" t="s">
        <v>173</v>
      </c>
      <c r="D698" s="6" t="s">
        <v>269</v>
      </c>
      <c r="E698" s="9" t="s">
        <v>1138</v>
      </c>
      <c r="F698" s="7">
        <v>-2000</v>
      </c>
    </row>
    <row r="699" spans="1:6" x14ac:dyDescent="0.3">
      <c r="A699" s="5" t="s">
        <v>811</v>
      </c>
      <c r="B699" s="26">
        <v>43578</v>
      </c>
      <c r="C699" s="11" t="s">
        <v>42</v>
      </c>
      <c r="D699" s="6" t="s">
        <v>269</v>
      </c>
      <c r="E699" s="9" t="s">
        <v>1138</v>
      </c>
      <c r="F699" s="7">
        <v>-100</v>
      </c>
    </row>
    <row r="700" spans="1:6" x14ac:dyDescent="0.3">
      <c r="A700" s="5" t="s">
        <v>812</v>
      </c>
      <c r="B700" s="26">
        <v>43579</v>
      </c>
      <c r="C700" s="8" t="s">
        <v>183</v>
      </c>
      <c r="D700" s="6" t="s">
        <v>269</v>
      </c>
      <c r="E700" s="8" t="s">
        <v>1148</v>
      </c>
      <c r="F700" s="12">
        <v>100000</v>
      </c>
    </row>
    <row r="701" spans="1:6" x14ac:dyDescent="0.3">
      <c r="A701" s="5" t="s">
        <v>813</v>
      </c>
      <c r="B701" s="26">
        <v>43579</v>
      </c>
      <c r="C701" s="11" t="s">
        <v>113</v>
      </c>
      <c r="D701" s="6" t="s">
        <v>269</v>
      </c>
      <c r="E701" s="9" t="s">
        <v>1138</v>
      </c>
      <c r="F701" s="7">
        <v>-50000</v>
      </c>
    </row>
    <row r="702" spans="1:6" x14ac:dyDescent="0.3">
      <c r="A702" s="5" t="s">
        <v>814</v>
      </c>
      <c r="B702" s="26">
        <v>43579</v>
      </c>
      <c r="C702" s="11" t="s">
        <v>50</v>
      </c>
      <c r="D702" s="6" t="s">
        <v>269</v>
      </c>
      <c r="E702" s="9" t="s">
        <v>1138</v>
      </c>
      <c r="F702" s="7">
        <v>-6300</v>
      </c>
    </row>
    <row r="703" spans="1:6" x14ac:dyDescent="0.3">
      <c r="A703" s="5" t="s">
        <v>815</v>
      </c>
      <c r="B703" s="27">
        <v>43582</v>
      </c>
      <c r="C703" s="11" t="s">
        <v>31</v>
      </c>
      <c r="D703" s="6" t="s">
        <v>269</v>
      </c>
      <c r="E703" s="9" t="s">
        <v>1138</v>
      </c>
      <c r="F703" s="7">
        <v>-15000</v>
      </c>
    </row>
    <row r="704" spans="1:6" x14ac:dyDescent="0.3">
      <c r="A704" s="5" t="s">
        <v>816</v>
      </c>
      <c r="B704" s="27">
        <v>43582</v>
      </c>
      <c r="C704" s="8" t="s">
        <v>160</v>
      </c>
      <c r="D704" s="6" t="s">
        <v>269</v>
      </c>
      <c r="E704" s="8" t="s">
        <v>1148</v>
      </c>
      <c r="F704" s="12">
        <v>30000</v>
      </c>
    </row>
    <row r="705" spans="1:6" x14ac:dyDescent="0.3">
      <c r="A705" s="5" t="s">
        <v>817</v>
      </c>
      <c r="B705" s="26">
        <v>43582</v>
      </c>
      <c r="C705" s="11" t="s">
        <v>184</v>
      </c>
      <c r="D705" s="6" t="s">
        <v>269</v>
      </c>
      <c r="E705" s="9" t="s">
        <v>1138</v>
      </c>
      <c r="F705" s="7">
        <v>-20000</v>
      </c>
    </row>
    <row r="706" spans="1:6" x14ac:dyDescent="0.3">
      <c r="A706" s="5" t="s">
        <v>818</v>
      </c>
      <c r="B706" s="30">
        <v>43583</v>
      </c>
      <c r="C706" s="11" t="s">
        <v>42</v>
      </c>
      <c r="D706" s="6" t="s">
        <v>269</v>
      </c>
      <c r="E706" s="9" t="s">
        <v>1138</v>
      </c>
      <c r="F706" s="7">
        <v>-125</v>
      </c>
    </row>
    <row r="707" spans="1:6" x14ac:dyDescent="0.3">
      <c r="A707" s="5" t="s">
        <v>819</v>
      </c>
      <c r="B707" s="30">
        <v>43583</v>
      </c>
      <c r="C707" s="11" t="s">
        <v>86</v>
      </c>
      <c r="D707" s="6" t="s">
        <v>269</v>
      </c>
      <c r="E707" s="9" t="s">
        <v>1138</v>
      </c>
      <c r="F707" s="7">
        <v>-60</v>
      </c>
    </row>
    <row r="708" spans="1:6" x14ac:dyDescent="0.3">
      <c r="A708" s="5" t="s">
        <v>820</v>
      </c>
      <c r="B708" s="30">
        <v>43583</v>
      </c>
      <c r="C708" s="11" t="s">
        <v>185</v>
      </c>
      <c r="D708" s="6" t="s">
        <v>269</v>
      </c>
      <c r="E708" s="9" t="s">
        <v>1138</v>
      </c>
      <c r="F708" s="7">
        <v>-10000</v>
      </c>
    </row>
    <row r="709" spans="1:6" x14ac:dyDescent="0.3">
      <c r="A709" s="5" t="s">
        <v>821</v>
      </c>
      <c r="B709" s="26">
        <v>43583</v>
      </c>
      <c r="C709" s="9" t="s">
        <v>173</v>
      </c>
      <c r="D709" s="6" t="s">
        <v>269</v>
      </c>
      <c r="E709" s="9" t="s">
        <v>1138</v>
      </c>
      <c r="F709" s="7">
        <v>-2000</v>
      </c>
    </row>
    <row r="710" spans="1:6" x14ac:dyDescent="0.3">
      <c r="A710" s="5" t="s">
        <v>822</v>
      </c>
      <c r="B710" s="30">
        <v>43584</v>
      </c>
      <c r="C710" s="11" t="s">
        <v>26</v>
      </c>
      <c r="D710" s="6" t="s">
        <v>269</v>
      </c>
      <c r="E710" s="9" t="s">
        <v>1138</v>
      </c>
      <c r="F710" s="7">
        <v>-2000</v>
      </c>
    </row>
    <row r="711" spans="1:6" x14ac:dyDescent="0.3">
      <c r="A711" s="5" t="s">
        <v>823</v>
      </c>
      <c r="B711" s="27">
        <v>43584</v>
      </c>
      <c r="C711" s="11" t="s">
        <v>179</v>
      </c>
      <c r="D711" s="6" t="s">
        <v>269</v>
      </c>
      <c r="E711" s="9" t="s">
        <v>1138</v>
      </c>
      <c r="F711" s="7">
        <v>-1240</v>
      </c>
    </row>
    <row r="712" spans="1:6" x14ac:dyDescent="0.3">
      <c r="A712" s="5" t="s">
        <v>824</v>
      </c>
      <c r="B712" s="27">
        <v>43584</v>
      </c>
      <c r="C712" s="11" t="s">
        <v>42</v>
      </c>
      <c r="D712" s="6" t="s">
        <v>269</v>
      </c>
      <c r="E712" s="9" t="s">
        <v>1138</v>
      </c>
      <c r="F712" s="7">
        <v>-100</v>
      </c>
    </row>
    <row r="713" spans="1:6" x14ac:dyDescent="0.3">
      <c r="A713" s="5" t="s">
        <v>825</v>
      </c>
      <c r="B713" s="27">
        <v>43585</v>
      </c>
      <c r="C713" s="11" t="s">
        <v>119</v>
      </c>
      <c r="D713" s="6" t="s">
        <v>269</v>
      </c>
      <c r="E713" s="9" t="s">
        <v>1138</v>
      </c>
      <c r="F713" s="7">
        <v>-120</v>
      </c>
    </row>
    <row r="714" spans="1:6" x14ac:dyDescent="0.3">
      <c r="A714" s="5" t="s">
        <v>826</v>
      </c>
      <c r="B714" s="25">
        <v>43585</v>
      </c>
      <c r="C714" s="11" t="s">
        <v>42</v>
      </c>
      <c r="D714" s="6" t="s">
        <v>269</v>
      </c>
      <c r="E714" s="9" t="s">
        <v>1138</v>
      </c>
      <c r="F714" s="7">
        <v>-50</v>
      </c>
    </row>
    <row r="715" spans="1:6" x14ac:dyDescent="0.3">
      <c r="A715" s="5" t="s">
        <v>827</v>
      </c>
      <c r="B715" s="26">
        <v>43586</v>
      </c>
      <c r="C715" s="11" t="s">
        <v>31</v>
      </c>
      <c r="D715" s="6" t="s">
        <v>269</v>
      </c>
      <c r="E715" s="9" t="s">
        <v>1138</v>
      </c>
      <c r="F715" s="7">
        <v>-12000</v>
      </c>
    </row>
    <row r="716" spans="1:6" x14ac:dyDescent="0.3">
      <c r="A716" s="5" t="s">
        <v>828</v>
      </c>
      <c r="B716" s="26">
        <v>43586</v>
      </c>
      <c r="C716" s="11" t="s">
        <v>186</v>
      </c>
      <c r="D716" s="6" t="s">
        <v>269</v>
      </c>
      <c r="E716" s="9" t="s">
        <v>1138</v>
      </c>
      <c r="F716" s="7">
        <v>-2000</v>
      </c>
    </row>
    <row r="717" spans="1:6" x14ac:dyDescent="0.3">
      <c r="A717" s="5" t="s">
        <v>829</v>
      </c>
      <c r="B717" s="26">
        <v>43587</v>
      </c>
      <c r="C717" s="11" t="s">
        <v>69</v>
      </c>
      <c r="D717" s="6" t="s">
        <v>269</v>
      </c>
      <c r="E717" s="9" t="s">
        <v>1138</v>
      </c>
      <c r="F717" s="7">
        <v>-10000</v>
      </c>
    </row>
    <row r="718" spans="1:6" x14ac:dyDescent="0.3">
      <c r="A718" s="5" t="s">
        <v>830</v>
      </c>
      <c r="B718" s="26">
        <v>43587</v>
      </c>
      <c r="C718" s="11" t="s">
        <v>187</v>
      </c>
      <c r="D718" s="6" t="s">
        <v>269</v>
      </c>
      <c r="E718" s="9" t="s">
        <v>1138</v>
      </c>
      <c r="F718" s="7">
        <v>-120</v>
      </c>
    </row>
    <row r="719" spans="1:6" x14ac:dyDescent="0.3">
      <c r="A719" s="5" t="s">
        <v>831</v>
      </c>
      <c r="B719" s="26">
        <v>43587</v>
      </c>
      <c r="C719" s="11" t="s">
        <v>42</v>
      </c>
      <c r="D719" s="6" t="s">
        <v>269</v>
      </c>
      <c r="E719" s="9" t="s">
        <v>1138</v>
      </c>
      <c r="F719" s="7">
        <v>-50</v>
      </c>
    </row>
    <row r="720" spans="1:6" x14ac:dyDescent="0.3">
      <c r="A720" s="5" t="s">
        <v>832</v>
      </c>
      <c r="B720" s="26">
        <v>43587</v>
      </c>
      <c r="C720" s="11" t="s">
        <v>26</v>
      </c>
      <c r="D720" s="6" t="s">
        <v>269</v>
      </c>
      <c r="E720" s="9" t="s">
        <v>1138</v>
      </c>
      <c r="F720" s="7">
        <v>-5000</v>
      </c>
    </row>
    <row r="721" spans="1:6" x14ac:dyDescent="0.3">
      <c r="A721" s="5" t="s">
        <v>833</v>
      </c>
      <c r="B721" s="26">
        <v>43587</v>
      </c>
      <c r="C721" s="9" t="s">
        <v>188</v>
      </c>
      <c r="D721" s="6" t="s">
        <v>269</v>
      </c>
      <c r="E721" s="9" t="s">
        <v>1138</v>
      </c>
      <c r="F721" s="7">
        <v>-1000</v>
      </c>
    </row>
    <row r="722" spans="1:6" x14ac:dyDescent="0.3">
      <c r="A722" s="5" t="s">
        <v>834</v>
      </c>
      <c r="B722" s="26">
        <v>43588</v>
      </c>
      <c r="C722" s="11" t="s">
        <v>31</v>
      </c>
      <c r="D722" s="6" t="s">
        <v>269</v>
      </c>
      <c r="E722" s="9" t="s">
        <v>1138</v>
      </c>
      <c r="F722" s="7">
        <v>-10000</v>
      </c>
    </row>
    <row r="723" spans="1:6" x14ac:dyDescent="0.3">
      <c r="A723" s="5" t="s">
        <v>835</v>
      </c>
      <c r="B723" s="25">
        <v>43588</v>
      </c>
      <c r="C723" s="11" t="s">
        <v>179</v>
      </c>
      <c r="D723" s="6" t="s">
        <v>269</v>
      </c>
      <c r="E723" s="9" t="s">
        <v>1138</v>
      </c>
      <c r="F723" s="7">
        <v>-1000</v>
      </c>
    </row>
    <row r="724" spans="1:6" x14ac:dyDescent="0.3">
      <c r="A724" s="5" t="s">
        <v>836</v>
      </c>
      <c r="B724" s="26">
        <v>43588</v>
      </c>
      <c r="C724" s="11" t="s">
        <v>42</v>
      </c>
      <c r="D724" s="6" t="s">
        <v>269</v>
      </c>
      <c r="E724" s="9" t="s">
        <v>1138</v>
      </c>
      <c r="F724" s="7">
        <v>-50</v>
      </c>
    </row>
    <row r="725" spans="1:6" x14ac:dyDescent="0.3">
      <c r="A725" s="5" t="s">
        <v>837</v>
      </c>
      <c r="B725" s="26">
        <v>43589</v>
      </c>
      <c r="C725" s="11" t="s">
        <v>31</v>
      </c>
      <c r="D725" s="6" t="s">
        <v>269</v>
      </c>
      <c r="E725" s="9" t="s">
        <v>1138</v>
      </c>
      <c r="F725" s="7">
        <v>-20000</v>
      </c>
    </row>
    <row r="726" spans="1:6" x14ac:dyDescent="0.3">
      <c r="A726" s="5" t="s">
        <v>838</v>
      </c>
      <c r="B726" s="26">
        <v>43589</v>
      </c>
      <c r="C726" s="6" t="s">
        <v>189</v>
      </c>
      <c r="D726" s="6" t="s">
        <v>269</v>
      </c>
      <c r="E726" s="9" t="s">
        <v>1138</v>
      </c>
      <c r="F726" s="7">
        <v>-20000</v>
      </c>
    </row>
    <row r="727" spans="1:6" x14ac:dyDescent="0.3">
      <c r="A727" s="5" t="s">
        <v>839</v>
      </c>
      <c r="B727" s="26">
        <v>43589</v>
      </c>
      <c r="C727" s="9" t="s">
        <v>190</v>
      </c>
      <c r="D727" s="6" t="s">
        <v>269</v>
      </c>
      <c r="E727" s="9" t="s">
        <v>1138</v>
      </c>
      <c r="F727" s="7">
        <v>-2550</v>
      </c>
    </row>
    <row r="728" spans="1:6" x14ac:dyDescent="0.3">
      <c r="A728" s="5" t="s">
        <v>840</v>
      </c>
      <c r="B728" s="26">
        <v>43589</v>
      </c>
      <c r="C728" s="9" t="s">
        <v>191</v>
      </c>
      <c r="D728" s="6" t="s">
        <v>269</v>
      </c>
      <c r="E728" s="9" t="s">
        <v>1138</v>
      </c>
      <c r="F728" s="7">
        <v>-13500</v>
      </c>
    </row>
    <row r="729" spans="1:6" x14ac:dyDescent="0.3">
      <c r="A729" s="5" t="s">
        <v>841</v>
      </c>
      <c r="B729" s="27">
        <v>43589</v>
      </c>
      <c r="C729" s="8" t="s">
        <v>160</v>
      </c>
      <c r="D729" s="6" t="s">
        <v>269</v>
      </c>
      <c r="E729" s="8" t="s">
        <v>1148</v>
      </c>
      <c r="F729" s="12">
        <v>160000</v>
      </c>
    </row>
    <row r="730" spans="1:6" x14ac:dyDescent="0.3">
      <c r="A730" s="5" t="s">
        <v>842</v>
      </c>
      <c r="B730" s="26">
        <v>43589</v>
      </c>
      <c r="C730" s="11" t="s">
        <v>192</v>
      </c>
      <c r="D730" s="6" t="s">
        <v>269</v>
      </c>
      <c r="E730" s="9" t="s">
        <v>1138</v>
      </c>
      <c r="F730" s="7">
        <v>-60000</v>
      </c>
    </row>
    <row r="731" spans="1:6" x14ac:dyDescent="0.3">
      <c r="A731" s="5" t="s">
        <v>843</v>
      </c>
      <c r="B731" s="26">
        <v>43589</v>
      </c>
      <c r="C731" s="9" t="s">
        <v>193</v>
      </c>
      <c r="D731" s="6" t="s">
        <v>269</v>
      </c>
      <c r="E731" s="9" t="s">
        <v>1138</v>
      </c>
      <c r="F731" s="7">
        <v>-2400</v>
      </c>
    </row>
    <row r="732" spans="1:6" x14ac:dyDescent="0.3">
      <c r="A732" s="5" t="s">
        <v>844</v>
      </c>
      <c r="B732" s="26">
        <v>43591</v>
      </c>
      <c r="C732" s="11" t="s">
        <v>69</v>
      </c>
      <c r="D732" s="6" t="s">
        <v>269</v>
      </c>
      <c r="E732" s="9" t="s">
        <v>1138</v>
      </c>
      <c r="F732" s="7">
        <v>-5000</v>
      </c>
    </row>
    <row r="733" spans="1:6" x14ac:dyDescent="0.3">
      <c r="A733" s="5" t="s">
        <v>847</v>
      </c>
      <c r="B733" s="26">
        <v>43591</v>
      </c>
      <c r="C733" s="11" t="s">
        <v>86</v>
      </c>
      <c r="D733" s="6" t="s">
        <v>269</v>
      </c>
      <c r="E733" s="9" t="s">
        <v>1138</v>
      </c>
      <c r="F733" s="7">
        <v>-30</v>
      </c>
    </row>
    <row r="734" spans="1:6" x14ac:dyDescent="0.3">
      <c r="A734" s="5" t="s">
        <v>845</v>
      </c>
      <c r="B734" s="27">
        <v>43593</v>
      </c>
      <c r="C734" s="11" t="s">
        <v>31</v>
      </c>
      <c r="D734" s="6" t="s">
        <v>269</v>
      </c>
      <c r="E734" s="9" t="s">
        <v>1138</v>
      </c>
      <c r="F734" s="7">
        <v>-52000</v>
      </c>
    </row>
    <row r="735" spans="1:6" x14ac:dyDescent="0.3">
      <c r="A735" s="5" t="s">
        <v>846</v>
      </c>
      <c r="B735" s="25">
        <v>43594</v>
      </c>
      <c r="C735" s="11" t="s">
        <v>26</v>
      </c>
      <c r="D735" s="6" t="s">
        <v>269</v>
      </c>
      <c r="E735" s="9" t="s">
        <v>1138</v>
      </c>
      <c r="F735" s="7">
        <v>-5000</v>
      </c>
    </row>
    <row r="736" spans="1:6" x14ac:dyDescent="0.3">
      <c r="A736" s="5" t="s">
        <v>848</v>
      </c>
      <c r="B736" s="26">
        <v>43596</v>
      </c>
      <c r="C736" s="11" t="s">
        <v>194</v>
      </c>
      <c r="D736" s="6" t="s">
        <v>269</v>
      </c>
      <c r="E736" s="9" t="s">
        <v>1138</v>
      </c>
      <c r="F736" s="7">
        <v>-34200</v>
      </c>
    </row>
    <row r="737" spans="1:6" x14ac:dyDescent="0.3">
      <c r="A737" s="5" t="s">
        <v>849</v>
      </c>
      <c r="B737" s="26">
        <v>43596</v>
      </c>
      <c r="C737" s="11" t="s">
        <v>195</v>
      </c>
      <c r="D737" s="6" t="s">
        <v>269</v>
      </c>
      <c r="E737" s="9" t="s">
        <v>1138</v>
      </c>
      <c r="F737" s="7">
        <v>-1800</v>
      </c>
    </row>
    <row r="738" spans="1:6" x14ac:dyDescent="0.3">
      <c r="A738" s="5" t="s">
        <v>850</v>
      </c>
      <c r="B738" s="26">
        <v>43596</v>
      </c>
      <c r="C738" s="11" t="s">
        <v>26</v>
      </c>
      <c r="D738" s="6" t="s">
        <v>269</v>
      </c>
      <c r="E738" s="9" t="s">
        <v>1138</v>
      </c>
      <c r="F738" s="7">
        <v>-2500</v>
      </c>
    </row>
    <row r="739" spans="1:6" x14ac:dyDescent="0.3">
      <c r="A739" s="5" t="s">
        <v>852</v>
      </c>
      <c r="B739" s="25">
        <v>43598</v>
      </c>
      <c r="C739" s="11" t="s">
        <v>196</v>
      </c>
      <c r="D739" s="6" t="s">
        <v>269</v>
      </c>
      <c r="E739" s="9" t="s">
        <v>1138</v>
      </c>
      <c r="F739" s="7">
        <v>-4044</v>
      </c>
    </row>
    <row r="740" spans="1:6" x14ac:dyDescent="0.3">
      <c r="A740" s="5" t="s">
        <v>853</v>
      </c>
      <c r="B740" s="25">
        <v>43598</v>
      </c>
      <c r="C740" s="9" t="s">
        <v>197</v>
      </c>
      <c r="D740" s="6" t="s">
        <v>269</v>
      </c>
      <c r="E740" s="9" t="s">
        <v>1138</v>
      </c>
      <c r="F740" s="7">
        <v>-50000</v>
      </c>
    </row>
    <row r="741" spans="1:6" x14ac:dyDescent="0.3">
      <c r="A741" s="5" t="s">
        <v>854</v>
      </c>
      <c r="B741" s="26">
        <v>43598</v>
      </c>
      <c r="C741" s="11" t="s">
        <v>26</v>
      </c>
      <c r="D741" s="6" t="s">
        <v>269</v>
      </c>
      <c r="E741" s="9" t="s">
        <v>1138</v>
      </c>
      <c r="F741" s="7">
        <v>-5000</v>
      </c>
    </row>
    <row r="742" spans="1:6" x14ac:dyDescent="0.3">
      <c r="A742" s="5" t="s">
        <v>855</v>
      </c>
      <c r="B742" s="26">
        <v>43598</v>
      </c>
      <c r="C742" s="11" t="s">
        <v>31</v>
      </c>
      <c r="D742" s="6" t="s">
        <v>269</v>
      </c>
      <c r="E742" s="9" t="s">
        <v>1138</v>
      </c>
      <c r="F742" s="7">
        <v>-20000</v>
      </c>
    </row>
    <row r="743" spans="1:6" x14ac:dyDescent="0.3">
      <c r="A743" s="5" t="s">
        <v>856</v>
      </c>
      <c r="B743" s="26">
        <v>43599</v>
      </c>
      <c r="C743" s="11" t="s">
        <v>198</v>
      </c>
      <c r="D743" s="6" t="s">
        <v>269</v>
      </c>
      <c r="E743" s="9" t="s">
        <v>1138</v>
      </c>
      <c r="F743" s="7">
        <v>-4830</v>
      </c>
    </row>
    <row r="744" spans="1:6" x14ac:dyDescent="0.3">
      <c r="A744" s="5" t="s">
        <v>857</v>
      </c>
      <c r="B744" s="26">
        <v>43599</v>
      </c>
      <c r="C744" s="11" t="s">
        <v>69</v>
      </c>
      <c r="D744" s="6" t="s">
        <v>269</v>
      </c>
      <c r="E744" s="9" t="s">
        <v>1138</v>
      </c>
      <c r="F744" s="7">
        <v>-5000</v>
      </c>
    </row>
    <row r="745" spans="1:6" x14ac:dyDescent="0.3">
      <c r="A745" s="5" t="s">
        <v>858</v>
      </c>
      <c r="B745" s="26">
        <v>43600</v>
      </c>
      <c r="C745" s="11" t="s">
        <v>31</v>
      </c>
      <c r="D745" s="6" t="s">
        <v>269</v>
      </c>
      <c r="E745" s="9" t="s">
        <v>1138</v>
      </c>
      <c r="F745" s="7">
        <v>-9000</v>
      </c>
    </row>
    <row r="746" spans="1:6" x14ac:dyDescent="0.3">
      <c r="A746" s="5" t="s">
        <v>859</v>
      </c>
      <c r="B746" s="26">
        <v>43601</v>
      </c>
      <c r="C746" s="8" t="s">
        <v>183</v>
      </c>
      <c r="D746" s="6" t="s">
        <v>269</v>
      </c>
      <c r="E746" s="8" t="s">
        <v>1148</v>
      </c>
      <c r="F746" s="12">
        <v>150000</v>
      </c>
    </row>
    <row r="747" spans="1:6" x14ac:dyDescent="0.3">
      <c r="A747" s="5" t="s">
        <v>860</v>
      </c>
      <c r="B747" s="26">
        <v>43601</v>
      </c>
      <c r="C747" s="11" t="s">
        <v>31</v>
      </c>
      <c r="D747" s="6" t="s">
        <v>269</v>
      </c>
      <c r="E747" s="9" t="s">
        <v>1138</v>
      </c>
      <c r="F747" s="7">
        <v>-20000</v>
      </c>
    </row>
    <row r="748" spans="1:6" x14ac:dyDescent="0.3">
      <c r="A748" s="5" t="s">
        <v>861</v>
      </c>
      <c r="B748" s="30">
        <v>43601</v>
      </c>
      <c r="C748" s="6" t="s">
        <v>199</v>
      </c>
      <c r="D748" s="6" t="s">
        <v>269</v>
      </c>
      <c r="E748" s="9" t="s">
        <v>1138</v>
      </c>
      <c r="F748" s="7">
        <v>-27000</v>
      </c>
    </row>
    <row r="749" spans="1:6" x14ac:dyDescent="0.3">
      <c r="A749" s="5" t="s">
        <v>862</v>
      </c>
      <c r="B749" s="30">
        <v>43601</v>
      </c>
      <c r="C749" s="9" t="s">
        <v>200</v>
      </c>
      <c r="D749" s="6" t="s">
        <v>269</v>
      </c>
      <c r="E749" s="9" t="s">
        <v>1138</v>
      </c>
      <c r="F749" s="7">
        <v>-3000</v>
      </c>
    </row>
    <row r="750" spans="1:6" hidden="1" x14ac:dyDescent="0.3">
      <c r="A750" s="5" t="s">
        <v>1389</v>
      </c>
      <c r="B750" s="43">
        <v>43601</v>
      </c>
      <c r="C750" s="9" t="s">
        <v>1390</v>
      </c>
      <c r="D750" s="9" t="s">
        <v>1137</v>
      </c>
      <c r="E750" s="8" t="s">
        <v>1148</v>
      </c>
      <c r="F750" s="37">
        <v>150000</v>
      </c>
    </row>
    <row r="751" spans="1:6" x14ac:dyDescent="0.3">
      <c r="A751" s="5" t="s">
        <v>863</v>
      </c>
      <c r="B751" s="27">
        <v>43604</v>
      </c>
      <c r="C751" s="9" t="s">
        <v>200</v>
      </c>
      <c r="D751" s="6" t="s">
        <v>269</v>
      </c>
      <c r="E751" s="9" t="s">
        <v>1138</v>
      </c>
      <c r="F751" s="7">
        <v>-2000</v>
      </c>
    </row>
    <row r="752" spans="1:6" x14ac:dyDescent="0.3">
      <c r="A752" s="5" t="s">
        <v>864</v>
      </c>
      <c r="B752" s="26">
        <v>43604</v>
      </c>
      <c r="C752" s="11" t="s">
        <v>31</v>
      </c>
      <c r="D752" s="6" t="s">
        <v>269</v>
      </c>
      <c r="E752" s="9" t="s">
        <v>1138</v>
      </c>
      <c r="F752" s="7">
        <v>-25000</v>
      </c>
    </row>
    <row r="753" spans="1:6" x14ac:dyDescent="0.3">
      <c r="A753" s="5" t="s">
        <v>865</v>
      </c>
      <c r="B753" s="30">
        <v>43604</v>
      </c>
      <c r="C753" s="11" t="s">
        <v>201</v>
      </c>
      <c r="D753" s="6" t="s">
        <v>269</v>
      </c>
      <c r="E753" s="9" t="s">
        <v>1138</v>
      </c>
      <c r="F753" s="7">
        <v>-33700</v>
      </c>
    </row>
    <row r="754" spans="1:6" x14ac:dyDescent="0.3">
      <c r="A754" s="5" t="s">
        <v>866</v>
      </c>
      <c r="B754" s="27">
        <v>43604</v>
      </c>
      <c r="C754" s="11" t="s">
        <v>203</v>
      </c>
      <c r="D754" s="6" t="s">
        <v>269</v>
      </c>
      <c r="E754" s="9" t="s">
        <v>1138</v>
      </c>
      <c r="F754" s="7">
        <v>-437</v>
      </c>
    </row>
    <row r="755" spans="1:6" x14ac:dyDescent="0.3">
      <c r="A755" s="5" t="s">
        <v>867</v>
      </c>
      <c r="B755" s="27">
        <v>43605</v>
      </c>
      <c r="C755" s="11" t="s">
        <v>205</v>
      </c>
      <c r="D755" s="6" t="s">
        <v>269</v>
      </c>
      <c r="E755" s="9" t="s">
        <v>1138</v>
      </c>
      <c r="F755" s="7">
        <v>-2230</v>
      </c>
    </row>
    <row r="756" spans="1:6" x14ac:dyDescent="0.3">
      <c r="A756" s="5" t="s">
        <v>868</v>
      </c>
      <c r="B756" s="27">
        <v>43605</v>
      </c>
      <c r="C756" s="11" t="s">
        <v>206</v>
      </c>
      <c r="D756" s="6" t="s">
        <v>269</v>
      </c>
      <c r="E756" s="9" t="s">
        <v>1138</v>
      </c>
      <c r="F756" s="7">
        <v>-240</v>
      </c>
    </row>
    <row r="757" spans="1:6" x14ac:dyDescent="0.3">
      <c r="A757" s="5" t="s">
        <v>869</v>
      </c>
      <c r="B757" s="27">
        <v>43606</v>
      </c>
      <c r="C757" s="11" t="s">
        <v>31</v>
      </c>
      <c r="D757" s="6" t="s">
        <v>269</v>
      </c>
      <c r="E757" s="9" t="s">
        <v>1138</v>
      </c>
      <c r="F757" s="7">
        <v>-15000</v>
      </c>
    </row>
    <row r="758" spans="1:6" x14ac:dyDescent="0.3">
      <c r="A758" s="5" t="s">
        <v>870</v>
      </c>
      <c r="B758" s="27">
        <v>43606</v>
      </c>
      <c r="C758" s="11" t="s">
        <v>26</v>
      </c>
      <c r="D758" s="6" t="s">
        <v>269</v>
      </c>
      <c r="E758" s="9" t="s">
        <v>1138</v>
      </c>
      <c r="F758" s="7">
        <v>-5000</v>
      </c>
    </row>
    <row r="759" spans="1:6" x14ac:dyDescent="0.3">
      <c r="A759" s="5" t="s">
        <v>871</v>
      </c>
      <c r="B759" s="27">
        <v>43606</v>
      </c>
      <c r="C759" s="9" t="s">
        <v>200</v>
      </c>
      <c r="D759" s="6" t="s">
        <v>269</v>
      </c>
      <c r="E759" s="9" t="s">
        <v>1138</v>
      </c>
      <c r="F759" s="7">
        <v>-1000</v>
      </c>
    </row>
    <row r="760" spans="1:6" x14ac:dyDescent="0.3">
      <c r="A760" s="5" t="s">
        <v>872</v>
      </c>
      <c r="B760" s="26">
        <v>43608</v>
      </c>
      <c r="C760" s="9" t="s">
        <v>200</v>
      </c>
      <c r="D760" s="6" t="s">
        <v>269</v>
      </c>
      <c r="E760" s="9" t="s">
        <v>1138</v>
      </c>
      <c r="F760" s="7">
        <v>-5000</v>
      </c>
    </row>
    <row r="761" spans="1:6" x14ac:dyDescent="0.3">
      <c r="A761" s="5" t="s">
        <v>873</v>
      </c>
      <c r="B761" s="26">
        <v>43608</v>
      </c>
      <c r="C761" s="11" t="s">
        <v>113</v>
      </c>
      <c r="D761" s="6" t="s">
        <v>269</v>
      </c>
      <c r="E761" s="9" t="s">
        <v>1138</v>
      </c>
      <c r="F761" s="7">
        <v>-20000</v>
      </c>
    </row>
    <row r="762" spans="1:6" x14ac:dyDescent="0.3">
      <c r="A762" s="5" t="s">
        <v>874</v>
      </c>
      <c r="B762" s="26">
        <v>43608</v>
      </c>
      <c r="C762" s="11" t="s">
        <v>31</v>
      </c>
      <c r="D762" s="6" t="s">
        <v>269</v>
      </c>
      <c r="E762" s="9" t="s">
        <v>1138</v>
      </c>
      <c r="F762" s="7">
        <v>-5000</v>
      </c>
    </row>
    <row r="763" spans="1:6" x14ac:dyDescent="0.3">
      <c r="A763" s="5" t="s">
        <v>875</v>
      </c>
      <c r="B763" s="27">
        <v>43609</v>
      </c>
      <c r="C763" s="11" t="s">
        <v>136</v>
      </c>
      <c r="D763" s="6" t="s">
        <v>269</v>
      </c>
      <c r="E763" s="9" t="s">
        <v>1138</v>
      </c>
      <c r="F763" s="7">
        <v>-900</v>
      </c>
    </row>
    <row r="764" spans="1:6" x14ac:dyDescent="0.3">
      <c r="A764" s="5" t="s">
        <v>876</v>
      </c>
      <c r="B764" s="27">
        <v>43610</v>
      </c>
      <c r="C764" s="8" t="s">
        <v>160</v>
      </c>
      <c r="D764" s="6" t="s">
        <v>269</v>
      </c>
      <c r="E764" s="8" t="s">
        <v>1148</v>
      </c>
      <c r="F764" s="12">
        <v>180000</v>
      </c>
    </row>
    <row r="765" spans="1:6" x14ac:dyDescent="0.3">
      <c r="A765" s="5" t="s">
        <v>877</v>
      </c>
      <c r="B765" s="26">
        <v>43610</v>
      </c>
      <c r="C765" s="11" t="s">
        <v>31</v>
      </c>
      <c r="D765" s="6" t="s">
        <v>269</v>
      </c>
      <c r="E765" s="9" t="s">
        <v>1138</v>
      </c>
      <c r="F765" s="7">
        <v>-100000</v>
      </c>
    </row>
    <row r="766" spans="1:6" x14ac:dyDescent="0.3">
      <c r="A766" s="5" t="s">
        <v>878</v>
      </c>
      <c r="B766" s="26">
        <v>43613</v>
      </c>
      <c r="C766" s="9" t="s">
        <v>200</v>
      </c>
      <c r="D766" s="6" t="s">
        <v>269</v>
      </c>
      <c r="E766" s="9" t="s">
        <v>1138</v>
      </c>
      <c r="F766" s="7">
        <v>-1000</v>
      </c>
    </row>
    <row r="767" spans="1:6" x14ac:dyDescent="0.3">
      <c r="A767" s="5" t="s">
        <v>879</v>
      </c>
      <c r="B767" s="26">
        <v>43613</v>
      </c>
      <c r="C767" s="9" t="s">
        <v>207</v>
      </c>
      <c r="D767" s="6" t="s">
        <v>269</v>
      </c>
      <c r="E767" s="9" t="s">
        <v>1138</v>
      </c>
      <c r="F767" s="7">
        <v>-1000</v>
      </c>
    </row>
    <row r="768" spans="1:6" x14ac:dyDescent="0.3">
      <c r="A768" s="5" t="s">
        <v>880</v>
      </c>
      <c r="B768" s="26">
        <v>43613</v>
      </c>
      <c r="C768" s="9" t="s">
        <v>208</v>
      </c>
      <c r="D768" s="6" t="s">
        <v>269</v>
      </c>
      <c r="E768" s="9" t="s">
        <v>1138</v>
      </c>
      <c r="F768" s="7">
        <v>-800</v>
      </c>
    </row>
    <row r="769" spans="1:6" x14ac:dyDescent="0.3">
      <c r="A769" s="5" t="s">
        <v>881</v>
      </c>
      <c r="B769" s="26">
        <v>43613</v>
      </c>
      <c r="C769" s="9" t="s">
        <v>209</v>
      </c>
      <c r="D769" s="6" t="s">
        <v>269</v>
      </c>
      <c r="E769" s="9" t="s">
        <v>1138</v>
      </c>
      <c r="F769" s="7">
        <v>-30000</v>
      </c>
    </row>
    <row r="770" spans="1:6" x14ac:dyDescent="0.3">
      <c r="A770" s="5" t="s">
        <v>882</v>
      </c>
      <c r="B770" s="26">
        <v>43617</v>
      </c>
      <c r="C770" s="8" t="s">
        <v>160</v>
      </c>
      <c r="D770" s="6" t="s">
        <v>269</v>
      </c>
      <c r="E770" s="8" t="s">
        <v>1148</v>
      </c>
      <c r="F770" s="12">
        <v>200000</v>
      </c>
    </row>
    <row r="771" spans="1:6" x14ac:dyDescent="0.3">
      <c r="A771" s="5" t="s">
        <v>883</v>
      </c>
      <c r="B771" s="26">
        <v>43617</v>
      </c>
      <c r="C771" s="11" t="s">
        <v>26</v>
      </c>
      <c r="D771" s="6" t="s">
        <v>269</v>
      </c>
      <c r="E771" s="9" t="s">
        <v>1138</v>
      </c>
      <c r="F771" s="7">
        <v>-40000</v>
      </c>
    </row>
    <row r="772" spans="1:6" x14ac:dyDescent="0.3">
      <c r="A772" s="5" t="s">
        <v>884</v>
      </c>
      <c r="B772" s="26">
        <v>43617</v>
      </c>
      <c r="C772" s="11" t="s">
        <v>69</v>
      </c>
      <c r="D772" s="6" t="s">
        <v>269</v>
      </c>
      <c r="E772" s="9" t="s">
        <v>1138</v>
      </c>
      <c r="F772" s="7">
        <v>-40000</v>
      </c>
    </row>
    <row r="773" spans="1:6" x14ac:dyDescent="0.3">
      <c r="A773" s="5" t="s">
        <v>885</v>
      </c>
      <c r="B773" s="26">
        <v>43617</v>
      </c>
      <c r="C773" s="11" t="s">
        <v>113</v>
      </c>
      <c r="D773" s="6" t="s">
        <v>269</v>
      </c>
      <c r="E773" s="9" t="s">
        <v>1138</v>
      </c>
      <c r="F773" s="7">
        <v>-30000</v>
      </c>
    </row>
    <row r="774" spans="1:6" x14ac:dyDescent="0.3">
      <c r="A774" s="5" t="s">
        <v>886</v>
      </c>
      <c r="B774" s="26">
        <v>43617</v>
      </c>
      <c r="C774" s="11" t="s">
        <v>31</v>
      </c>
      <c r="D774" s="6" t="s">
        <v>269</v>
      </c>
      <c r="E774" s="9" t="s">
        <v>1138</v>
      </c>
      <c r="F774" s="7">
        <v>-20000</v>
      </c>
    </row>
    <row r="775" spans="1:6" x14ac:dyDescent="0.3">
      <c r="A775" s="5" t="s">
        <v>887</v>
      </c>
      <c r="B775" s="27">
        <v>43617</v>
      </c>
      <c r="C775" s="11" t="s">
        <v>210</v>
      </c>
      <c r="D775" s="6" t="s">
        <v>269</v>
      </c>
      <c r="E775" s="9" t="s">
        <v>1138</v>
      </c>
      <c r="F775" s="7">
        <v>-60000</v>
      </c>
    </row>
    <row r="776" spans="1:6" x14ac:dyDescent="0.3">
      <c r="A776" s="5" t="s">
        <v>888</v>
      </c>
      <c r="B776" s="26">
        <v>43617</v>
      </c>
      <c r="C776" s="11" t="s">
        <v>211</v>
      </c>
      <c r="D776" s="6" t="s">
        <v>269</v>
      </c>
      <c r="E776" s="9" t="s">
        <v>1138</v>
      </c>
      <c r="F776" s="7">
        <v>-10000</v>
      </c>
    </row>
    <row r="777" spans="1:6" x14ac:dyDescent="0.3">
      <c r="A777" s="5" t="s">
        <v>889</v>
      </c>
      <c r="B777" s="30">
        <v>43617</v>
      </c>
      <c r="C777" s="9" t="s">
        <v>212</v>
      </c>
      <c r="D777" s="6" t="s">
        <v>269</v>
      </c>
      <c r="E777" s="9" t="s">
        <v>1138</v>
      </c>
      <c r="F777" s="7">
        <v>-16500</v>
      </c>
    </row>
    <row r="778" spans="1:6" x14ac:dyDescent="0.3">
      <c r="A778" s="5" t="s">
        <v>890</v>
      </c>
      <c r="B778" s="27">
        <v>43617</v>
      </c>
      <c r="C778" s="9" t="s">
        <v>213</v>
      </c>
      <c r="D778" s="6" t="s">
        <v>269</v>
      </c>
      <c r="E778" s="9" t="s">
        <v>1138</v>
      </c>
      <c r="F778" s="7">
        <v>-1000</v>
      </c>
    </row>
    <row r="779" spans="1:6" x14ac:dyDescent="0.3">
      <c r="A779" s="5" t="s">
        <v>891</v>
      </c>
      <c r="B779" s="26">
        <v>43617</v>
      </c>
      <c r="C779" s="9" t="s">
        <v>214</v>
      </c>
      <c r="D779" s="6" t="s">
        <v>269</v>
      </c>
      <c r="E779" s="9" t="s">
        <v>1138</v>
      </c>
      <c r="F779" s="7">
        <v>-3250</v>
      </c>
    </row>
    <row r="780" spans="1:6" x14ac:dyDescent="0.3">
      <c r="A780" s="5" t="s">
        <v>892</v>
      </c>
      <c r="B780" s="26">
        <v>43617</v>
      </c>
      <c r="C780" s="11" t="s">
        <v>31</v>
      </c>
      <c r="D780" s="6" t="s">
        <v>269</v>
      </c>
      <c r="E780" s="9" t="s">
        <v>1138</v>
      </c>
      <c r="F780" s="7">
        <v>-15000</v>
      </c>
    </row>
    <row r="781" spans="1:6" x14ac:dyDescent="0.3">
      <c r="A781" s="5" t="s">
        <v>893</v>
      </c>
      <c r="B781" s="26">
        <v>43626</v>
      </c>
      <c r="C781" s="11" t="s">
        <v>31</v>
      </c>
      <c r="D781" s="6" t="s">
        <v>269</v>
      </c>
      <c r="E781" s="9" t="s">
        <v>1138</v>
      </c>
      <c r="F781" s="7">
        <v>-5000</v>
      </c>
    </row>
    <row r="782" spans="1:6" x14ac:dyDescent="0.3">
      <c r="A782" s="5" t="s">
        <v>894</v>
      </c>
      <c r="B782" s="25">
        <v>43626</v>
      </c>
      <c r="C782" s="9" t="s">
        <v>200</v>
      </c>
      <c r="D782" s="6" t="s">
        <v>269</v>
      </c>
      <c r="E782" s="9" t="s">
        <v>1138</v>
      </c>
      <c r="F782" s="7">
        <v>-1000</v>
      </c>
    </row>
    <row r="783" spans="1:6" x14ac:dyDescent="0.3">
      <c r="A783" s="5" t="s">
        <v>895</v>
      </c>
      <c r="B783" s="25">
        <v>43626</v>
      </c>
      <c r="C783" s="11" t="s">
        <v>119</v>
      </c>
      <c r="D783" s="6" t="s">
        <v>269</v>
      </c>
      <c r="E783" s="9" t="s">
        <v>1138</v>
      </c>
      <c r="F783" s="7">
        <v>-1250</v>
      </c>
    </row>
    <row r="784" spans="1:6" x14ac:dyDescent="0.3">
      <c r="A784" s="5" t="s">
        <v>896</v>
      </c>
      <c r="B784" s="25">
        <v>43627</v>
      </c>
      <c r="C784" s="11" t="s">
        <v>31</v>
      </c>
      <c r="D784" s="6" t="s">
        <v>269</v>
      </c>
      <c r="E784" s="9" t="s">
        <v>1138</v>
      </c>
      <c r="F784" s="7">
        <v>-5000</v>
      </c>
    </row>
    <row r="785" spans="1:6" x14ac:dyDescent="0.3">
      <c r="A785" s="5" t="s">
        <v>897</v>
      </c>
      <c r="B785" s="25">
        <v>43629</v>
      </c>
      <c r="C785" s="8" t="s">
        <v>160</v>
      </c>
      <c r="D785" s="6" t="s">
        <v>269</v>
      </c>
      <c r="E785" s="8" t="s">
        <v>1148</v>
      </c>
      <c r="F785" s="12">
        <v>150000</v>
      </c>
    </row>
    <row r="786" spans="1:6" x14ac:dyDescent="0.3">
      <c r="A786" s="5" t="s">
        <v>898</v>
      </c>
      <c r="B786" s="25">
        <v>43629</v>
      </c>
      <c r="C786" s="11" t="s">
        <v>31</v>
      </c>
      <c r="D786" s="6" t="s">
        <v>269</v>
      </c>
      <c r="E786" s="9" t="s">
        <v>1138</v>
      </c>
      <c r="F786" s="7">
        <v>-45000</v>
      </c>
    </row>
    <row r="787" spans="1:6" x14ac:dyDescent="0.3">
      <c r="A787" s="5" t="s">
        <v>899</v>
      </c>
      <c r="B787" s="25">
        <v>43629</v>
      </c>
      <c r="C787" s="11" t="s">
        <v>215</v>
      </c>
      <c r="D787" s="6" t="s">
        <v>269</v>
      </c>
      <c r="E787" s="9" t="s">
        <v>1138</v>
      </c>
      <c r="F787" s="7">
        <v>-5000</v>
      </c>
    </row>
    <row r="788" spans="1:6" x14ac:dyDescent="0.3">
      <c r="A788" s="5" t="s">
        <v>900</v>
      </c>
      <c r="B788" s="25">
        <v>43632</v>
      </c>
      <c r="C788" s="11" t="s">
        <v>216</v>
      </c>
      <c r="D788" s="6" t="s">
        <v>269</v>
      </c>
      <c r="E788" s="9" t="s">
        <v>1138</v>
      </c>
      <c r="F788" s="7">
        <v>-300</v>
      </c>
    </row>
    <row r="789" spans="1:6" x14ac:dyDescent="0.3">
      <c r="A789" s="5" t="s">
        <v>901</v>
      </c>
      <c r="B789" s="25">
        <v>43632</v>
      </c>
      <c r="C789" s="9" t="s">
        <v>200</v>
      </c>
      <c r="D789" s="6" t="s">
        <v>269</v>
      </c>
      <c r="E789" s="9" t="s">
        <v>1138</v>
      </c>
      <c r="F789" s="7">
        <v>-5000</v>
      </c>
    </row>
    <row r="790" spans="1:6" x14ac:dyDescent="0.3">
      <c r="A790" s="5" t="s">
        <v>978</v>
      </c>
      <c r="B790" s="44">
        <v>43632</v>
      </c>
      <c r="C790" s="11" t="s">
        <v>31</v>
      </c>
      <c r="D790" s="6" t="s">
        <v>269</v>
      </c>
      <c r="E790" s="9" t="s">
        <v>1138</v>
      </c>
      <c r="F790" s="7">
        <v>-1000</v>
      </c>
    </row>
    <row r="791" spans="1:6" x14ac:dyDescent="0.3">
      <c r="A791" s="5" t="s">
        <v>902</v>
      </c>
      <c r="B791" s="25">
        <v>43633</v>
      </c>
      <c r="C791" s="11" t="s">
        <v>113</v>
      </c>
      <c r="D791" s="6" t="s">
        <v>269</v>
      </c>
      <c r="E791" s="9" t="s">
        <v>1138</v>
      </c>
      <c r="F791" s="7">
        <v>-15000</v>
      </c>
    </row>
    <row r="792" spans="1:6" x14ac:dyDescent="0.3">
      <c r="A792" s="5" t="s">
        <v>903</v>
      </c>
      <c r="B792" s="25">
        <v>43633</v>
      </c>
      <c r="C792" s="11" t="s">
        <v>31</v>
      </c>
      <c r="D792" s="6" t="s">
        <v>269</v>
      </c>
      <c r="E792" s="9" t="s">
        <v>1138</v>
      </c>
      <c r="F792" s="7">
        <v>-5000</v>
      </c>
    </row>
    <row r="793" spans="1:6" x14ac:dyDescent="0.3">
      <c r="A793" s="5" t="s">
        <v>904</v>
      </c>
      <c r="B793" s="25">
        <v>43634</v>
      </c>
      <c r="C793" s="11" t="s">
        <v>31</v>
      </c>
      <c r="D793" s="6" t="s">
        <v>269</v>
      </c>
      <c r="E793" s="9" t="s">
        <v>1138</v>
      </c>
      <c r="F793" s="7">
        <v>-4000</v>
      </c>
    </row>
    <row r="794" spans="1:6" x14ac:dyDescent="0.3">
      <c r="A794" s="5" t="s">
        <v>905</v>
      </c>
      <c r="B794" s="25">
        <v>43634</v>
      </c>
      <c r="C794" s="11" t="s">
        <v>217</v>
      </c>
      <c r="D794" s="6" t="s">
        <v>269</v>
      </c>
      <c r="E794" s="9" t="s">
        <v>1138</v>
      </c>
      <c r="F794" s="7">
        <v>-2000</v>
      </c>
    </row>
    <row r="795" spans="1:6" x14ac:dyDescent="0.3">
      <c r="A795" s="5" t="s">
        <v>906</v>
      </c>
      <c r="B795" s="26">
        <v>43636</v>
      </c>
      <c r="C795" s="11" t="s">
        <v>218</v>
      </c>
      <c r="D795" s="6" t="s">
        <v>269</v>
      </c>
      <c r="E795" s="9" t="s">
        <v>1138</v>
      </c>
      <c r="F795" s="7">
        <v>-60</v>
      </c>
    </row>
    <row r="796" spans="1:6" x14ac:dyDescent="0.3">
      <c r="A796" s="5" t="s">
        <v>907</v>
      </c>
      <c r="B796" s="26">
        <v>43636</v>
      </c>
      <c r="C796" s="11" t="s">
        <v>42</v>
      </c>
      <c r="D796" s="6" t="s">
        <v>269</v>
      </c>
      <c r="E796" s="9" t="s">
        <v>1138</v>
      </c>
      <c r="F796" s="7">
        <v>-25</v>
      </c>
    </row>
    <row r="797" spans="1:6" x14ac:dyDescent="0.3">
      <c r="A797" s="5" t="s">
        <v>908</v>
      </c>
      <c r="B797" s="26">
        <v>43636</v>
      </c>
      <c r="C797" s="11" t="s">
        <v>31</v>
      </c>
      <c r="D797" s="6" t="s">
        <v>269</v>
      </c>
      <c r="E797" s="9" t="s">
        <v>1138</v>
      </c>
      <c r="F797" s="7">
        <v>-6000</v>
      </c>
    </row>
    <row r="798" spans="1:6" x14ac:dyDescent="0.3">
      <c r="A798" s="5" t="s">
        <v>909</v>
      </c>
      <c r="B798" s="26">
        <v>43636</v>
      </c>
      <c r="C798" s="11" t="s">
        <v>26</v>
      </c>
      <c r="D798" s="6" t="s">
        <v>269</v>
      </c>
      <c r="E798" s="9" t="s">
        <v>1138</v>
      </c>
      <c r="F798" s="7">
        <v>-5000</v>
      </c>
    </row>
    <row r="799" spans="1:6" x14ac:dyDescent="0.3">
      <c r="A799" s="5" t="s">
        <v>910</v>
      </c>
      <c r="B799" s="26">
        <v>43637</v>
      </c>
      <c r="C799" s="11" t="s">
        <v>31</v>
      </c>
      <c r="D799" s="6" t="s">
        <v>269</v>
      </c>
      <c r="E799" s="9" t="s">
        <v>1138</v>
      </c>
      <c r="F799" s="7">
        <v>-5000</v>
      </c>
    </row>
    <row r="800" spans="1:6" x14ac:dyDescent="0.3">
      <c r="A800" s="5" t="s">
        <v>911</v>
      </c>
      <c r="B800" s="26">
        <v>43638</v>
      </c>
      <c r="C800" s="11" t="s">
        <v>31</v>
      </c>
      <c r="D800" s="6" t="s">
        <v>269</v>
      </c>
      <c r="E800" s="9" t="s">
        <v>1138</v>
      </c>
      <c r="F800" s="7">
        <v>-20000</v>
      </c>
    </row>
    <row r="801" spans="1:6" x14ac:dyDescent="0.3">
      <c r="A801" s="5" t="s">
        <v>912</v>
      </c>
      <c r="B801" s="26">
        <v>43638</v>
      </c>
      <c r="C801" s="11" t="s">
        <v>113</v>
      </c>
      <c r="D801" s="6" t="s">
        <v>269</v>
      </c>
      <c r="E801" s="9" t="s">
        <v>1138</v>
      </c>
      <c r="F801" s="7">
        <v>-25000</v>
      </c>
    </row>
    <row r="802" spans="1:6" x14ac:dyDescent="0.3">
      <c r="A802" s="5" t="s">
        <v>913</v>
      </c>
      <c r="B802" s="26">
        <v>43639</v>
      </c>
      <c r="C802" s="11" t="s">
        <v>31</v>
      </c>
      <c r="D802" s="6" t="s">
        <v>269</v>
      </c>
      <c r="E802" s="9" t="s">
        <v>1138</v>
      </c>
      <c r="F802" s="7">
        <v>-15000</v>
      </c>
    </row>
    <row r="803" spans="1:6" x14ac:dyDescent="0.3">
      <c r="A803" s="5" t="s">
        <v>914</v>
      </c>
      <c r="B803" s="26">
        <v>43639</v>
      </c>
      <c r="C803" s="9" t="s">
        <v>200</v>
      </c>
      <c r="D803" s="6" t="s">
        <v>269</v>
      </c>
      <c r="E803" s="9" t="s">
        <v>1138</v>
      </c>
      <c r="F803" s="7">
        <v>-1000</v>
      </c>
    </row>
    <row r="804" spans="1:6" x14ac:dyDescent="0.3">
      <c r="A804" s="5" t="s">
        <v>915</v>
      </c>
      <c r="B804" s="26">
        <v>43639</v>
      </c>
      <c r="C804" s="11" t="s">
        <v>26</v>
      </c>
      <c r="D804" s="6" t="s">
        <v>269</v>
      </c>
      <c r="E804" s="9" t="s">
        <v>1138</v>
      </c>
      <c r="F804" s="7">
        <v>-2000</v>
      </c>
    </row>
    <row r="805" spans="1:6" x14ac:dyDescent="0.3">
      <c r="A805" s="5" t="s">
        <v>916</v>
      </c>
      <c r="B805" s="27">
        <v>43641</v>
      </c>
      <c r="C805" s="8" t="s">
        <v>160</v>
      </c>
      <c r="D805" s="6" t="s">
        <v>269</v>
      </c>
      <c r="E805" s="8" t="s">
        <v>1148</v>
      </c>
      <c r="F805" s="12">
        <v>100000</v>
      </c>
    </row>
    <row r="806" spans="1:6" x14ac:dyDescent="0.3">
      <c r="A806" s="5" t="s">
        <v>917</v>
      </c>
      <c r="B806" s="26">
        <v>43641</v>
      </c>
      <c r="C806" s="11" t="s">
        <v>31</v>
      </c>
      <c r="D806" s="6" t="s">
        <v>269</v>
      </c>
      <c r="E806" s="9" t="s">
        <v>1138</v>
      </c>
      <c r="F806" s="7">
        <v>-65000</v>
      </c>
    </row>
    <row r="807" spans="1:6" x14ac:dyDescent="0.3">
      <c r="A807" s="5" t="s">
        <v>918</v>
      </c>
      <c r="B807" s="26">
        <v>43641</v>
      </c>
      <c r="C807" s="9" t="s">
        <v>200</v>
      </c>
      <c r="D807" s="6" t="s">
        <v>269</v>
      </c>
      <c r="E807" s="9" t="s">
        <v>1138</v>
      </c>
      <c r="F807" s="7">
        <v>-5000</v>
      </c>
    </row>
    <row r="808" spans="1:6" x14ac:dyDescent="0.3">
      <c r="A808" s="5" t="s">
        <v>919</v>
      </c>
      <c r="B808" s="26">
        <v>43642</v>
      </c>
      <c r="C808" s="11" t="s">
        <v>179</v>
      </c>
      <c r="D808" s="6" t="s">
        <v>269</v>
      </c>
      <c r="E808" s="9" t="s">
        <v>1138</v>
      </c>
      <c r="F808" s="7">
        <v>-2950</v>
      </c>
    </row>
    <row r="809" spans="1:6" x14ac:dyDescent="0.3">
      <c r="A809" s="5" t="s">
        <v>920</v>
      </c>
      <c r="B809" s="27">
        <v>43643</v>
      </c>
      <c r="C809" s="11" t="s">
        <v>113</v>
      </c>
      <c r="D809" s="6" t="s">
        <v>269</v>
      </c>
      <c r="E809" s="9" t="s">
        <v>1138</v>
      </c>
      <c r="F809" s="7">
        <v>-10000</v>
      </c>
    </row>
    <row r="810" spans="1:6" x14ac:dyDescent="0.3">
      <c r="A810" s="5" t="s">
        <v>921</v>
      </c>
      <c r="B810" s="27">
        <v>43643</v>
      </c>
      <c r="C810" s="11" t="s">
        <v>179</v>
      </c>
      <c r="D810" s="6" t="s">
        <v>269</v>
      </c>
      <c r="E810" s="9" t="s">
        <v>1138</v>
      </c>
      <c r="F810" s="7">
        <v>-2060</v>
      </c>
    </row>
    <row r="811" spans="1:6" x14ac:dyDescent="0.3">
      <c r="A811" s="5" t="s">
        <v>922</v>
      </c>
      <c r="B811" s="26">
        <v>43643</v>
      </c>
      <c r="C811" s="11" t="s">
        <v>219</v>
      </c>
      <c r="D811" s="6" t="s">
        <v>269</v>
      </c>
      <c r="E811" s="9" t="s">
        <v>1138</v>
      </c>
      <c r="F811" s="7">
        <v>-250</v>
      </c>
    </row>
    <row r="812" spans="1:6" x14ac:dyDescent="0.3">
      <c r="A812" s="5" t="s">
        <v>923</v>
      </c>
      <c r="B812" s="27">
        <v>43644</v>
      </c>
      <c r="C812" s="9" t="s">
        <v>200</v>
      </c>
      <c r="D812" s="6" t="s">
        <v>269</v>
      </c>
      <c r="E812" s="9" t="s">
        <v>1138</v>
      </c>
      <c r="F812" s="7">
        <v>-1000</v>
      </c>
    </row>
    <row r="813" spans="1:6" x14ac:dyDescent="0.3">
      <c r="A813" s="5" t="s">
        <v>924</v>
      </c>
      <c r="B813" s="26">
        <v>43644</v>
      </c>
      <c r="C813" s="11" t="s">
        <v>50</v>
      </c>
      <c r="D813" s="6" t="s">
        <v>269</v>
      </c>
      <c r="E813" s="9" t="s">
        <v>1138</v>
      </c>
      <c r="F813" s="7">
        <v>-25200</v>
      </c>
    </row>
    <row r="814" spans="1:6" x14ac:dyDescent="0.3">
      <c r="A814" s="5" t="s">
        <v>925</v>
      </c>
      <c r="B814" s="26">
        <v>43644</v>
      </c>
      <c r="C814" s="11"/>
      <c r="D814" s="6" t="s">
        <v>269</v>
      </c>
      <c r="E814" s="9" t="s">
        <v>1138</v>
      </c>
      <c r="F814" s="7">
        <v>-600</v>
      </c>
    </row>
    <row r="815" spans="1:6" x14ac:dyDescent="0.3">
      <c r="A815" s="5" t="s">
        <v>926</v>
      </c>
      <c r="B815" s="26">
        <v>43645</v>
      </c>
      <c r="C815" s="9" t="s">
        <v>200</v>
      </c>
      <c r="D815" s="6" t="s">
        <v>269</v>
      </c>
      <c r="E815" s="9" t="s">
        <v>1138</v>
      </c>
      <c r="F815" s="7">
        <v>-250</v>
      </c>
    </row>
    <row r="816" spans="1:6" x14ac:dyDescent="0.3">
      <c r="A816" s="5" t="s">
        <v>927</v>
      </c>
      <c r="B816" s="26">
        <v>43645</v>
      </c>
      <c r="C816" s="8" t="s">
        <v>220</v>
      </c>
      <c r="D816" s="6" t="s">
        <v>269</v>
      </c>
      <c r="E816" s="8" t="s">
        <v>1148</v>
      </c>
      <c r="F816" s="12">
        <v>200000</v>
      </c>
    </row>
    <row r="817" spans="1:6" x14ac:dyDescent="0.3">
      <c r="A817" s="5" t="s">
        <v>928</v>
      </c>
      <c r="B817" s="27">
        <v>43646</v>
      </c>
      <c r="C817" s="11" t="s">
        <v>31</v>
      </c>
      <c r="D817" s="6" t="s">
        <v>269</v>
      </c>
      <c r="E817" s="9" t="s">
        <v>1138</v>
      </c>
      <c r="F817" s="7">
        <v>-10000</v>
      </c>
    </row>
    <row r="818" spans="1:6" x14ac:dyDescent="0.3">
      <c r="A818" s="5" t="s">
        <v>929</v>
      </c>
      <c r="B818" s="26">
        <v>43647</v>
      </c>
      <c r="C818" s="8" t="s">
        <v>160</v>
      </c>
      <c r="D818" s="6" t="s">
        <v>269</v>
      </c>
      <c r="E818" s="8" t="s">
        <v>1148</v>
      </c>
      <c r="F818" s="12">
        <v>30000</v>
      </c>
    </row>
    <row r="819" spans="1:6" x14ac:dyDescent="0.3">
      <c r="A819" s="5" t="s">
        <v>930</v>
      </c>
      <c r="B819" s="27">
        <v>43647</v>
      </c>
      <c r="C819" s="11" t="s">
        <v>31</v>
      </c>
      <c r="D819" s="6" t="s">
        <v>269</v>
      </c>
      <c r="E819" s="9" t="s">
        <v>1138</v>
      </c>
      <c r="F819" s="7">
        <v>-30000</v>
      </c>
    </row>
    <row r="820" spans="1:6" x14ac:dyDescent="0.3">
      <c r="A820" s="5" t="s">
        <v>931</v>
      </c>
      <c r="B820" s="26">
        <v>43648</v>
      </c>
      <c r="C820" s="11" t="s">
        <v>113</v>
      </c>
      <c r="D820" s="6" t="s">
        <v>269</v>
      </c>
      <c r="E820" s="9" t="s">
        <v>1138</v>
      </c>
      <c r="F820" s="7">
        <v>-10000</v>
      </c>
    </row>
    <row r="821" spans="1:6" x14ac:dyDescent="0.3">
      <c r="A821" s="5" t="s">
        <v>932</v>
      </c>
      <c r="B821" s="26">
        <v>43648</v>
      </c>
      <c r="C821" s="9" t="s">
        <v>221</v>
      </c>
      <c r="D821" s="6" t="s">
        <v>269</v>
      </c>
      <c r="E821" s="9" t="s">
        <v>1138</v>
      </c>
      <c r="F821" s="7">
        <v>-12400</v>
      </c>
    </row>
    <row r="822" spans="1:6" x14ac:dyDescent="0.3">
      <c r="A822" s="5" t="s">
        <v>933</v>
      </c>
      <c r="B822" s="26">
        <v>43649</v>
      </c>
      <c r="C822" s="11" t="s">
        <v>31</v>
      </c>
      <c r="D822" s="6" t="s">
        <v>269</v>
      </c>
      <c r="E822" s="9" t="s">
        <v>1138</v>
      </c>
      <c r="F822" s="7">
        <v>-20000</v>
      </c>
    </row>
    <row r="823" spans="1:6" x14ac:dyDescent="0.3">
      <c r="A823" s="5" t="s">
        <v>934</v>
      </c>
      <c r="B823" s="26">
        <v>43649</v>
      </c>
      <c r="C823" s="11" t="s">
        <v>222</v>
      </c>
      <c r="D823" s="6" t="s">
        <v>269</v>
      </c>
      <c r="E823" s="9" t="s">
        <v>1138</v>
      </c>
      <c r="F823" s="7">
        <v>-16850</v>
      </c>
    </row>
    <row r="824" spans="1:6" x14ac:dyDescent="0.3">
      <c r="A824" s="5" t="s">
        <v>935</v>
      </c>
      <c r="B824" s="26">
        <v>43649</v>
      </c>
      <c r="C824" s="11" t="s">
        <v>42</v>
      </c>
      <c r="D824" s="6" t="s">
        <v>269</v>
      </c>
      <c r="E824" s="9" t="s">
        <v>1138</v>
      </c>
      <c r="F824" s="7">
        <v>-50</v>
      </c>
    </row>
    <row r="825" spans="1:6" x14ac:dyDescent="0.3">
      <c r="A825" s="5" t="s">
        <v>936</v>
      </c>
      <c r="B825" s="26">
        <v>43650</v>
      </c>
      <c r="C825" s="11" t="s">
        <v>31</v>
      </c>
      <c r="D825" s="6" t="s">
        <v>269</v>
      </c>
      <c r="E825" s="9" t="s">
        <v>1138</v>
      </c>
      <c r="F825" s="7">
        <v>-2000</v>
      </c>
    </row>
    <row r="826" spans="1:6" x14ac:dyDescent="0.3">
      <c r="A826" s="5" t="s">
        <v>937</v>
      </c>
      <c r="B826" s="26">
        <v>43650</v>
      </c>
      <c r="C826" s="11" t="s">
        <v>42</v>
      </c>
      <c r="D826" s="6" t="s">
        <v>269</v>
      </c>
      <c r="E826" s="9" t="s">
        <v>1138</v>
      </c>
      <c r="F826" s="7">
        <v>-50</v>
      </c>
    </row>
    <row r="827" spans="1:6" x14ac:dyDescent="0.3">
      <c r="A827" s="5" t="s">
        <v>938</v>
      </c>
      <c r="B827" s="26">
        <v>43650</v>
      </c>
      <c r="C827" s="11" t="s">
        <v>223</v>
      </c>
      <c r="D827" s="6" t="s">
        <v>269</v>
      </c>
      <c r="E827" s="9" t="s">
        <v>1138</v>
      </c>
      <c r="F827" s="7">
        <v>-300</v>
      </c>
    </row>
    <row r="828" spans="1:6" x14ac:dyDescent="0.3">
      <c r="A828" s="5" t="s">
        <v>939</v>
      </c>
      <c r="B828" s="26">
        <v>43652</v>
      </c>
      <c r="C828" s="11" t="s">
        <v>31</v>
      </c>
      <c r="D828" s="6" t="s">
        <v>269</v>
      </c>
      <c r="E828" s="9" t="s">
        <v>1138</v>
      </c>
      <c r="F828" s="7">
        <v>-5000</v>
      </c>
    </row>
    <row r="829" spans="1:6" x14ac:dyDescent="0.3">
      <c r="A829" s="5" t="s">
        <v>940</v>
      </c>
      <c r="B829" s="26">
        <v>43652</v>
      </c>
      <c r="C829" s="11" t="s">
        <v>224</v>
      </c>
      <c r="D829" s="6" t="s">
        <v>269</v>
      </c>
      <c r="E829" s="9" t="s">
        <v>1138</v>
      </c>
      <c r="F829" s="7">
        <v>-1500</v>
      </c>
    </row>
    <row r="830" spans="1:6" x14ac:dyDescent="0.3">
      <c r="A830" s="5" t="s">
        <v>941</v>
      </c>
      <c r="B830" s="26">
        <v>43652</v>
      </c>
      <c r="C830" s="11" t="s">
        <v>225</v>
      </c>
      <c r="D830" s="6" t="s">
        <v>269</v>
      </c>
      <c r="E830" s="9" t="s">
        <v>1138</v>
      </c>
      <c r="F830" s="7">
        <v>-500</v>
      </c>
    </row>
    <row r="831" spans="1:6" x14ac:dyDescent="0.3">
      <c r="A831" s="5" t="s">
        <v>942</v>
      </c>
      <c r="B831" s="26">
        <v>43652</v>
      </c>
      <c r="C831" s="11" t="s">
        <v>113</v>
      </c>
      <c r="D831" s="6" t="s">
        <v>269</v>
      </c>
      <c r="E831" s="9" t="s">
        <v>1138</v>
      </c>
      <c r="F831" s="7">
        <v>-20000</v>
      </c>
    </row>
    <row r="832" spans="1:6" x14ac:dyDescent="0.3">
      <c r="A832" s="5" t="s">
        <v>945</v>
      </c>
      <c r="B832" s="26">
        <v>43654</v>
      </c>
      <c r="C832" s="11" t="s">
        <v>31</v>
      </c>
      <c r="D832" s="6" t="s">
        <v>269</v>
      </c>
      <c r="E832" s="9" t="s">
        <v>1138</v>
      </c>
      <c r="F832" s="7">
        <v>-6000</v>
      </c>
    </row>
    <row r="833" spans="1:6" x14ac:dyDescent="0.3">
      <c r="A833" s="5" t="s">
        <v>946</v>
      </c>
      <c r="B833" s="26">
        <v>43654</v>
      </c>
      <c r="C833" s="11" t="s">
        <v>224</v>
      </c>
      <c r="D833" s="6" t="s">
        <v>269</v>
      </c>
      <c r="E833" s="9" t="s">
        <v>1138</v>
      </c>
      <c r="F833" s="7">
        <v>-1500</v>
      </c>
    </row>
    <row r="834" spans="1:6" x14ac:dyDescent="0.3">
      <c r="A834" s="5" t="s">
        <v>947</v>
      </c>
      <c r="B834" s="26">
        <v>43654</v>
      </c>
      <c r="C834" s="9" t="s">
        <v>226</v>
      </c>
      <c r="D834" s="6" t="s">
        <v>269</v>
      </c>
      <c r="E834" s="9" t="s">
        <v>1138</v>
      </c>
      <c r="F834" s="7">
        <v>-50000</v>
      </c>
    </row>
    <row r="835" spans="1:6" x14ac:dyDescent="0.3">
      <c r="A835" s="5" t="s">
        <v>948</v>
      </c>
      <c r="B835" s="26">
        <v>43655</v>
      </c>
      <c r="C835" s="8" t="s">
        <v>160</v>
      </c>
      <c r="D835" s="6" t="s">
        <v>269</v>
      </c>
      <c r="E835" s="8" t="s">
        <v>1148</v>
      </c>
      <c r="F835" s="12">
        <v>100000</v>
      </c>
    </row>
    <row r="836" spans="1:6" x14ac:dyDescent="0.3">
      <c r="A836" s="5" t="s">
        <v>949</v>
      </c>
      <c r="B836" s="26">
        <v>43655</v>
      </c>
      <c r="C836" s="11" t="s">
        <v>224</v>
      </c>
      <c r="D836" s="6" t="s">
        <v>269</v>
      </c>
      <c r="E836" s="9" t="s">
        <v>1138</v>
      </c>
      <c r="F836" s="7">
        <v>-1500</v>
      </c>
    </row>
    <row r="837" spans="1:6" x14ac:dyDescent="0.3">
      <c r="A837" s="5" t="s">
        <v>950</v>
      </c>
      <c r="B837" s="26">
        <v>43655</v>
      </c>
      <c r="C837" s="11" t="s">
        <v>31</v>
      </c>
      <c r="D837" s="6" t="s">
        <v>269</v>
      </c>
      <c r="E837" s="9" t="s">
        <v>1138</v>
      </c>
      <c r="F837" s="7">
        <v>-40000</v>
      </c>
    </row>
    <row r="838" spans="1:6" x14ac:dyDescent="0.3">
      <c r="A838" s="5" t="s">
        <v>951</v>
      </c>
      <c r="B838" s="26">
        <v>43655</v>
      </c>
      <c r="C838" s="6" t="s">
        <v>227</v>
      </c>
      <c r="D838" s="6" t="s">
        <v>269</v>
      </c>
      <c r="E838" s="9" t="s">
        <v>1138</v>
      </c>
      <c r="F838" s="7">
        <v>-40000</v>
      </c>
    </row>
    <row r="839" spans="1:6" x14ac:dyDescent="0.3">
      <c r="A839" s="5" t="s">
        <v>952</v>
      </c>
      <c r="B839" s="26">
        <v>43655</v>
      </c>
      <c r="C839" s="9" t="s">
        <v>200</v>
      </c>
      <c r="D839" s="6" t="s">
        <v>269</v>
      </c>
      <c r="E839" s="9" t="s">
        <v>1138</v>
      </c>
      <c r="F839" s="7">
        <v>-5000</v>
      </c>
    </row>
    <row r="840" spans="1:6" x14ac:dyDescent="0.3">
      <c r="A840" s="5" t="s">
        <v>953</v>
      </c>
      <c r="B840" s="26">
        <v>43655</v>
      </c>
      <c r="C840" s="11" t="s">
        <v>228</v>
      </c>
      <c r="D840" s="6" t="s">
        <v>269</v>
      </c>
      <c r="E840" s="9" t="s">
        <v>1138</v>
      </c>
      <c r="F840" s="7">
        <v>-60000</v>
      </c>
    </row>
    <row r="841" spans="1:6" x14ac:dyDescent="0.3">
      <c r="A841" s="5" t="s">
        <v>954</v>
      </c>
      <c r="B841" s="26">
        <v>43657</v>
      </c>
      <c r="C841" s="11" t="s">
        <v>31</v>
      </c>
      <c r="D841" s="6" t="s">
        <v>269</v>
      </c>
      <c r="E841" s="9" t="s">
        <v>1138</v>
      </c>
      <c r="F841" s="7">
        <v>-11000</v>
      </c>
    </row>
    <row r="842" spans="1:6" x14ac:dyDescent="0.3">
      <c r="A842" s="5" t="s">
        <v>955</v>
      </c>
      <c r="B842" s="26">
        <v>43657</v>
      </c>
      <c r="C842" s="11" t="s">
        <v>224</v>
      </c>
      <c r="D842" s="6" t="s">
        <v>269</v>
      </c>
      <c r="E842" s="9" t="s">
        <v>1138</v>
      </c>
      <c r="F842" s="7">
        <v>-3000</v>
      </c>
    </row>
    <row r="843" spans="1:6" x14ac:dyDescent="0.3">
      <c r="A843" s="5" t="s">
        <v>956</v>
      </c>
      <c r="B843" s="26">
        <v>43658</v>
      </c>
      <c r="C843" s="11" t="s">
        <v>31</v>
      </c>
      <c r="D843" s="6" t="s">
        <v>269</v>
      </c>
      <c r="E843" s="9" t="s">
        <v>1138</v>
      </c>
      <c r="F843" s="7">
        <v>-14000</v>
      </c>
    </row>
    <row r="844" spans="1:6" x14ac:dyDescent="0.3">
      <c r="A844" s="5" t="s">
        <v>957</v>
      </c>
      <c r="B844" s="26">
        <v>43658</v>
      </c>
      <c r="C844" s="11" t="s">
        <v>224</v>
      </c>
      <c r="D844" s="6" t="s">
        <v>269</v>
      </c>
      <c r="E844" s="9" t="s">
        <v>1138</v>
      </c>
      <c r="F844" s="7">
        <v>-5000</v>
      </c>
    </row>
    <row r="845" spans="1:6" x14ac:dyDescent="0.3">
      <c r="A845" s="5" t="s">
        <v>958</v>
      </c>
      <c r="B845" s="27">
        <v>43659</v>
      </c>
      <c r="C845" s="11" t="s">
        <v>31</v>
      </c>
      <c r="D845" s="6" t="s">
        <v>269</v>
      </c>
      <c r="E845" s="9" t="s">
        <v>1138</v>
      </c>
      <c r="F845" s="7">
        <v>-10000</v>
      </c>
    </row>
    <row r="846" spans="1:6" x14ac:dyDescent="0.3">
      <c r="A846" s="5" t="s">
        <v>959</v>
      </c>
      <c r="B846" s="26">
        <v>43659</v>
      </c>
      <c r="C846" s="11" t="s">
        <v>224</v>
      </c>
      <c r="D846" s="6" t="s">
        <v>269</v>
      </c>
      <c r="E846" s="9" t="s">
        <v>1138</v>
      </c>
      <c r="F846" s="7">
        <v>-1500</v>
      </c>
    </row>
    <row r="847" spans="1:6" x14ac:dyDescent="0.3">
      <c r="A847" s="5" t="s">
        <v>960</v>
      </c>
      <c r="B847" s="30">
        <v>43659</v>
      </c>
      <c r="C847" s="8" t="s">
        <v>229</v>
      </c>
      <c r="D847" s="6" t="s">
        <v>269</v>
      </c>
      <c r="E847" s="8" t="s">
        <v>1148</v>
      </c>
      <c r="F847" s="12">
        <v>100000</v>
      </c>
    </row>
    <row r="848" spans="1:6" x14ac:dyDescent="0.3">
      <c r="A848" s="5" t="s">
        <v>961</v>
      </c>
      <c r="B848" s="30">
        <v>43660</v>
      </c>
      <c r="C848" s="11" t="s">
        <v>31</v>
      </c>
      <c r="D848" s="6" t="s">
        <v>269</v>
      </c>
      <c r="E848" s="9" t="s">
        <v>1138</v>
      </c>
      <c r="F848" s="7">
        <v>-20000</v>
      </c>
    </row>
    <row r="849" spans="1:6" x14ac:dyDescent="0.3">
      <c r="A849" s="5" t="s">
        <v>962</v>
      </c>
      <c r="B849" s="30">
        <v>43660</v>
      </c>
      <c r="C849" s="11" t="s">
        <v>113</v>
      </c>
      <c r="D849" s="6" t="s">
        <v>269</v>
      </c>
      <c r="E849" s="9" t="s">
        <v>1138</v>
      </c>
      <c r="F849" s="7">
        <v>-20000</v>
      </c>
    </row>
    <row r="850" spans="1:6" x14ac:dyDescent="0.3">
      <c r="A850" s="5" t="s">
        <v>963</v>
      </c>
      <c r="B850" s="30">
        <v>43660</v>
      </c>
      <c r="C850" s="11" t="s">
        <v>224</v>
      </c>
      <c r="D850" s="6" t="s">
        <v>269</v>
      </c>
      <c r="E850" s="9" t="s">
        <v>1138</v>
      </c>
      <c r="F850" s="7">
        <v>-1500</v>
      </c>
    </row>
    <row r="851" spans="1:6" x14ac:dyDescent="0.3">
      <c r="A851" s="5" t="s">
        <v>964</v>
      </c>
      <c r="B851" s="27">
        <v>43662</v>
      </c>
      <c r="C851" s="11" t="s">
        <v>113</v>
      </c>
      <c r="D851" s="6" t="s">
        <v>269</v>
      </c>
      <c r="E851" s="9" t="s">
        <v>1138</v>
      </c>
      <c r="F851" s="7">
        <v>-20000</v>
      </c>
    </row>
    <row r="852" spans="1:6" x14ac:dyDescent="0.3">
      <c r="A852" s="5" t="s">
        <v>965</v>
      </c>
      <c r="B852" s="26">
        <v>43662</v>
      </c>
      <c r="C852" s="11" t="s">
        <v>224</v>
      </c>
      <c r="D852" s="6" t="s">
        <v>269</v>
      </c>
      <c r="E852" s="9" t="s">
        <v>1138</v>
      </c>
      <c r="F852" s="7">
        <v>-1500</v>
      </c>
    </row>
    <row r="853" spans="1:6" x14ac:dyDescent="0.3">
      <c r="A853" s="5" t="s">
        <v>966</v>
      </c>
      <c r="B853" s="26">
        <v>43662</v>
      </c>
      <c r="C853" s="11" t="s">
        <v>31</v>
      </c>
      <c r="D853" s="6" t="s">
        <v>269</v>
      </c>
      <c r="E853" s="9" t="s">
        <v>1138</v>
      </c>
      <c r="F853" s="7">
        <v>-20000</v>
      </c>
    </row>
    <row r="854" spans="1:6" x14ac:dyDescent="0.3">
      <c r="A854" s="5" t="s">
        <v>967</v>
      </c>
      <c r="B854" s="26">
        <v>43662</v>
      </c>
      <c r="C854" s="9" t="s">
        <v>200</v>
      </c>
      <c r="D854" s="6" t="s">
        <v>269</v>
      </c>
      <c r="E854" s="9" t="s">
        <v>1138</v>
      </c>
      <c r="F854" s="7">
        <v>-2000</v>
      </c>
    </row>
    <row r="855" spans="1:6" x14ac:dyDescent="0.3">
      <c r="A855" s="5" t="s">
        <v>968</v>
      </c>
      <c r="B855" s="26">
        <v>43663</v>
      </c>
      <c r="C855" s="11" t="s">
        <v>224</v>
      </c>
      <c r="D855" s="6" t="s">
        <v>269</v>
      </c>
      <c r="E855" s="9" t="s">
        <v>1138</v>
      </c>
      <c r="F855" s="7">
        <v>-9000</v>
      </c>
    </row>
    <row r="856" spans="1:6" x14ac:dyDescent="0.3">
      <c r="A856" s="5" t="s">
        <v>969</v>
      </c>
      <c r="B856" s="26">
        <v>43663</v>
      </c>
      <c r="C856" s="11" t="s">
        <v>31</v>
      </c>
      <c r="D856" s="6" t="s">
        <v>269</v>
      </c>
      <c r="E856" s="9" t="s">
        <v>1138</v>
      </c>
      <c r="F856" s="7">
        <v>-20000</v>
      </c>
    </row>
    <row r="857" spans="1:6" x14ac:dyDescent="0.3">
      <c r="A857" s="5" t="s">
        <v>970</v>
      </c>
      <c r="B857" s="26">
        <v>43664</v>
      </c>
      <c r="C857" s="11" t="s">
        <v>31</v>
      </c>
      <c r="D857" s="6" t="s">
        <v>269</v>
      </c>
      <c r="E857" s="9" t="s">
        <v>1138</v>
      </c>
      <c r="F857" s="7">
        <v>-12000</v>
      </c>
    </row>
    <row r="858" spans="1:6" x14ac:dyDescent="0.3">
      <c r="A858" s="5" t="s">
        <v>943</v>
      </c>
      <c r="B858" s="26">
        <v>43665</v>
      </c>
      <c r="C858" s="11" t="s">
        <v>31</v>
      </c>
      <c r="D858" s="6" t="s">
        <v>269</v>
      </c>
      <c r="E858" s="9" t="s">
        <v>1138</v>
      </c>
      <c r="F858" s="7">
        <v>-12000</v>
      </c>
    </row>
    <row r="859" spans="1:6" x14ac:dyDescent="0.3">
      <c r="A859" s="5" t="s">
        <v>944</v>
      </c>
      <c r="B859" s="26">
        <v>43665</v>
      </c>
      <c r="C859" s="11" t="s">
        <v>224</v>
      </c>
      <c r="D859" s="6" t="s">
        <v>269</v>
      </c>
      <c r="E859" s="9" t="s">
        <v>1138</v>
      </c>
      <c r="F859" s="7">
        <v>-1500</v>
      </c>
    </row>
    <row r="860" spans="1:6" x14ac:dyDescent="0.3">
      <c r="A860" s="5" t="s">
        <v>971</v>
      </c>
      <c r="B860" s="26">
        <v>43668</v>
      </c>
      <c r="C860" s="9" t="s">
        <v>200</v>
      </c>
      <c r="D860" s="6" t="s">
        <v>269</v>
      </c>
      <c r="E860" s="9" t="s">
        <v>1138</v>
      </c>
      <c r="F860" s="7">
        <v>-5000</v>
      </c>
    </row>
    <row r="861" spans="1:6" x14ac:dyDescent="0.3">
      <c r="A861" s="5" t="s">
        <v>972</v>
      </c>
      <c r="B861" s="26">
        <v>43668</v>
      </c>
      <c r="C861" s="8" t="s">
        <v>230</v>
      </c>
      <c r="D861" s="6" t="s">
        <v>269</v>
      </c>
      <c r="E861" s="8" t="s">
        <v>1148</v>
      </c>
      <c r="F861" s="12">
        <v>80000</v>
      </c>
    </row>
    <row r="862" spans="1:6" x14ac:dyDescent="0.3">
      <c r="A862" s="5" t="s">
        <v>973</v>
      </c>
      <c r="B862" s="26">
        <v>43668</v>
      </c>
      <c r="C862" s="11" t="s">
        <v>31</v>
      </c>
      <c r="D862" s="6" t="s">
        <v>269</v>
      </c>
      <c r="E862" s="9" t="s">
        <v>1138</v>
      </c>
      <c r="F862" s="7">
        <v>-40000</v>
      </c>
    </row>
    <row r="863" spans="1:6" x14ac:dyDescent="0.3">
      <c r="A863" s="5" t="s">
        <v>974</v>
      </c>
      <c r="B863" s="26">
        <v>43668</v>
      </c>
      <c r="C863" s="11" t="s">
        <v>113</v>
      </c>
      <c r="D863" s="6" t="s">
        <v>269</v>
      </c>
      <c r="E863" s="9" t="s">
        <v>1138</v>
      </c>
      <c r="F863" s="7">
        <v>-40000</v>
      </c>
    </row>
    <row r="864" spans="1:6" x14ac:dyDescent="0.3">
      <c r="A864" s="5" t="s">
        <v>975</v>
      </c>
      <c r="B864" s="26">
        <v>43671</v>
      </c>
      <c r="C864" s="8" t="s">
        <v>160</v>
      </c>
      <c r="D864" s="6" t="s">
        <v>269</v>
      </c>
      <c r="E864" s="8" t="s">
        <v>1148</v>
      </c>
      <c r="F864" s="12">
        <v>50000</v>
      </c>
    </row>
    <row r="865" spans="1:6" x14ac:dyDescent="0.3">
      <c r="A865" s="5" t="s">
        <v>976</v>
      </c>
      <c r="B865" s="27">
        <v>43671</v>
      </c>
      <c r="C865" s="11" t="s">
        <v>31</v>
      </c>
      <c r="D865" s="6" t="s">
        <v>269</v>
      </c>
      <c r="E865" s="9" t="s">
        <v>1138</v>
      </c>
      <c r="F865" s="7">
        <v>-40000</v>
      </c>
    </row>
    <row r="866" spans="1:6" x14ac:dyDescent="0.3">
      <c r="A866" s="5" t="s">
        <v>977</v>
      </c>
      <c r="B866" s="26">
        <v>43671</v>
      </c>
      <c r="C866" s="11" t="s">
        <v>113</v>
      </c>
      <c r="D866" s="6" t="s">
        <v>269</v>
      </c>
      <c r="E866" s="9" t="s">
        <v>1138</v>
      </c>
      <c r="F866" s="7">
        <v>-20000</v>
      </c>
    </row>
    <row r="867" spans="1:6" x14ac:dyDescent="0.3">
      <c r="A867" s="5" t="s">
        <v>979</v>
      </c>
      <c r="B867" s="27">
        <v>43674</v>
      </c>
      <c r="C867" s="9" t="s">
        <v>200</v>
      </c>
      <c r="D867" s="6" t="s">
        <v>269</v>
      </c>
      <c r="E867" s="9" t="s">
        <v>1138</v>
      </c>
      <c r="F867" s="7">
        <v>-1000</v>
      </c>
    </row>
    <row r="868" spans="1:6" x14ac:dyDescent="0.3">
      <c r="A868" s="5" t="s">
        <v>980</v>
      </c>
      <c r="B868" s="26">
        <v>43676</v>
      </c>
      <c r="C868" s="11" t="s">
        <v>31</v>
      </c>
      <c r="D868" s="6" t="s">
        <v>269</v>
      </c>
      <c r="E868" s="9" t="s">
        <v>1138</v>
      </c>
      <c r="F868" s="7">
        <v>-10000</v>
      </c>
    </row>
    <row r="869" spans="1:6" x14ac:dyDescent="0.3">
      <c r="A869" s="5" t="s">
        <v>981</v>
      </c>
      <c r="B869" s="26">
        <v>43678</v>
      </c>
      <c r="C869" s="8" t="s">
        <v>160</v>
      </c>
      <c r="D869" s="6" t="s">
        <v>269</v>
      </c>
      <c r="E869" s="8" t="s">
        <v>1148</v>
      </c>
      <c r="F869" s="12">
        <v>150000</v>
      </c>
    </row>
    <row r="870" spans="1:6" x14ac:dyDescent="0.3">
      <c r="A870" s="5" t="s">
        <v>982</v>
      </c>
      <c r="B870" s="26">
        <v>43678</v>
      </c>
      <c r="C870" s="11" t="s">
        <v>31</v>
      </c>
      <c r="D870" s="6" t="s">
        <v>269</v>
      </c>
      <c r="E870" s="9" t="s">
        <v>1138</v>
      </c>
      <c r="F870" s="7">
        <v>-100000</v>
      </c>
    </row>
    <row r="871" spans="1:6" x14ac:dyDescent="0.3">
      <c r="A871" s="5" t="s">
        <v>983</v>
      </c>
      <c r="B871" s="25">
        <v>43678</v>
      </c>
      <c r="C871" s="9" t="s">
        <v>231</v>
      </c>
      <c r="D871" s="6" t="s">
        <v>269</v>
      </c>
      <c r="E871" s="9" t="s">
        <v>1138</v>
      </c>
      <c r="F871" s="7">
        <v>-15500</v>
      </c>
    </row>
    <row r="872" spans="1:6" x14ac:dyDescent="0.3">
      <c r="A872" s="5" t="s">
        <v>984</v>
      </c>
      <c r="B872" s="25">
        <v>43678</v>
      </c>
      <c r="C872" s="11" t="s">
        <v>232</v>
      </c>
      <c r="D872" s="6" t="s">
        <v>269</v>
      </c>
      <c r="E872" s="9" t="s">
        <v>1138</v>
      </c>
      <c r="F872" s="7">
        <v>-1350</v>
      </c>
    </row>
    <row r="873" spans="1:6" x14ac:dyDescent="0.3">
      <c r="A873" s="5" t="s">
        <v>985</v>
      </c>
      <c r="B873" s="25">
        <v>43678</v>
      </c>
      <c r="C873" s="45" t="s">
        <v>233</v>
      </c>
      <c r="D873" s="6" t="s">
        <v>269</v>
      </c>
      <c r="E873" s="9" t="s">
        <v>1138</v>
      </c>
      <c r="F873" s="7">
        <v>-900</v>
      </c>
    </row>
    <row r="874" spans="1:6" x14ac:dyDescent="0.3">
      <c r="A874" s="5" t="s">
        <v>986</v>
      </c>
      <c r="B874" s="25">
        <v>43678</v>
      </c>
      <c r="C874" s="11" t="s">
        <v>234</v>
      </c>
      <c r="D874" s="6" t="s">
        <v>269</v>
      </c>
      <c r="E874" s="9" t="s">
        <v>1138</v>
      </c>
      <c r="F874" s="7">
        <v>-4500</v>
      </c>
    </row>
    <row r="875" spans="1:6" x14ac:dyDescent="0.3">
      <c r="A875" s="5" t="s">
        <v>987</v>
      </c>
      <c r="B875" s="25">
        <v>43678</v>
      </c>
      <c r="C875" s="11" t="s">
        <v>235</v>
      </c>
      <c r="D875" s="6" t="s">
        <v>269</v>
      </c>
      <c r="E875" s="9" t="s">
        <v>1138</v>
      </c>
      <c r="F875" s="7">
        <v>-2700</v>
      </c>
    </row>
    <row r="876" spans="1:6" x14ac:dyDescent="0.3">
      <c r="A876" s="5" t="s">
        <v>988</v>
      </c>
      <c r="B876" s="25">
        <v>43678</v>
      </c>
      <c r="C876" s="11" t="s">
        <v>236</v>
      </c>
      <c r="D876" s="6" t="s">
        <v>269</v>
      </c>
      <c r="E876" s="9" t="s">
        <v>1138</v>
      </c>
      <c r="F876" s="7">
        <v>-5400</v>
      </c>
    </row>
    <row r="877" spans="1:6" x14ac:dyDescent="0.3">
      <c r="A877" s="5" t="s">
        <v>989</v>
      </c>
      <c r="B877" s="25">
        <v>43679</v>
      </c>
      <c r="C877" s="9" t="s">
        <v>200</v>
      </c>
      <c r="D877" s="6" t="s">
        <v>269</v>
      </c>
      <c r="E877" s="9" t="s">
        <v>1138</v>
      </c>
      <c r="F877" s="7">
        <v>-500</v>
      </c>
    </row>
    <row r="878" spans="1:6" x14ac:dyDescent="0.3">
      <c r="A878" s="5" t="s">
        <v>990</v>
      </c>
      <c r="B878" s="25">
        <v>43682</v>
      </c>
      <c r="C878" s="8" t="s">
        <v>237</v>
      </c>
      <c r="D878" s="6" t="s">
        <v>269</v>
      </c>
      <c r="E878" s="8" t="s">
        <v>1148</v>
      </c>
      <c r="F878" s="12">
        <v>200000</v>
      </c>
    </row>
    <row r="879" spans="1:6" x14ac:dyDescent="0.3">
      <c r="A879" s="5" t="s">
        <v>991</v>
      </c>
      <c r="B879" s="25">
        <v>43682</v>
      </c>
      <c r="C879" s="11" t="s">
        <v>113</v>
      </c>
      <c r="D879" s="6" t="s">
        <v>269</v>
      </c>
      <c r="E879" s="9" t="s">
        <v>1138</v>
      </c>
      <c r="F879" s="7">
        <v>-80000</v>
      </c>
    </row>
    <row r="880" spans="1:6" x14ac:dyDescent="0.3">
      <c r="A880" s="5" t="s">
        <v>992</v>
      </c>
      <c r="B880" s="25">
        <v>43682</v>
      </c>
      <c r="C880" s="11" t="s">
        <v>31</v>
      </c>
      <c r="D880" s="6" t="s">
        <v>269</v>
      </c>
      <c r="E880" s="9" t="s">
        <v>1138</v>
      </c>
      <c r="F880" s="7">
        <v>-70000</v>
      </c>
    </row>
    <row r="881" spans="1:6" x14ac:dyDescent="0.3">
      <c r="A881" s="5" t="s">
        <v>993</v>
      </c>
      <c r="B881" s="25">
        <v>43682</v>
      </c>
      <c r="C881" s="9" t="s">
        <v>238</v>
      </c>
      <c r="D881" s="6" t="s">
        <v>269</v>
      </c>
      <c r="E881" s="9" t="s">
        <v>1138</v>
      </c>
      <c r="F881" s="7">
        <v>-40000</v>
      </c>
    </row>
    <row r="882" spans="1:6" x14ac:dyDescent="0.3">
      <c r="A882" s="5" t="s">
        <v>994</v>
      </c>
      <c r="B882" s="25">
        <v>43684</v>
      </c>
      <c r="C882" s="11" t="s">
        <v>119</v>
      </c>
      <c r="D882" s="6" t="s">
        <v>269</v>
      </c>
      <c r="E882" s="9" t="s">
        <v>1138</v>
      </c>
      <c r="F882" s="7">
        <v>-200</v>
      </c>
    </row>
    <row r="883" spans="1:6" x14ac:dyDescent="0.3">
      <c r="A883" s="5" t="s">
        <v>995</v>
      </c>
      <c r="B883" s="25">
        <v>43684</v>
      </c>
      <c r="C883" s="11" t="s">
        <v>239</v>
      </c>
      <c r="D883" s="6" t="s">
        <v>269</v>
      </c>
      <c r="E883" s="9" t="s">
        <v>1138</v>
      </c>
      <c r="F883" s="7">
        <v>-1660</v>
      </c>
    </row>
    <row r="884" spans="1:6" x14ac:dyDescent="0.3">
      <c r="A884" s="5" t="s">
        <v>996</v>
      </c>
      <c r="B884" s="25">
        <v>43685</v>
      </c>
      <c r="C884" s="11" t="s">
        <v>31</v>
      </c>
      <c r="D884" s="6" t="s">
        <v>269</v>
      </c>
      <c r="E884" s="9" t="s">
        <v>1138</v>
      </c>
      <c r="F884" s="7">
        <v>-13000</v>
      </c>
    </row>
    <row r="885" spans="1:6" x14ac:dyDescent="0.3">
      <c r="A885" s="5" t="s">
        <v>997</v>
      </c>
      <c r="B885" s="25">
        <v>43685</v>
      </c>
      <c r="C885" s="11" t="s">
        <v>240</v>
      </c>
      <c r="D885" s="6" t="s">
        <v>269</v>
      </c>
      <c r="E885" s="9" t="s">
        <v>1138</v>
      </c>
      <c r="F885" s="7">
        <v>-60000</v>
      </c>
    </row>
    <row r="886" spans="1:6" x14ac:dyDescent="0.3">
      <c r="A886" s="5" t="s">
        <v>998</v>
      </c>
      <c r="B886" s="25">
        <v>43685</v>
      </c>
      <c r="C886" s="11" t="s">
        <v>69</v>
      </c>
      <c r="D886" s="6" t="s">
        <v>269</v>
      </c>
      <c r="E886" s="9" t="s">
        <v>1138</v>
      </c>
      <c r="F886" s="7">
        <v>-20000</v>
      </c>
    </row>
    <row r="887" spans="1:6" x14ac:dyDescent="0.3">
      <c r="A887" s="5" t="s">
        <v>999</v>
      </c>
      <c r="B887" s="25">
        <v>43687</v>
      </c>
      <c r="C887" s="9" t="s">
        <v>200</v>
      </c>
      <c r="D887" s="6" t="s">
        <v>269</v>
      </c>
      <c r="E887" s="9" t="s">
        <v>1138</v>
      </c>
      <c r="F887" s="7">
        <v>-5000</v>
      </c>
    </row>
    <row r="888" spans="1:6" x14ac:dyDescent="0.3">
      <c r="A888" s="5" t="s">
        <v>1000</v>
      </c>
      <c r="B888" s="25">
        <v>43687</v>
      </c>
      <c r="C888" s="11" t="s">
        <v>113</v>
      </c>
      <c r="D888" s="6" t="s">
        <v>269</v>
      </c>
      <c r="E888" s="9" t="s">
        <v>1138</v>
      </c>
      <c r="F888" s="7">
        <v>-20000</v>
      </c>
    </row>
    <row r="889" spans="1:6" hidden="1" x14ac:dyDescent="0.3">
      <c r="A889" s="5" t="s">
        <v>1391</v>
      </c>
      <c r="B889" s="24">
        <v>43687</v>
      </c>
      <c r="C889" s="9" t="s">
        <v>1392</v>
      </c>
      <c r="D889" s="9" t="s">
        <v>1137</v>
      </c>
      <c r="E889" s="8" t="s">
        <v>1148</v>
      </c>
      <c r="F889" s="37">
        <v>200000</v>
      </c>
    </row>
    <row r="890" spans="1:6" x14ac:dyDescent="0.3">
      <c r="A890" s="5" t="s">
        <v>1001</v>
      </c>
      <c r="B890" s="25">
        <v>43693</v>
      </c>
      <c r="C890" s="11" t="s">
        <v>31</v>
      </c>
      <c r="D890" s="6" t="s">
        <v>269</v>
      </c>
      <c r="E890" s="9" t="s">
        <v>1138</v>
      </c>
      <c r="F890" s="7">
        <v>-40000</v>
      </c>
    </row>
    <row r="891" spans="1:6" x14ac:dyDescent="0.3">
      <c r="A891" s="5" t="s">
        <v>1002</v>
      </c>
      <c r="B891" s="25">
        <v>43694</v>
      </c>
      <c r="C891" s="8" t="s">
        <v>241</v>
      </c>
      <c r="D891" s="6" t="s">
        <v>269</v>
      </c>
      <c r="E891" s="8" t="s">
        <v>1148</v>
      </c>
      <c r="F891" s="12">
        <v>200000</v>
      </c>
    </row>
    <row r="892" spans="1:6" x14ac:dyDescent="0.3">
      <c r="A892" s="5" t="s">
        <v>1003</v>
      </c>
      <c r="B892" s="25">
        <v>43694</v>
      </c>
      <c r="C892" s="11" t="s">
        <v>242</v>
      </c>
      <c r="D892" s="6" t="s">
        <v>269</v>
      </c>
      <c r="E892" s="9" t="s">
        <v>1138</v>
      </c>
      <c r="F892" s="7">
        <v>-4500</v>
      </c>
    </row>
    <row r="893" spans="1:6" x14ac:dyDescent="0.3">
      <c r="A893" s="5" t="s">
        <v>1004</v>
      </c>
      <c r="B893" s="25">
        <v>43694</v>
      </c>
      <c r="C893" s="11" t="s">
        <v>31</v>
      </c>
      <c r="D893" s="6" t="s">
        <v>269</v>
      </c>
      <c r="E893" s="9" t="s">
        <v>1138</v>
      </c>
      <c r="F893" s="7">
        <v>-100000</v>
      </c>
    </row>
    <row r="894" spans="1:6" x14ac:dyDescent="0.3">
      <c r="A894" s="5" t="s">
        <v>1005</v>
      </c>
      <c r="B894" s="25">
        <v>43698</v>
      </c>
      <c r="C894" s="11" t="s">
        <v>31</v>
      </c>
      <c r="D894" s="6" t="s">
        <v>269</v>
      </c>
      <c r="E894" s="9" t="s">
        <v>1138</v>
      </c>
      <c r="F894" s="7">
        <v>-25000</v>
      </c>
    </row>
    <row r="895" spans="1:6" x14ac:dyDescent="0.3">
      <c r="A895" s="5" t="s">
        <v>1006</v>
      </c>
      <c r="B895" s="25">
        <v>43702</v>
      </c>
      <c r="C895" s="11" t="s">
        <v>31</v>
      </c>
      <c r="D895" s="6" t="s">
        <v>269</v>
      </c>
      <c r="E895" s="9" t="s">
        <v>1138</v>
      </c>
      <c r="F895" s="7">
        <v>-10000</v>
      </c>
    </row>
    <row r="896" spans="1:6" x14ac:dyDescent="0.3">
      <c r="A896" s="5" t="s">
        <v>1007</v>
      </c>
      <c r="B896" s="25">
        <v>43704</v>
      </c>
      <c r="C896" s="11" t="s">
        <v>31</v>
      </c>
      <c r="D896" s="6" t="s">
        <v>269</v>
      </c>
      <c r="E896" s="9" t="s">
        <v>1138</v>
      </c>
      <c r="F896" s="7">
        <v>-25000</v>
      </c>
    </row>
    <row r="897" spans="1:6" x14ac:dyDescent="0.3">
      <c r="A897" s="5" t="s">
        <v>1008</v>
      </c>
      <c r="B897" s="25">
        <v>43704</v>
      </c>
      <c r="C897" s="9" t="s">
        <v>200</v>
      </c>
      <c r="D897" s="6" t="s">
        <v>269</v>
      </c>
      <c r="E897" s="9" t="s">
        <v>1138</v>
      </c>
      <c r="F897" s="7">
        <v>-1000</v>
      </c>
    </row>
    <row r="898" spans="1:6" x14ac:dyDescent="0.3">
      <c r="A898" s="5" t="s">
        <v>1009</v>
      </c>
      <c r="B898" s="25">
        <v>43704</v>
      </c>
      <c r="C898" s="11" t="s">
        <v>243</v>
      </c>
      <c r="D898" s="6" t="s">
        <v>269</v>
      </c>
      <c r="E898" s="9" t="s">
        <v>1138</v>
      </c>
      <c r="F898" s="7">
        <v>-3000</v>
      </c>
    </row>
    <row r="899" spans="1:6" x14ac:dyDescent="0.3">
      <c r="A899" s="5" t="s">
        <v>1010</v>
      </c>
      <c r="B899" s="25">
        <v>43708</v>
      </c>
      <c r="C899" s="8" t="s">
        <v>160</v>
      </c>
      <c r="D899" s="6" t="s">
        <v>269</v>
      </c>
      <c r="E899" s="8" t="s">
        <v>1148</v>
      </c>
      <c r="F899" s="12">
        <v>20000</v>
      </c>
    </row>
    <row r="900" spans="1:6" x14ac:dyDescent="0.3">
      <c r="A900" s="5" t="s">
        <v>1011</v>
      </c>
      <c r="B900" s="25">
        <v>43708</v>
      </c>
      <c r="C900" s="11" t="s">
        <v>31</v>
      </c>
      <c r="D900" s="6" t="s">
        <v>269</v>
      </c>
      <c r="E900" s="9" t="s">
        <v>1138</v>
      </c>
      <c r="F900" s="7">
        <v>-17000</v>
      </c>
    </row>
    <row r="901" spans="1:6" x14ac:dyDescent="0.3">
      <c r="A901" s="5" t="s">
        <v>1012</v>
      </c>
      <c r="B901" s="25">
        <v>43708</v>
      </c>
      <c r="C901" s="11" t="s">
        <v>244</v>
      </c>
      <c r="D901" s="6" t="s">
        <v>269</v>
      </c>
      <c r="E901" s="9" t="s">
        <v>1138</v>
      </c>
      <c r="F901" s="7">
        <v>-500</v>
      </c>
    </row>
    <row r="902" spans="1:6" x14ac:dyDescent="0.3">
      <c r="A902" s="5" t="s">
        <v>1013</v>
      </c>
      <c r="B902" s="25">
        <v>43710</v>
      </c>
      <c r="C902" s="8" t="s">
        <v>160</v>
      </c>
      <c r="D902" s="6" t="s">
        <v>269</v>
      </c>
      <c r="E902" s="8" t="s">
        <v>1148</v>
      </c>
      <c r="F902" s="12">
        <v>100000</v>
      </c>
    </row>
    <row r="903" spans="1:6" x14ac:dyDescent="0.3">
      <c r="A903" s="5" t="s">
        <v>1014</v>
      </c>
      <c r="B903" s="25">
        <v>43710</v>
      </c>
      <c r="C903" s="11" t="s">
        <v>113</v>
      </c>
      <c r="D903" s="6" t="s">
        <v>269</v>
      </c>
      <c r="E903" s="9" t="s">
        <v>1138</v>
      </c>
      <c r="F903" s="7">
        <v>-30000</v>
      </c>
    </row>
    <row r="904" spans="1:6" x14ac:dyDescent="0.3">
      <c r="A904" s="5" t="s">
        <v>1015</v>
      </c>
      <c r="B904" s="25">
        <v>43710</v>
      </c>
      <c r="C904" s="11" t="s">
        <v>31</v>
      </c>
      <c r="D904" s="6" t="s">
        <v>269</v>
      </c>
      <c r="E904" s="9" t="s">
        <v>1138</v>
      </c>
      <c r="F904" s="7">
        <v>-60000</v>
      </c>
    </row>
    <row r="905" spans="1:6" x14ac:dyDescent="0.3">
      <c r="A905" s="5" t="s">
        <v>1016</v>
      </c>
      <c r="B905" s="25">
        <v>43710</v>
      </c>
      <c r="C905" s="9" t="s">
        <v>245</v>
      </c>
      <c r="D905" s="6" t="s">
        <v>269</v>
      </c>
      <c r="E905" s="9" t="s">
        <v>1138</v>
      </c>
      <c r="F905" s="7">
        <v>-9650</v>
      </c>
    </row>
    <row r="906" spans="1:6" x14ac:dyDescent="0.3">
      <c r="A906" s="5" t="s">
        <v>1017</v>
      </c>
      <c r="B906" s="25">
        <v>43711</v>
      </c>
      <c r="C906" s="9" t="s">
        <v>200</v>
      </c>
      <c r="D906" s="6" t="s">
        <v>269</v>
      </c>
      <c r="E906" s="9" t="s">
        <v>1138</v>
      </c>
      <c r="F906" s="7">
        <v>-1350</v>
      </c>
    </row>
    <row r="907" spans="1:6" x14ac:dyDescent="0.3">
      <c r="A907" s="5" t="s">
        <v>1018</v>
      </c>
      <c r="B907" s="25">
        <v>43715</v>
      </c>
      <c r="C907" s="9" t="s">
        <v>200</v>
      </c>
      <c r="D907" s="6" t="s">
        <v>269</v>
      </c>
      <c r="E907" s="9" t="s">
        <v>1138</v>
      </c>
      <c r="F907" s="7">
        <v>-2000</v>
      </c>
    </row>
    <row r="908" spans="1:6" x14ac:dyDescent="0.3">
      <c r="A908" s="5" t="s">
        <v>1019</v>
      </c>
      <c r="B908" s="25">
        <v>43715</v>
      </c>
      <c r="C908" s="8" t="s">
        <v>160</v>
      </c>
      <c r="D908" s="6" t="s">
        <v>269</v>
      </c>
      <c r="E908" s="8" t="s">
        <v>1148</v>
      </c>
      <c r="F908" s="12">
        <v>100000</v>
      </c>
    </row>
    <row r="909" spans="1:6" x14ac:dyDescent="0.3">
      <c r="A909" s="5" t="s">
        <v>1020</v>
      </c>
      <c r="B909" s="25">
        <v>43715</v>
      </c>
      <c r="C909" s="11" t="s">
        <v>31</v>
      </c>
      <c r="D909" s="6" t="s">
        <v>269</v>
      </c>
      <c r="E909" s="9" t="s">
        <v>1138</v>
      </c>
      <c r="F909" s="7">
        <v>-100000</v>
      </c>
    </row>
    <row r="910" spans="1:6" x14ac:dyDescent="0.3">
      <c r="A910" s="5" t="s">
        <v>1021</v>
      </c>
      <c r="B910" s="25">
        <v>43720</v>
      </c>
      <c r="C910" s="8" t="s">
        <v>160</v>
      </c>
      <c r="D910" s="6" t="s">
        <v>269</v>
      </c>
      <c r="E910" s="8" t="s">
        <v>1148</v>
      </c>
      <c r="F910" s="12">
        <v>150000</v>
      </c>
    </row>
    <row r="911" spans="1:6" x14ac:dyDescent="0.3">
      <c r="A911" s="5" t="s">
        <v>1022</v>
      </c>
      <c r="B911" s="25">
        <v>43720</v>
      </c>
      <c r="C911" s="9" t="s">
        <v>200</v>
      </c>
      <c r="D911" s="6" t="s">
        <v>269</v>
      </c>
      <c r="E911" s="9" t="s">
        <v>1138</v>
      </c>
      <c r="F911" s="7">
        <v>-5000</v>
      </c>
    </row>
    <row r="912" spans="1:6" x14ac:dyDescent="0.3">
      <c r="A912" s="5" t="s">
        <v>1023</v>
      </c>
      <c r="B912" s="25">
        <v>43720</v>
      </c>
      <c r="C912" s="11" t="s">
        <v>246</v>
      </c>
      <c r="D912" s="6" t="s">
        <v>269</v>
      </c>
      <c r="E912" s="9" t="s">
        <v>1138</v>
      </c>
      <c r="F912" s="7">
        <v>-22000</v>
      </c>
    </row>
    <row r="913" spans="1:6" x14ac:dyDescent="0.3">
      <c r="A913" s="5" t="s">
        <v>1024</v>
      </c>
      <c r="B913" s="25">
        <v>43720</v>
      </c>
      <c r="C913" s="11" t="s">
        <v>247</v>
      </c>
      <c r="D913" s="6" t="s">
        <v>269</v>
      </c>
      <c r="E913" s="9" t="s">
        <v>1138</v>
      </c>
      <c r="F913" s="7">
        <v>-60000</v>
      </c>
    </row>
    <row r="914" spans="1:6" x14ac:dyDescent="0.3">
      <c r="A914" s="5" t="s">
        <v>1025</v>
      </c>
      <c r="B914" s="25">
        <v>43722</v>
      </c>
      <c r="C914" s="11" t="s">
        <v>31</v>
      </c>
      <c r="D914" s="6" t="s">
        <v>269</v>
      </c>
      <c r="E914" s="9" t="s">
        <v>1138</v>
      </c>
      <c r="F914" s="7">
        <v>-25000</v>
      </c>
    </row>
    <row r="915" spans="1:6" x14ac:dyDescent="0.3">
      <c r="A915" s="5" t="s">
        <v>1026</v>
      </c>
      <c r="B915" s="25">
        <v>43725</v>
      </c>
      <c r="C915" s="8" t="s">
        <v>160</v>
      </c>
      <c r="D915" s="6" t="s">
        <v>269</v>
      </c>
      <c r="E915" s="8" t="s">
        <v>1148</v>
      </c>
      <c r="F915" s="12">
        <v>50000</v>
      </c>
    </row>
    <row r="916" spans="1:6" x14ac:dyDescent="0.3">
      <c r="A916" s="5" t="s">
        <v>1027</v>
      </c>
      <c r="B916" s="25">
        <v>43725</v>
      </c>
      <c r="C916" s="11" t="s">
        <v>31</v>
      </c>
      <c r="D916" s="6" t="s">
        <v>269</v>
      </c>
      <c r="E916" s="9" t="s">
        <v>1138</v>
      </c>
      <c r="F916" s="7">
        <v>-50000</v>
      </c>
    </row>
    <row r="917" spans="1:6" x14ac:dyDescent="0.3">
      <c r="A917" s="5" t="s">
        <v>1028</v>
      </c>
      <c r="B917" s="25">
        <v>43725</v>
      </c>
      <c r="C917" s="11" t="s">
        <v>119</v>
      </c>
      <c r="D917" s="6" t="s">
        <v>269</v>
      </c>
      <c r="E917" s="9" t="s">
        <v>1138</v>
      </c>
      <c r="F917" s="7">
        <v>-70</v>
      </c>
    </row>
    <row r="918" spans="1:6" x14ac:dyDescent="0.3">
      <c r="A918" s="5" t="s">
        <v>1029</v>
      </c>
      <c r="B918" s="25">
        <v>43726</v>
      </c>
      <c r="C918" s="11" t="s">
        <v>31</v>
      </c>
      <c r="D918" s="6" t="s">
        <v>269</v>
      </c>
      <c r="E918" s="9" t="s">
        <v>1138</v>
      </c>
      <c r="F918" s="7">
        <v>-10000</v>
      </c>
    </row>
    <row r="919" spans="1:6" x14ac:dyDescent="0.3">
      <c r="A919" s="5" t="s">
        <v>1030</v>
      </c>
      <c r="B919" s="25">
        <v>43728</v>
      </c>
      <c r="C919" s="11" t="s">
        <v>113</v>
      </c>
      <c r="D919" s="6" t="s">
        <v>269</v>
      </c>
      <c r="E919" s="9" t="s">
        <v>1138</v>
      </c>
      <c r="F919" s="7">
        <v>-30000</v>
      </c>
    </row>
    <row r="920" spans="1:6" x14ac:dyDescent="0.3">
      <c r="A920" s="5" t="s">
        <v>1031</v>
      </c>
      <c r="B920" s="25">
        <v>43729</v>
      </c>
      <c r="C920" s="9" t="s">
        <v>200</v>
      </c>
      <c r="D920" s="6" t="s">
        <v>269</v>
      </c>
      <c r="E920" s="9" t="s">
        <v>1138</v>
      </c>
      <c r="F920" s="7">
        <v>-2000</v>
      </c>
    </row>
    <row r="921" spans="1:6" x14ac:dyDescent="0.3">
      <c r="A921" s="5" t="s">
        <v>1032</v>
      </c>
      <c r="B921" s="25">
        <v>43729</v>
      </c>
      <c r="C921" s="8" t="s">
        <v>160</v>
      </c>
      <c r="D921" s="6" t="s">
        <v>269</v>
      </c>
      <c r="E921" s="8" t="s">
        <v>1148</v>
      </c>
      <c r="F921" s="12">
        <v>50000</v>
      </c>
    </row>
    <row r="922" spans="1:6" x14ac:dyDescent="0.3">
      <c r="A922" s="5" t="s">
        <v>1033</v>
      </c>
      <c r="B922" s="25">
        <v>43729</v>
      </c>
      <c r="C922" s="11" t="s">
        <v>31</v>
      </c>
      <c r="D922" s="6" t="s">
        <v>269</v>
      </c>
      <c r="E922" s="9" t="s">
        <v>1138</v>
      </c>
      <c r="F922" s="7">
        <v>-30000</v>
      </c>
    </row>
    <row r="923" spans="1:6" x14ac:dyDescent="0.3">
      <c r="A923" s="5" t="s">
        <v>1034</v>
      </c>
      <c r="B923" s="25">
        <v>43731</v>
      </c>
      <c r="C923" s="11" t="s">
        <v>31</v>
      </c>
      <c r="D923" s="6" t="s">
        <v>269</v>
      </c>
      <c r="E923" s="9" t="s">
        <v>1138</v>
      </c>
      <c r="F923" s="7">
        <v>-15000</v>
      </c>
    </row>
    <row r="924" spans="1:6" x14ac:dyDescent="0.3">
      <c r="A924" s="5" t="s">
        <v>1035</v>
      </c>
      <c r="B924" s="25">
        <v>43731</v>
      </c>
      <c r="C924" s="11" t="s">
        <v>248</v>
      </c>
      <c r="D924" s="6" t="s">
        <v>269</v>
      </c>
      <c r="E924" s="9" t="s">
        <v>1138</v>
      </c>
      <c r="F924" s="7">
        <v>-5000</v>
      </c>
    </row>
    <row r="925" spans="1:6" x14ac:dyDescent="0.3">
      <c r="A925" s="5" t="s">
        <v>1036</v>
      </c>
      <c r="B925" s="25">
        <v>43731</v>
      </c>
      <c r="C925" s="11" t="s">
        <v>119</v>
      </c>
      <c r="D925" s="6" t="s">
        <v>269</v>
      </c>
      <c r="E925" s="9" t="s">
        <v>1138</v>
      </c>
      <c r="F925" s="7">
        <v>-70</v>
      </c>
    </row>
    <row r="926" spans="1:6" x14ac:dyDescent="0.3">
      <c r="A926" s="5" t="s">
        <v>1037</v>
      </c>
      <c r="B926" s="25">
        <v>43731</v>
      </c>
      <c r="C926" s="11" t="s">
        <v>42</v>
      </c>
      <c r="D926" s="6" t="s">
        <v>269</v>
      </c>
      <c r="E926" s="9" t="s">
        <v>1138</v>
      </c>
      <c r="F926" s="7">
        <v>-100</v>
      </c>
    </row>
    <row r="927" spans="1:6" x14ac:dyDescent="0.3">
      <c r="A927" s="5" t="s">
        <v>1038</v>
      </c>
      <c r="B927" s="25">
        <v>43733</v>
      </c>
      <c r="C927" s="11" t="s">
        <v>248</v>
      </c>
      <c r="D927" s="6" t="s">
        <v>269</v>
      </c>
      <c r="E927" s="9" t="s">
        <v>1138</v>
      </c>
      <c r="F927" s="7">
        <v>-10000</v>
      </c>
    </row>
    <row r="928" spans="1:6" x14ac:dyDescent="0.3">
      <c r="A928" s="5" t="s">
        <v>1039</v>
      </c>
      <c r="B928" s="25">
        <v>43733</v>
      </c>
      <c r="C928" s="8" t="s">
        <v>160</v>
      </c>
      <c r="D928" s="6" t="s">
        <v>269</v>
      </c>
      <c r="E928" s="8" t="s">
        <v>1148</v>
      </c>
      <c r="F928" s="12">
        <v>100000</v>
      </c>
    </row>
    <row r="929" spans="1:6" x14ac:dyDescent="0.3">
      <c r="A929" s="5" t="s">
        <v>1040</v>
      </c>
      <c r="B929" s="25">
        <v>43734</v>
      </c>
      <c r="C929" s="11" t="s">
        <v>31</v>
      </c>
      <c r="D929" s="6" t="s">
        <v>269</v>
      </c>
      <c r="E929" s="9" t="s">
        <v>1138</v>
      </c>
      <c r="F929" s="7">
        <v>-80000</v>
      </c>
    </row>
    <row r="930" spans="1:6" x14ac:dyDescent="0.3">
      <c r="A930" s="5" t="s">
        <v>1041</v>
      </c>
      <c r="B930" s="25">
        <v>43734</v>
      </c>
      <c r="C930" s="11" t="s">
        <v>113</v>
      </c>
      <c r="D930" s="6" t="s">
        <v>269</v>
      </c>
      <c r="E930" s="9" t="s">
        <v>1138</v>
      </c>
      <c r="F930" s="7">
        <v>-20000</v>
      </c>
    </row>
    <row r="931" spans="1:6" x14ac:dyDescent="0.3">
      <c r="A931" s="5" t="s">
        <v>1042</v>
      </c>
      <c r="B931" s="25">
        <v>43736</v>
      </c>
      <c r="C931" s="11" t="s">
        <v>248</v>
      </c>
      <c r="D931" s="6" t="s">
        <v>269</v>
      </c>
      <c r="E931" s="9" t="s">
        <v>1138</v>
      </c>
      <c r="F931" s="7">
        <v>-5000</v>
      </c>
    </row>
    <row r="932" spans="1:6" x14ac:dyDescent="0.3">
      <c r="A932" s="5" t="s">
        <v>1043</v>
      </c>
      <c r="B932" s="25">
        <v>43736</v>
      </c>
      <c r="C932" s="8" t="s">
        <v>160</v>
      </c>
      <c r="D932" s="6" t="s">
        <v>269</v>
      </c>
      <c r="E932" s="8" t="s">
        <v>1148</v>
      </c>
      <c r="F932" s="12">
        <v>120000</v>
      </c>
    </row>
    <row r="933" spans="1:6" x14ac:dyDescent="0.3">
      <c r="A933" s="5" t="s">
        <v>1044</v>
      </c>
      <c r="B933" s="25">
        <v>43736</v>
      </c>
      <c r="C933" s="11" t="s">
        <v>31</v>
      </c>
      <c r="D933" s="6" t="s">
        <v>269</v>
      </c>
      <c r="E933" s="9" t="s">
        <v>1138</v>
      </c>
      <c r="F933" s="7">
        <v>-10000</v>
      </c>
    </row>
    <row r="934" spans="1:6" x14ac:dyDescent="0.3">
      <c r="A934" s="5" t="s">
        <v>1045</v>
      </c>
      <c r="B934" s="25">
        <v>43739</v>
      </c>
      <c r="C934" s="11" t="s">
        <v>31</v>
      </c>
      <c r="D934" s="6" t="s">
        <v>269</v>
      </c>
      <c r="E934" s="9" t="s">
        <v>1138</v>
      </c>
      <c r="F934" s="7">
        <v>-30000</v>
      </c>
    </row>
    <row r="935" spans="1:6" x14ac:dyDescent="0.3">
      <c r="A935" s="5" t="s">
        <v>1046</v>
      </c>
      <c r="B935" s="25">
        <v>43739</v>
      </c>
      <c r="C935" s="9" t="s">
        <v>200</v>
      </c>
      <c r="D935" s="6" t="s">
        <v>269</v>
      </c>
      <c r="E935" s="9" t="s">
        <v>1138</v>
      </c>
      <c r="F935" s="7">
        <v>-1000</v>
      </c>
    </row>
    <row r="936" spans="1:6" x14ac:dyDescent="0.3">
      <c r="A936" s="5" t="s">
        <v>1047</v>
      </c>
      <c r="B936" s="25">
        <v>43739</v>
      </c>
      <c r="C936" s="11" t="s">
        <v>113</v>
      </c>
      <c r="D936" s="6" t="s">
        <v>269</v>
      </c>
      <c r="E936" s="9" t="s">
        <v>1138</v>
      </c>
      <c r="F936" s="7">
        <v>-2000</v>
      </c>
    </row>
    <row r="937" spans="1:6" x14ac:dyDescent="0.3">
      <c r="A937" s="5" t="s">
        <v>1048</v>
      </c>
      <c r="B937" s="25">
        <v>43740</v>
      </c>
      <c r="C937" s="11" t="s">
        <v>42</v>
      </c>
      <c r="D937" s="6" t="s">
        <v>269</v>
      </c>
      <c r="E937" s="9" t="s">
        <v>1138</v>
      </c>
      <c r="F937" s="7">
        <v>-200</v>
      </c>
    </row>
    <row r="938" spans="1:6" x14ac:dyDescent="0.3">
      <c r="A938" s="5" t="s">
        <v>1049</v>
      </c>
      <c r="B938" s="25">
        <v>43740</v>
      </c>
      <c r="C938" s="11" t="s">
        <v>248</v>
      </c>
      <c r="D938" s="6" t="s">
        <v>269</v>
      </c>
      <c r="E938" s="9" t="s">
        <v>1138</v>
      </c>
      <c r="F938" s="7">
        <v>-6000</v>
      </c>
    </row>
    <row r="939" spans="1:6" x14ac:dyDescent="0.3">
      <c r="A939" s="5" t="s">
        <v>1050</v>
      </c>
      <c r="B939" s="25">
        <v>43740</v>
      </c>
      <c r="C939" s="11" t="s">
        <v>102</v>
      </c>
      <c r="D939" s="6" t="s">
        <v>269</v>
      </c>
      <c r="E939" s="9" t="s">
        <v>1138</v>
      </c>
      <c r="F939" s="7">
        <v>-1000</v>
      </c>
    </row>
    <row r="940" spans="1:6" x14ac:dyDescent="0.3">
      <c r="A940" s="5" t="s">
        <v>1051</v>
      </c>
      <c r="B940" s="25">
        <v>43740</v>
      </c>
      <c r="C940" s="8" t="s">
        <v>160</v>
      </c>
      <c r="D940" s="6" t="s">
        <v>269</v>
      </c>
      <c r="E940" s="8" t="s">
        <v>1148</v>
      </c>
      <c r="F940" s="12">
        <v>50000</v>
      </c>
    </row>
    <row r="941" spans="1:6" x14ac:dyDescent="0.3">
      <c r="A941" s="5" t="s">
        <v>1052</v>
      </c>
      <c r="B941" s="25">
        <v>43740</v>
      </c>
      <c r="C941" s="11" t="s">
        <v>119</v>
      </c>
      <c r="D941" s="6" t="s">
        <v>269</v>
      </c>
      <c r="E941" s="9" t="s">
        <v>1138</v>
      </c>
      <c r="F941" s="7">
        <v>-70</v>
      </c>
    </row>
    <row r="942" spans="1:6" x14ac:dyDescent="0.3">
      <c r="A942" s="5" t="s">
        <v>1053</v>
      </c>
      <c r="B942" s="25">
        <v>43740</v>
      </c>
      <c r="C942" s="6" t="s">
        <v>227</v>
      </c>
      <c r="D942" s="6" t="s">
        <v>269</v>
      </c>
      <c r="E942" s="9" t="s">
        <v>1138</v>
      </c>
      <c r="F942" s="7">
        <v>-23000</v>
      </c>
    </row>
    <row r="943" spans="1:6" x14ac:dyDescent="0.3">
      <c r="A943" s="5" t="s">
        <v>1055</v>
      </c>
      <c r="B943" s="25">
        <v>43745</v>
      </c>
      <c r="C943" s="8" t="s">
        <v>160</v>
      </c>
      <c r="D943" s="6" t="s">
        <v>269</v>
      </c>
      <c r="E943" s="8" t="s">
        <v>1148</v>
      </c>
      <c r="F943" s="12">
        <v>30000</v>
      </c>
    </row>
    <row r="944" spans="1:6" x14ac:dyDescent="0.3">
      <c r="A944" s="5" t="s">
        <v>1056</v>
      </c>
      <c r="B944" s="25">
        <v>43745</v>
      </c>
      <c r="C944" s="11" t="s">
        <v>31</v>
      </c>
      <c r="D944" s="6" t="s">
        <v>269</v>
      </c>
      <c r="E944" s="9" t="s">
        <v>1138</v>
      </c>
      <c r="F944" s="7">
        <v>-30000</v>
      </c>
    </row>
    <row r="945" spans="1:6" x14ac:dyDescent="0.3">
      <c r="A945" s="5" t="s">
        <v>1057</v>
      </c>
      <c r="B945" s="25">
        <v>43745</v>
      </c>
      <c r="C945" s="9" t="s">
        <v>200</v>
      </c>
      <c r="D945" s="6" t="s">
        <v>269</v>
      </c>
      <c r="E945" s="9" t="s">
        <v>1138</v>
      </c>
      <c r="F945" s="7">
        <v>-1000</v>
      </c>
    </row>
    <row r="946" spans="1:6" x14ac:dyDescent="0.3">
      <c r="A946" s="5" t="s">
        <v>1058</v>
      </c>
      <c r="B946" s="25">
        <v>43745</v>
      </c>
      <c r="C946" s="9" t="s">
        <v>246</v>
      </c>
      <c r="D946" s="6" t="s">
        <v>269</v>
      </c>
      <c r="E946" s="9" t="s">
        <v>1138</v>
      </c>
      <c r="F946" s="7">
        <v>-14100</v>
      </c>
    </row>
    <row r="947" spans="1:6" x14ac:dyDescent="0.3">
      <c r="A947" s="5" t="s">
        <v>1054</v>
      </c>
      <c r="B947" s="25">
        <v>43746</v>
      </c>
      <c r="C947" s="9" t="s">
        <v>249</v>
      </c>
      <c r="D947" s="6" t="s">
        <v>269</v>
      </c>
      <c r="E947" s="9" t="s">
        <v>1138</v>
      </c>
      <c r="F947" s="7">
        <v>-18150</v>
      </c>
    </row>
    <row r="948" spans="1:6" x14ac:dyDescent="0.3">
      <c r="A948" s="5" t="s">
        <v>1059</v>
      </c>
      <c r="B948" s="25">
        <v>43746</v>
      </c>
      <c r="C948" s="8" t="s">
        <v>160</v>
      </c>
      <c r="D948" s="6" t="s">
        <v>269</v>
      </c>
      <c r="E948" s="8" t="s">
        <v>1148</v>
      </c>
      <c r="F948" s="12">
        <v>100000</v>
      </c>
    </row>
    <row r="949" spans="1:6" x14ac:dyDescent="0.3">
      <c r="A949" s="5" t="s">
        <v>1060</v>
      </c>
      <c r="B949" s="25">
        <v>43746</v>
      </c>
      <c r="C949" s="11" t="s">
        <v>31</v>
      </c>
      <c r="D949" s="6" t="s">
        <v>269</v>
      </c>
      <c r="E949" s="9" t="s">
        <v>1138</v>
      </c>
      <c r="F949" s="7">
        <v>-80000</v>
      </c>
    </row>
    <row r="950" spans="1:6" x14ac:dyDescent="0.3">
      <c r="A950" s="5" t="s">
        <v>1061</v>
      </c>
      <c r="B950" s="25">
        <v>43749</v>
      </c>
      <c r="C950" s="11" t="s">
        <v>248</v>
      </c>
      <c r="D950" s="6" t="s">
        <v>269</v>
      </c>
      <c r="E950" s="9" t="s">
        <v>1138</v>
      </c>
      <c r="F950" s="7">
        <v>-10000</v>
      </c>
    </row>
    <row r="951" spans="1:6" x14ac:dyDescent="0.3">
      <c r="A951" s="5" t="s">
        <v>1062</v>
      </c>
      <c r="B951" s="25">
        <v>43749</v>
      </c>
      <c r="C951" s="11" t="s">
        <v>250</v>
      </c>
      <c r="D951" s="6" t="s">
        <v>269</v>
      </c>
      <c r="E951" s="9" t="s">
        <v>1138</v>
      </c>
      <c r="F951" s="7">
        <v>-750</v>
      </c>
    </row>
    <row r="952" spans="1:6" x14ac:dyDescent="0.3">
      <c r="A952" s="5" t="s">
        <v>1063</v>
      </c>
      <c r="B952" s="25">
        <v>43749</v>
      </c>
      <c r="C952" s="11" t="s">
        <v>251</v>
      </c>
      <c r="D952" s="6" t="s">
        <v>269</v>
      </c>
      <c r="E952" s="9" t="s">
        <v>1138</v>
      </c>
      <c r="F952" s="7">
        <v>-2300</v>
      </c>
    </row>
    <row r="953" spans="1:6" x14ac:dyDescent="0.3">
      <c r="A953" s="5" t="s">
        <v>1064</v>
      </c>
      <c r="B953" s="25">
        <v>43749</v>
      </c>
      <c r="C953" s="9" t="s">
        <v>200</v>
      </c>
      <c r="D953" s="6" t="s">
        <v>269</v>
      </c>
      <c r="E953" s="9" t="s">
        <v>1138</v>
      </c>
      <c r="F953" s="7">
        <v>-2000</v>
      </c>
    </row>
    <row r="954" spans="1:6" x14ac:dyDescent="0.3">
      <c r="A954" s="5" t="s">
        <v>1065</v>
      </c>
      <c r="B954" s="25">
        <v>43749</v>
      </c>
      <c r="C954" s="11" t="s">
        <v>42</v>
      </c>
      <c r="D954" s="6" t="s">
        <v>269</v>
      </c>
      <c r="E954" s="9" t="s">
        <v>1138</v>
      </c>
      <c r="F954" s="7">
        <v>-50</v>
      </c>
    </row>
    <row r="955" spans="1:6" x14ac:dyDescent="0.3">
      <c r="A955" s="5" t="s">
        <v>1066</v>
      </c>
      <c r="B955" s="25">
        <v>43751</v>
      </c>
      <c r="C955" s="8" t="s">
        <v>160</v>
      </c>
      <c r="D955" s="6" t="s">
        <v>269</v>
      </c>
      <c r="E955" s="8" t="s">
        <v>1148</v>
      </c>
      <c r="F955" s="12">
        <v>100000</v>
      </c>
    </row>
    <row r="956" spans="1:6" x14ac:dyDescent="0.3">
      <c r="A956" s="5" t="s">
        <v>1067</v>
      </c>
      <c r="B956" s="25">
        <v>43751</v>
      </c>
      <c r="C956" s="11" t="s">
        <v>248</v>
      </c>
      <c r="D956" s="6" t="s">
        <v>269</v>
      </c>
      <c r="E956" s="9" t="s">
        <v>1138</v>
      </c>
      <c r="F956" s="7">
        <v>-500</v>
      </c>
    </row>
    <row r="957" spans="1:6" x14ac:dyDescent="0.3">
      <c r="A957" s="5" t="s">
        <v>1068</v>
      </c>
      <c r="B957" s="25">
        <v>43751</v>
      </c>
      <c r="C957" s="11" t="s">
        <v>31</v>
      </c>
      <c r="D957" s="6" t="s">
        <v>269</v>
      </c>
      <c r="E957" s="9" t="s">
        <v>1138</v>
      </c>
      <c r="F957" s="7">
        <v>-30000</v>
      </c>
    </row>
    <row r="958" spans="1:6" x14ac:dyDescent="0.3">
      <c r="A958" s="5" t="s">
        <v>1069</v>
      </c>
      <c r="B958" s="25">
        <v>43751</v>
      </c>
      <c r="C958" s="11" t="s">
        <v>113</v>
      </c>
      <c r="D958" s="6" t="s">
        <v>269</v>
      </c>
      <c r="E958" s="9" t="s">
        <v>1138</v>
      </c>
      <c r="F958" s="7">
        <v>-50000</v>
      </c>
    </row>
    <row r="959" spans="1:6" x14ac:dyDescent="0.3">
      <c r="A959" s="5" t="s">
        <v>1070</v>
      </c>
      <c r="B959" s="25">
        <v>43751</v>
      </c>
      <c r="C959" s="9" t="s">
        <v>200</v>
      </c>
      <c r="D959" s="6" t="s">
        <v>269</v>
      </c>
      <c r="E959" s="9" t="s">
        <v>1138</v>
      </c>
      <c r="F959" s="7">
        <v>-1000</v>
      </c>
    </row>
    <row r="960" spans="1:6" x14ac:dyDescent="0.3">
      <c r="A960" s="5" t="s">
        <v>1071</v>
      </c>
      <c r="B960" s="25">
        <v>43753</v>
      </c>
      <c r="C960" s="9" t="s">
        <v>252</v>
      </c>
      <c r="D960" s="6" t="s">
        <v>269</v>
      </c>
      <c r="E960" s="9" t="s">
        <v>1138</v>
      </c>
      <c r="F960" s="7">
        <v>-100000</v>
      </c>
    </row>
    <row r="961" spans="1:6" x14ac:dyDescent="0.3">
      <c r="A961" s="5" t="s">
        <v>1072</v>
      </c>
      <c r="B961" s="25">
        <v>43754</v>
      </c>
      <c r="C961" s="8" t="s">
        <v>253</v>
      </c>
      <c r="D961" s="6" t="s">
        <v>269</v>
      </c>
      <c r="E961" s="8" t="s">
        <v>1148</v>
      </c>
      <c r="F961" s="12">
        <v>175000</v>
      </c>
    </row>
    <row r="962" spans="1:6" x14ac:dyDescent="0.3">
      <c r="A962" s="5" t="s">
        <v>1073</v>
      </c>
      <c r="B962" s="25">
        <v>43754</v>
      </c>
      <c r="C962" s="8" t="s">
        <v>160</v>
      </c>
      <c r="D962" s="6" t="s">
        <v>269</v>
      </c>
      <c r="E962" s="8" t="s">
        <v>1148</v>
      </c>
      <c r="F962" s="12">
        <v>25000</v>
      </c>
    </row>
    <row r="963" spans="1:6" x14ac:dyDescent="0.3">
      <c r="A963" s="5" t="s">
        <v>1074</v>
      </c>
      <c r="B963" s="25">
        <v>43754</v>
      </c>
      <c r="C963" s="11" t="s">
        <v>254</v>
      </c>
      <c r="D963" s="6" t="s">
        <v>269</v>
      </c>
      <c r="E963" s="9" t="s">
        <v>1138</v>
      </c>
      <c r="F963" s="7">
        <v>-60000</v>
      </c>
    </row>
    <row r="964" spans="1:6" x14ac:dyDescent="0.3">
      <c r="A964" s="5" t="s">
        <v>1075</v>
      </c>
      <c r="B964" s="25">
        <v>43755</v>
      </c>
      <c r="C964" s="11" t="s">
        <v>31</v>
      </c>
      <c r="D964" s="6" t="s">
        <v>269</v>
      </c>
      <c r="E964" s="9" t="s">
        <v>1138</v>
      </c>
      <c r="F964" s="7">
        <v>-50000</v>
      </c>
    </row>
    <row r="965" spans="1:6" x14ac:dyDescent="0.3">
      <c r="A965" s="5" t="s">
        <v>1076</v>
      </c>
      <c r="B965" s="25">
        <v>43756</v>
      </c>
      <c r="C965" s="9" t="s">
        <v>200</v>
      </c>
      <c r="D965" s="6" t="s">
        <v>269</v>
      </c>
      <c r="E965" s="9" t="s">
        <v>1138</v>
      </c>
      <c r="F965" s="7">
        <v>-5000</v>
      </c>
    </row>
    <row r="966" spans="1:6" x14ac:dyDescent="0.3">
      <c r="A966" s="5" t="s">
        <v>1077</v>
      </c>
      <c r="B966" s="25">
        <v>43757</v>
      </c>
      <c r="C966" s="11" t="s">
        <v>31</v>
      </c>
      <c r="D966" s="6" t="s">
        <v>269</v>
      </c>
      <c r="E966" s="9" t="s">
        <v>1138</v>
      </c>
      <c r="F966" s="7">
        <v>-40000</v>
      </c>
    </row>
    <row r="967" spans="1:6" x14ac:dyDescent="0.3">
      <c r="A967" s="5" t="s">
        <v>1078</v>
      </c>
      <c r="B967" s="25">
        <v>43757</v>
      </c>
      <c r="C967" s="11" t="s">
        <v>248</v>
      </c>
      <c r="D967" s="6" t="s">
        <v>269</v>
      </c>
      <c r="E967" s="9" t="s">
        <v>1138</v>
      </c>
      <c r="F967" s="7">
        <v>-1000</v>
      </c>
    </row>
    <row r="968" spans="1:6" x14ac:dyDescent="0.3">
      <c r="A968" s="5" t="s">
        <v>1079</v>
      </c>
      <c r="B968" s="25">
        <v>43758</v>
      </c>
      <c r="C968" s="11" t="s">
        <v>255</v>
      </c>
      <c r="D968" s="6" t="s">
        <v>269</v>
      </c>
      <c r="E968" s="9" t="s">
        <v>1138</v>
      </c>
      <c r="F968" s="7">
        <v>-500</v>
      </c>
    </row>
    <row r="969" spans="1:6" x14ac:dyDescent="0.3">
      <c r="A969" s="5" t="s">
        <v>1080</v>
      </c>
      <c r="B969" s="25">
        <v>43758</v>
      </c>
      <c r="C969" s="11" t="s">
        <v>113</v>
      </c>
      <c r="D969" s="6" t="s">
        <v>269</v>
      </c>
      <c r="E969" s="9" t="s">
        <v>1138</v>
      </c>
      <c r="F969" s="7">
        <v>-45100</v>
      </c>
    </row>
    <row r="970" spans="1:6" x14ac:dyDescent="0.3">
      <c r="A970" s="5" t="s">
        <v>1081</v>
      </c>
      <c r="B970" s="25">
        <v>43758</v>
      </c>
      <c r="C970" s="14" t="s">
        <v>50</v>
      </c>
      <c r="D970" s="6" t="s">
        <v>269</v>
      </c>
      <c r="E970" s="9" t="s">
        <v>1138</v>
      </c>
      <c r="F970" s="7">
        <v>-10200</v>
      </c>
    </row>
    <row r="971" spans="1:6" x14ac:dyDescent="0.3">
      <c r="A971" s="5" t="s">
        <v>1082</v>
      </c>
      <c r="B971" s="25">
        <v>43758</v>
      </c>
      <c r="C971" s="11" t="s">
        <v>31</v>
      </c>
      <c r="D971" s="6" t="s">
        <v>269</v>
      </c>
      <c r="E971" s="9" t="s">
        <v>1138</v>
      </c>
      <c r="F971" s="7">
        <v>-20000</v>
      </c>
    </row>
    <row r="972" spans="1:6" x14ac:dyDescent="0.3">
      <c r="A972" s="5" t="s">
        <v>1083</v>
      </c>
      <c r="B972" s="25">
        <v>43759</v>
      </c>
      <c r="C972" s="11" t="s">
        <v>31</v>
      </c>
      <c r="D972" s="6" t="s">
        <v>269</v>
      </c>
      <c r="E972" s="9" t="s">
        <v>1138</v>
      </c>
      <c r="F972" s="7">
        <v>-15000</v>
      </c>
    </row>
    <row r="973" spans="1:6" x14ac:dyDescent="0.3">
      <c r="A973" s="5" t="s">
        <v>1084</v>
      </c>
      <c r="B973" s="25">
        <v>43760</v>
      </c>
      <c r="C973" s="11" t="s">
        <v>256</v>
      </c>
      <c r="D973" s="6" t="s">
        <v>269</v>
      </c>
      <c r="E973" s="9" t="s">
        <v>1138</v>
      </c>
      <c r="F973" s="7">
        <v>-2442</v>
      </c>
    </row>
    <row r="974" spans="1:6" x14ac:dyDescent="0.3">
      <c r="A974" s="5" t="s">
        <v>1085</v>
      </c>
      <c r="B974" s="25">
        <v>43760</v>
      </c>
      <c r="C974" s="11" t="s">
        <v>255</v>
      </c>
      <c r="D974" s="6" t="s">
        <v>269</v>
      </c>
      <c r="E974" s="9" t="s">
        <v>1138</v>
      </c>
      <c r="F974" s="7">
        <v>-1000</v>
      </c>
    </row>
    <row r="975" spans="1:6" x14ac:dyDescent="0.3">
      <c r="A975" s="5" t="s">
        <v>1086</v>
      </c>
      <c r="B975" s="25">
        <v>43762</v>
      </c>
      <c r="C975" s="9" t="s">
        <v>200</v>
      </c>
      <c r="D975" s="6" t="s">
        <v>269</v>
      </c>
      <c r="E975" s="9" t="s">
        <v>1138</v>
      </c>
      <c r="F975" s="7">
        <v>-1000</v>
      </c>
    </row>
    <row r="976" spans="1:6" x14ac:dyDescent="0.3">
      <c r="A976" s="5" t="s">
        <v>1087</v>
      </c>
      <c r="B976" s="25">
        <v>43762</v>
      </c>
      <c r="C976" s="11" t="s">
        <v>119</v>
      </c>
      <c r="D976" s="6" t="s">
        <v>269</v>
      </c>
      <c r="E976" s="9" t="s">
        <v>1138</v>
      </c>
      <c r="F976" s="7">
        <v>-120</v>
      </c>
    </row>
    <row r="977" spans="1:6" x14ac:dyDescent="0.3">
      <c r="A977" s="5" t="s">
        <v>1088</v>
      </c>
      <c r="B977" s="25">
        <v>43762</v>
      </c>
      <c r="C977" s="11" t="s">
        <v>42</v>
      </c>
      <c r="D977" s="6" t="s">
        <v>269</v>
      </c>
      <c r="E977" s="9" t="s">
        <v>1138</v>
      </c>
      <c r="F977" s="7">
        <v>-50</v>
      </c>
    </row>
    <row r="978" spans="1:6" x14ac:dyDescent="0.3">
      <c r="A978" s="5" t="s">
        <v>1089</v>
      </c>
      <c r="B978" s="25">
        <v>43762</v>
      </c>
      <c r="C978" s="11" t="s">
        <v>257</v>
      </c>
      <c r="D978" s="6" t="s">
        <v>269</v>
      </c>
      <c r="E978" s="9" t="s">
        <v>1138</v>
      </c>
      <c r="F978" s="7">
        <v>-500</v>
      </c>
    </row>
    <row r="979" spans="1:6" x14ac:dyDescent="0.3">
      <c r="A979" s="5" t="s">
        <v>1090</v>
      </c>
      <c r="B979" s="25">
        <v>43762</v>
      </c>
      <c r="C979" s="11" t="s">
        <v>255</v>
      </c>
      <c r="D979" s="6" t="s">
        <v>269</v>
      </c>
      <c r="E979" s="9" t="s">
        <v>1138</v>
      </c>
      <c r="F979" s="7">
        <v>-1000</v>
      </c>
    </row>
    <row r="980" spans="1:6" x14ac:dyDescent="0.3">
      <c r="A980" s="5" t="s">
        <v>1091</v>
      </c>
      <c r="B980" s="25">
        <v>43762</v>
      </c>
      <c r="C980" s="11" t="s">
        <v>258</v>
      </c>
      <c r="D980" s="6" t="s">
        <v>269</v>
      </c>
      <c r="E980" s="9" t="s">
        <v>1138</v>
      </c>
      <c r="F980" s="7">
        <v>-560</v>
      </c>
    </row>
    <row r="981" spans="1:6" x14ac:dyDescent="0.3">
      <c r="A981" s="5" t="s">
        <v>1092</v>
      </c>
      <c r="B981" s="25">
        <v>43763</v>
      </c>
      <c r="C981" s="11" t="s">
        <v>259</v>
      </c>
      <c r="D981" s="6" t="s">
        <v>269</v>
      </c>
      <c r="E981" s="9" t="s">
        <v>1138</v>
      </c>
      <c r="F981" s="7">
        <v>-500</v>
      </c>
    </row>
    <row r="982" spans="1:6" x14ac:dyDescent="0.3">
      <c r="A982" s="5" t="s">
        <v>1093</v>
      </c>
      <c r="B982" s="25">
        <v>43763</v>
      </c>
      <c r="C982" s="11" t="s">
        <v>260</v>
      </c>
      <c r="D982" s="6" t="s">
        <v>269</v>
      </c>
      <c r="E982" s="9" t="s">
        <v>1138</v>
      </c>
      <c r="F982" s="7">
        <v>-90</v>
      </c>
    </row>
    <row r="983" spans="1:6" x14ac:dyDescent="0.3">
      <c r="A983" s="5" t="s">
        <v>1094</v>
      </c>
      <c r="B983" s="25">
        <v>43763</v>
      </c>
      <c r="C983" s="11" t="s">
        <v>42</v>
      </c>
      <c r="D983" s="6" t="s">
        <v>269</v>
      </c>
      <c r="E983" s="9" t="s">
        <v>1138</v>
      </c>
      <c r="F983" s="7">
        <v>-60</v>
      </c>
    </row>
    <row r="984" spans="1:6" x14ac:dyDescent="0.3">
      <c r="A984" s="5" t="s">
        <v>1095</v>
      </c>
      <c r="B984" s="25">
        <v>43765</v>
      </c>
      <c r="C984" s="11" t="s">
        <v>255</v>
      </c>
      <c r="D984" s="6" t="s">
        <v>269</v>
      </c>
      <c r="E984" s="9" t="s">
        <v>1138</v>
      </c>
      <c r="F984" s="7">
        <v>-1000</v>
      </c>
    </row>
    <row r="985" spans="1:6" x14ac:dyDescent="0.3">
      <c r="A985" s="5" t="s">
        <v>1096</v>
      </c>
      <c r="B985" s="25">
        <v>43765</v>
      </c>
      <c r="C985" s="9" t="s">
        <v>200</v>
      </c>
      <c r="D985" s="6" t="s">
        <v>269</v>
      </c>
      <c r="E985" s="9" t="s">
        <v>1138</v>
      </c>
      <c r="F985" s="7">
        <v>-1000</v>
      </c>
    </row>
    <row r="986" spans="1:6" x14ac:dyDescent="0.3">
      <c r="A986" s="5" t="s">
        <v>1097</v>
      </c>
      <c r="B986" s="25">
        <v>43765</v>
      </c>
      <c r="C986" s="11" t="s">
        <v>259</v>
      </c>
      <c r="D986" s="6" t="s">
        <v>269</v>
      </c>
      <c r="E986" s="9" t="s">
        <v>1138</v>
      </c>
      <c r="F986" s="7">
        <v>-1000</v>
      </c>
    </row>
    <row r="987" spans="1:6" x14ac:dyDescent="0.3">
      <c r="A987" s="5" t="s">
        <v>1098</v>
      </c>
      <c r="B987" s="25">
        <v>43765</v>
      </c>
      <c r="C987" s="11" t="s">
        <v>261</v>
      </c>
      <c r="D987" s="6" t="s">
        <v>269</v>
      </c>
      <c r="E987" s="9" t="s">
        <v>1138</v>
      </c>
      <c r="F987" s="7">
        <v>-1000</v>
      </c>
    </row>
    <row r="988" spans="1:6" x14ac:dyDescent="0.3">
      <c r="A988" s="5" t="s">
        <v>1099</v>
      </c>
      <c r="B988" s="25">
        <v>43765</v>
      </c>
      <c r="C988" s="11" t="s">
        <v>42</v>
      </c>
      <c r="D988" s="6" t="s">
        <v>269</v>
      </c>
      <c r="E988" s="9" t="s">
        <v>1138</v>
      </c>
      <c r="F988" s="7">
        <v>-80</v>
      </c>
    </row>
    <row r="989" spans="1:6" x14ac:dyDescent="0.3">
      <c r="A989" s="5" t="s">
        <v>1100</v>
      </c>
      <c r="B989" s="25">
        <v>43765</v>
      </c>
      <c r="C989" s="11" t="s">
        <v>250</v>
      </c>
      <c r="D989" s="6" t="s">
        <v>269</v>
      </c>
      <c r="E989" s="9" t="s">
        <v>1138</v>
      </c>
      <c r="F989" s="7">
        <v>-300</v>
      </c>
    </row>
    <row r="990" spans="1:6" x14ac:dyDescent="0.3">
      <c r="A990" s="5" t="s">
        <v>1101</v>
      </c>
      <c r="B990" s="25">
        <v>43766</v>
      </c>
      <c r="C990" s="11" t="s">
        <v>261</v>
      </c>
      <c r="D990" s="6" t="s">
        <v>269</v>
      </c>
      <c r="E990" s="9" t="s">
        <v>1138</v>
      </c>
      <c r="F990" s="7">
        <v>-2000</v>
      </c>
    </row>
    <row r="991" spans="1:6" x14ac:dyDescent="0.3">
      <c r="A991" s="5" t="s">
        <v>1102</v>
      </c>
      <c r="B991" s="25">
        <v>43766</v>
      </c>
      <c r="C991" s="8" t="s">
        <v>160</v>
      </c>
      <c r="D991" s="6" t="s">
        <v>269</v>
      </c>
      <c r="E991" s="8" t="s">
        <v>1148</v>
      </c>
      <c r="F991" s="12">
        <v>100000</v>
      </c>
    </row>
    <row r="992" spans="1:6" x14ac:dyDescent="0.3">
      <c r="A992" s="5" t="s">
        <v>1103</v>
      </c>
      <c r="B992" s="25">
        <v>43766</v>
      </c>
      <c r="C992" s="11" t="s">
        <v>113</v>
      </c>
      <c r="D992" s="6" t="s">
        <v>269</v>
      </c>
      <c r="E992" s="9" t="s">
        <v>1138</v>
      </c>
      <c r="F992" s="7">
        <v>-25000</v>
      </c>
    </row>
    <row r="993" spans="1:6" x14ac:dyDescent="0.3">
      <c r="A993" s="5" t="s">
        <v>1104</v>
      </c>
      <c r="B993" s="25">
        <v>43766</v>
      </c>
      <c r="C993" s="11" t="s">
        <v>31</v>
      </c>
      <c r="D993" s="6" t="s">
        <v>269</v>
      </c>
      <c r="E993" s="9" t="s">
        <v>1138</v>
      </c>
      <c r="F993" s="7">
        <v>-20000</v>
      </c>
    </row>
    <row r="994" spans="1:6" x14ac:dyDescent="0.3">
      <c r="A994" s="5" t="s">
        <v>1105</v>
      </c>
      <c r="B994" s="25">
        <v>43766</v>
      </c>
      <c r="C994" s="11" t="s">
        <v>257</v>
      </c>
      <c r="D994" s="6" t="s">
        <v>269</v>
      </c>
      <c r="E994" s="9" t="s">
        <v>1138</v>
      </c>
      <c r="F994" s="7">
        <v>-3000</v>
      </c>
    </row>
    <row r="995" spans="1:6" x14ac:dyDescent="0.3">
      <c r="A995" s="5" t="s">
        <v>1106</v>
      </c>
      <c r="B995" s="25">
        <v>43768</v>
      </c>
      <c r="C995" s="11" t="s">
        <v>255</v>
      </c>
      <c r="D995" s="6" t="s">
        <v>269</v>
      </c>
      <c r="E995" s="9" t="s">
        <v>1138</v>
      </c>
      <c r="F995" s="7">
        <v>-2000</v>
      </c>
    </row>
    <row r="996" spans="1:6" x14ac:dyDescent="0.3">
      <c r="A996" s="5" t="s">
        <v>1107</v>
      </c>
      <c r="B996" s="25">
        <v>43768</v>
      </c>
      <c r="C996" s="11" t="s">
        <v>261</v>
      </c>
      <c r="D996" s="6" t="s">
        <v>269</v>
      </c>
      <c r="E996" s="9" t="s">
        <v>1138</v>
      </c>
      <c r="F996" s="7">
        <v>-3000</v>
      </c>
    </row>
    <row r="997" spans="1:6" x14ac:dyDescent="0.3">
      <c r="A997" s="5" t="s">
        <v>1108</v>
      </c>
      <c r="B997" s="25">
        <v>43768</v>
      </c>
      <c r="C997" s="11" t="s">
        <v>31</v>
      </c>
      <c r="D997" s="6" t="s">
        <v>269</v>
      </c>
      <c r="E997" s="9" t="s">
        <v>1138</v>
      </c>
      <c r="F997" s="7">
        <v>-40000</v>
      </c>
    </row>
    <row r="998" spans="1:6" x14ac:dyDescent="0.3">
      <c r="A998" s="5" t="s">
        <v>1109</v>
      </c>
      <c r="B998" s="25">
        <v>43768</v>
      </c>
      <c r="C998" s="8" t="s">
        <v>160</v>
      </c>
      <c r="D998" s="6" t="s">
        <v>269</v>
      </c>
      <c r="E998" s="8" t="s">
        <v>1148</v>
      </c>
      <c r="F998" s="12">
        <v>100000</v>
      </c>
    </row>
    <row r="999" spans="1:6" x14ac:dyDescent="0.3">
      <c r="A999" s="5" t="s">
        <v>1110</v>
      </c>
      <c r="B999" s="25">
        <v>43768</v>
      </c>
      <c r="C999" s="11" t="s">
        <v>259</v>
      </c>
      <c r="D999" s="6" t="s">
        <v>269</v>
      </c>
      <c r="E999" s="9" t="s">
        <v>1138</v>
      </c>
      <c r="F999" s="7">
        <v>-50000</v>
      </c>
    </row>
    <row r="1000" spans="1:6" x14ac:dyDescent="0.3">
      <c r="A1000" s="5" t="s">
        <v>1111</v>
      </c>
      <c r="B1000" s="25">
        <v>43769</v>
      </c>
      <c r="C1000" s="11" t="s">
        <v>261</v>
      </c>
      <c r="D1000" s="6" t="s">
        <v>269</v>
      </c>
      <c r="E1000" s="9" t="s">
        <v>1138</v>
      </c>
      <c r="F1000" s="7">
        <v>-2000</v>
      </c>
    </row>
    <row r="1001" spans="1:6" x14ac:dyDescent="0.3">
      <c r="A1001" s="5" t="s">
        <v>1112</v>
      </c>
      <c r="B1001" s="25">
        <v>43771</v>
      </c>
      <c r="C1001" s="11" t="s">
        <v>248</v>
      </c>
      <c r="D1001" s="6" t="s">
        <v>269</v>
      </c>
      <c r="E1001" s="9" t="s">
        <v>1138</v>
      </c>
      <c r="F1001" s="7">
        <v>-1000</v>
      </c>
    </row>
    <row r="1002" spans="1:6" x14ac:dyDescent="0.3">
      <c r="A1002" s="5" t="s">
        <v>1113</v>
      </c>
      <c r="B1002" s="25">
        <v>43771</v>
      </c>
      <c r="C1002" s="11" t="s">
        <v>261</v>
      </c>
      <c r="D1002" s="6" t="s">
        <v>269</v>
      </c>
      <c r="E1002" s="9" t="s">
        <v>1138</v>
      </c>
      <c r="F1002" s="7">
        <v>-1500</v>
      </c>
    </row>
    <row r="1003" spans="1:6" x14ac:dyDescent="0.3">
      <c r="A1003" s="5" t="s">
        <v>1114</v>
      </c>
      <c r="B1003" s="25">
        <v>43771</v>
      </c>
      <c r="C1003" s="9" t="s">
        <v>262</v>
      </c>
      <c r="D1003" s="6" t="s">
        <v>269</v>
      </c>
      <c r="E1003" s="9" t="s">
        <v>1138</v>
      </c>
      <c r="F1003" s="7">
        <v>-17450</v>
      </c>
    </row>
    <row r="1004" spans="1:6" x14ac:dyDescent="0.3">
      <c r="A1004" s="5" t="s">
        <v>1115</v>
      </c>
      <c r="B1004" s="25">
        <v>43771</v>
      </c>
      <c r="C1004" s="9" t="s">
        <v>263</v>
      </c>
      <c r="D1004" s="6" t="s">
        <v>269</v>
      </c>
      <c r="E1004" s="9" t="s">
        <v>1138</v>
      </c>
      <c r="F1004" s="7">
        <v>-3500</v>
      </c>
    </row>
    <row r="1005" spans="1:6" x14ac:dyDescent="0.3">
      <c r="A1005" s="5" t="s">
        <v>1116</v>
      </c>
      <c r="B1005" s="25">
        <v>43771</v>
      </c>
      <c r="C1005" s="11" t="s">
        <v>31</v>
      </c>
      <c r="D1005" s="6" t="s">
        <v>269</v>
      </c>
      <c r="E1005" s="9" t="s">
        <v>1138</v>
      </c>
      <c r="F1005" s="7">
        <v>-10000</v>
      </c>
    </row>
    <row r="1006" spans="1:6" x14ac:dyDescent="0.3">
      <c r="A1006" s="5" t="s">
        <v>1117</v>
      </c>
      <c r="B1006" s="25">
        <v>43773</v>
      </c>
      <c r="C1006" s="11" t="s">
        <v>264</v>
      </c>
      <c r="D1006" s="6" t="s">
        <v>269</v>
      </c>
      <c r="E1006" s="9" t="s">
        <v>1138</v>
      </c>
      <c r="F1006" s="7">
        <v>-15050</v>
      </c>
    </row>
    <row r="1007" spans="1:6" x14ac:dyDescent="0.3">
      <c r="A1007" s="5" t="s">
        <v>1118</v>
      </c>
      <c r="B1007" s="25">
        <v>43774</v>
      </c>
      <c r="C1007" s="11" t="s">
        <v>248</v>
      </c>
      <c r="D1007" s="6" t="s">
        <v>269</v>
      </c>
      <c r="E1007" s="9" t="s">
        <v>1138</v>
      </c>
      <c r="F1007" s="7">
        <v>-500</v>
      </c>
    </row>
    <row r="1008" spans="1:6" x14ac:dyDescent="0.3">
      <c r="A1008" s="5" t="s">
        <v>1119</v>
      </c>
      <c r="B1008" s="25">
        <v>43774</v>
      </c>
      <c r="C1008" s="11" t="s">
        <v>261</v>
      </c>
      <c r="D1008" s="6" t="s">
        <v>269</v>
      </c>
      <c r="E1008" s="9" t="s">
        <v>1138</v>
      </c>
      <c r="F1008" s="7">
        <v>-1500</v>
      </c>
    </row>
    <row r="1009" spans="1:6" x14ac:dyDescent="0.3">
      <c r="A1009" s="5" t="s">
        <v>1120</v>
      </c>
      <c r="B1009" s="25">
        <v>43774</v>
      </c>
      <c r="C1009" s="11" t="s">
        <v>42</v>
      </c>
      <c r="D1009" s="6" t="s">
        <v>269</v>
      </c>
      <c r="E1009" s="9" t="s">
        <v>1138</v>
      </c>
      <c r="F1009" s="7">
        <v>-90</v>
      </c>
    </row>
    <row r="1010" spans="1:6" x14ac:dyDescent="0.3">
      <c r="A1010" s="5" t="s">
        <v>1121</v>
      </c>
      <c r="B1010" s="25">
        <v>43774</v>
      </c>
      <c r="C1010" s="8" t="s">
        <v>160</v>
      </c>
      <c r="D1010" s="6" t="s">
        <v>269</v>
      </c>
      <c r="E1010" s="8" t="s">
        <v>1148</v>
      </c>
      <c r="F1010" s="12">
        <v>250000</v>
      </c>
    </row>
    <row r="1011" spans="1:6" x14ac:dyDescent="0.3">
      <c r="A1011" s="5" t="s">
        <v>1122</v>
      </c>
      <c r="B1011" s="25">
        <v>43774</v>
      </c>
      <c r="C1011" s="11" t="s">
        <v>31</v>
      </c>
      <c r="D1011" s="6" t="s">
        <v>269</v>
      </c>
      <c r="E1011" s="9" t="s">
        <v>1138</v>
      </c>
      <c r="F1011" s="7">
        <v>-130000</v>
      </c>
    </row>
    <row r="1012" spans="1:6" x14ac:dyDescent="0.3">
      <c r="A1012" s="5" t="s">
        <v>1123</v>
      </c>
      <c r="B1012" s="25">
        <v>43774</v>
      </c>
      <c r="C1012" s="11" t="s">
        <v>113</v>
      </c>
      <c r="D1012" s="6" t="s">
        <v>269</v>
      </c>
      <c r="E1012" s="9" t="s">
        <v>1138</v>
      </c>
      <c r="F1012" s="7">
        <v>-60000</v>
      </c>
    </row>
    <row r="1013" spans="1:6" x14ac:dyDescent="0.3">
      <c r="A1013" s="5" t="s">
        <v>1124</v>
      </c>
      <c r="B1013" s="25">
        <v>43774</v>
      </c>
      <c r="C1013" s="11" t="s">
        <v>255</v>
      </c>
      <c r="D1013" s="6" t="s">
        <v>269</v>
      </c>
      <c r="E1013" s="9" t="s">
        <v>1138</v>
      </c>
      <c r="F1013" s="7">
        <v>-1000</v>
      </c>
    </row>
    <row r="1014" spans="1:6" x14ac:dyDescent="0.3">
      <c r="A1014" s="5" t="s">
        <v>1125</v>
      </c>
      <c r="B1014" s="25">
        <v>43774</v>
      </c>
      <c r="C1014" s="9" t="s">
        <v>200</v>
      </c>
      <c r="D1014" s="6" t="s">
        <v>269</v>
      </c>
      <c r="E1014" s="9" t="s">
        <v>1138</v>
      </c>
      <c r="F1014" s="7">
        <v>-3000</v>
      </c>
    </row>
    <row r="1015" spans="1:6" x14ac:dyDescent="0.3">
      <c r="A1015" s="5" t="s">
        <v>1126</v>
      </c>
      <c r="B1015" s="25">
        <v>43774</v>
      </c>
      <c r="C1015" s="11" t="s">
        <v>265</v>
      </c>
      <c r="D1015" s="6" t="s">
        <v>269</v>
      </c>
      <c r="E1015" s="9" t="s">
        <v>1138</v>
      </c>
      <c r="F1015" s="7">
        <v>-60000</v>
      </c>
    </row>
    <row r="1016" spans="1:6" x14ac:dyDescent="0.3">
      <c r="A1016" s="5" t="s">
        <v>1127</v>
      </c>
      <c r="B1016" s="25">
        <v>43774</v>
      </c>
      <c r="C1016" s="11" t="s">
        <v>119</v>
      </c>
      <c r="D1016" s="6" t="s">
        <v>269</v>
      </c>
      <c r="E1016" s="9" t="s">
        <v>1138</v>
      </c>
      <c r="F1016" s="7">
        <v>-500</v>
      </c>
    </row>
    <row r="1017" spans="1:6" x14ac:dyDescent="0.3">
      <c r="A1017" s="5" t="s">
        <v>1128</v>
      </c>
      <c r="B1017" s="25">
        <v>43774</v>
      </c>
      <c r="C1017" s="11" t="s">
        <v>261</v>
      </c>
      <c r="D1017" s="6" t="s">
        <v>269</v>
      </c>
      <c r="E1017" s="9" t="s">
        <v>1138</v>
      </c>
      <c r="F1017" s="7">
        <v>-2000</v>
      </c>
    </row>
    <row r="1018" spans="1:6" x14ac:dyDescent="0.3">
      <c r="A1018" s="5" t="s">
        <v>1129</v>
      </c>
      <c r="B1018" s="25">
        <v>43774</v>
      </c>
      <c r="C1018" s="11" t="s">
        <v>42</v>
      </c>
      <c r="D1018" s="6" t="s">
        <v>269</v>
      </c>
      <c r="E1018" s="9" t="s">
        <v>1138</v>
      </c>
      <c r="F1018" s="7">
        <v>-50</v>
      </c>
    </row>
    <row r="1019" spans="1:6" x14ac:dyDescent="0.3">
      <c r="A1019" s="5" t="s">
        <v>1130</v>
      </c>
      <c r="B1019" s="25">
        <v>43776</v>
      </c>
      <c r="C1019" s="11" t="s">
        <v>255</v>
      </c>
      <c r="D1019" s="6" t="s">
        <v>269</v>
      </c>
      <c r="E1019" s="9" t="s">
        <v>1138</v>
      </c>
      <c r="F1019" s="7">
        <v>-1000</v>
      </c>
    </row>
    <row r="1020" spans="1:6" x14ac:dyDescent="0.3">
      <c r="A1020" s="5" t="s">
        <v>1131</v>
      </c>
      <c r="B1020" s="25">
        <v>43776</v>
      </c>
      <c r="C1020" s="11" t="s">
        <v>261</v>
      </c>
      <c r="D1020" s="6" t="s">
        <v>269</v>
      </c>
      <c r="E1020" s="9" t="s">
        <v>1138</v>
      </c>
      <c r="F1020" s="7">
        <v>-9500</v>
      </c>
    </row>
    <row r="1021" spans="1:6" x14ac:dyDescent="0.3">
      <c r="A1021" s="5" t="s">
        <v>1132</v>
      </c>
      <c r="B1021" s="25">
        <v>43778</v>
      </c>
      <c r="C1021" s="11" t="s">
        <v>31</v>
      </c>
      <c r="D1021" s="6" t="s">
        <v>269</v>
      </c>
      <c r="E1021" s="9" t="s">
        <v>1138</v>
      </c>
      <c r="F1021" s="7">
        <v>-1000</v>
      </c>
    </row>
    <row r="1022" spans="1:6" x14ac:dyDescent="0.3">
      <c r="A1022" s="5" t="s">
        <v>1133</v>
      </c>
      <c r="B1022" s="25">
        <v>43780</v>
      </c>
      <c r="C1022" s="8" t="s">
        <v>69</v>
      </c>
      <c r="D1022" s="6" t="s">
        <v>269</v>
      </c>
      <c r="E1022" s="9" t="s">
        <v>1138</v>
      </c>
      <c r="F1022" s="7">
        <v>-20000</v>
      </c>
    </row>
    <row r="1023" spans="1:6" x14ac:dyDescent="0.3">
      <c r="A1023" s="5" t="s">
        <v>1134</v>
      </c>
      <c r="B1023" s="25">
        <v>43780</v>
      </c>
      <c r="C1023" s="9" t="s">
        <v>200</v>
      </c>
      <c r="D1023" s="6" t="s">
        <v>269</v>
      </c>
      <c r="E1023" s="9" t="s">
        <v>1138</v>
      </c>
      <c r="F1023" s="7">
        <v>-1000</v>
      </c>
    </row>
    <row r="1024" spans="1:6" x14ac:dyDescent="0.3">
      <c r="A1024" s="46" t="s">
        <v>1135</v>
      </c>
      <c r="B1024" s="26">
        <v>43780</v>
      </c>
      <c r="C1024" s="47" t="s">
        <v>266</v>
      </c>
      <c r="D1024" s="48" t="s">
        <v>269</v>
      </c>
      <c r="E1024" s="9" t="s">
        <v>1138</v>
      </c>
      <c r="F1024" s="49">
        <v>-700</v>
      </c>
    </row>
    <row r="1025" spans="1:6" x14ac:dyDescent="0.3">
      <c r="A1025" s="50" t="s">
        <v>1393</v>
      </c>
      <c r="B1025" s="25">
        <v>43781</v>
      </c>
      <c r="C1025" s="8" t="s">
        <v>259</v>
      </c>
      <c r="D1025" s="8" t="s">
        <v>269</v>
      </c>
      <c r="E1025" s="9" t="s">
        <v>1138</v>
      </c>
      <c r="F1025" s="7">
        <v>-30000</v>
      </c>
    </row>
    <row r="1026" spans="1:6" x14ac:dyDescent="0.3">
      <c r="A1026" s="50" t="s">
        <v>1439</v>
      </c>
      <c r="B1026" s="25">
        <v>43781</v>
      </c>
      <c r="C1026" s="8" t="s">
        <v>160</v>
      </c>
      <c r="D1026" s="8" t="s">
        <v>269</v>
      </c>
      <c r="E1026" s="8" t="s">
        <v>1148</v>
      </c>
      <c r="F1026" s="7">
        <v>100000</v>
      </c>
    </row>
    <row r="1027" spans="1:6" x14ac:dyDescent="0.3">
      <c r="A1027" s="50" t="s">
        <v>1399</v>
      </c>
      <c r="B1027" s="25">
        <v>43782</v>
      </c>
      <c r="C1027" s="11" t="s">
        <v>31</v>
      </c>
      <c r="D1027" s="8" t="s">
        <v>269</v>
      </c>
      <c r="E1027" s="9" t="s">
        <v>1138</v>
      </c>
      <c r="F1027" s="7">
        <v>-2000</v>
      </c>
    </row>
    <row r="1028" spans="1:6" x14ac:dyDescent="0.3">
      <c r="A1028" s="50" t="s">
        <v>1400</v>
      </c>
      <c r="B1028" s="25">
        <v>43782</v>
      </c>
      <c r="C1028" s="8" t="s">
        <v>42</v>
      </c>
      <c r="D1028" s="8" t="s">
        <v>269</v>
      </c>
      <c r="E1028" s="9" t="s">
        <v>1138</v>
      </c>
      <c r="F1028" s="7">
        <v>-90</v>
      </c>
    </row>
    <row r="1029" spans="1:6" x14ac:dyDescent="0.3">
      <c r="A1029" s="50" t="s">
        <v>1401</v>
      </c>
      <c r="B1029" s="25">
        <v>43782</v>
      </c>
      <c r="C1029" s="9" t="s">
        <v>200</v>
      </c>
      <c r="D1029" s="8" t="s">
        <v>269</v>
      </c>
      <c r="E1029" s="9" t="s">
        <v>1138</v>
      </c>
      <c r="F1029" s="12">
        <v>-1000</v>
      </c>
    </row>
    <row r="1030" spans="1:6" x14ac:dyDescent="0.3">
      <c r="A1030" s="50" t="s">
        <v>1402</v>
      </c>
      <c r="B1030" s="25">
        <v>43782</v>
      </c>
      <c r="C1030" s="64" t="s">
        <v>1394</v>
      </c>
      <c r="D1030" s="8" t="s">
        <v>269</v>
      </c>
      <c r="E1030" s="9" t="s">
        <v>1138</v>
      </c>
      <c r="F1030" s="12">
        <v>-1000</v>
      </c>
    </row>
    <row r="1031" spans="1:6" x14ac:dyDescent="0.3">
      <c r="A1031" s="50" t="s">
        <v>1403</v>
      </c>
      <c r="B1031" s="25">
        <v>43782</v>
      </c>
      <c r="C1031" s="65" t="s">
        <v>136</v>
      </c>
      <c r="D1031" s="8" t="s">
        <v>269</v>
      </c>
      <c r="E1031" s="9" t="s">
        <v>1138</v>
      </c>
      <c r="F1031" s="12">
        <v>-1000</v>
      </c>
    </row>
    <row r="1032" spans="1:6" x14ac:dyDescent="0.3">
      <c r="A1032" s="50" t="s">
        <v>1404</v>
      </c>
      <c r="B1032" s="26">
        <v>43783</v>
      </c>
      <c r="C1032" s="66" t="s">
        <v>113</v>
      </c>
      <c r="D1032" s="8" t="s">
        <v>269</v>
      </c>
      <c r="E1032" s="9" t="s">
        <v>1138</v>
      </c>
      <c r="F1032" s="67">
        <v>-50000</v>
      </c>
    </row>
    <row r="1033" spans="1:6" x14ac:dyDescent="0.3">
      <c r="A1033" s="50" t="s">
        <v>1405</v>
      </c>
      <c r="B1033" s="25">
        <v>43783</v>
      </c>
      <c r="C1033" s="11" t="s">
        <v>255</v>
      </c>
      <c r="D1033" s="8" t="s">
        <v>269</v>
      </c>
      <c r="E1033" s="9" t="s">
        <v>1138</v>
      </c>
      <c r="F1033" s="12">
        <v>-1000</v>
      </c>
    </row>
    <row r="1034" spans="1:6" x14ac:dyDescent="0.3">
      <c r="A1034" s="50" t="s">
        <v>1406</v>
      </c>
      <c r="B1034" s="25">
        <v>43783</v>
      </c>
      <c r="C1034" s="8" t="s">
        <v>259</v>
      </c>
      <c r="D1034" s="8" t="s">
        <v>269</v>
      </c>
      <c r="E1034" s="9" t="s">
        <v>1138</v>
      </c>
      <c r="F1034" s="12">
        <v>-2000</v>
      </c>
    </row>
    <row r="1035" spans="1:6" x14ac:dyDescent="0.3">
      <c r="A1035" s="50" t="s">
        <v>1407</v>
      </c>
      <c r="B1035" s="25">
        <v>43783</v>
      </c>
      <c r="C1035" s="11" t="s">
        <v>42</v>
      </c>
      <c r="D1035" s="8" t="s">
        <v>269</v>
      </c>
      <c r="E1035" s="9" t="s">
        <v>1138</v>
      </c>
      <c r="F1035" s="12">
        <v>-90</v>
      </c>
    </row>
    <row r="1036" spans="1:6" x14ac:dyDescent="0.3">
      <c r="A1036" s="50" t="s">
        <v>1440</v>
      </c>
      <c r="B1036" s="25">
        <v>43783</v>
      </c>
      <c r="C1036" s="8" t="s">
        <v>160</v>
      </c>
      <c r="D1036" s="8" t="s">
        <v>269</v>
      </c>
      <c r="E1036" s="8" t="s">
        <v>1148</v>
      </c>
      <c r="F1036" s="7">
        <v>50000</v>
      </c>
    </row>
    <row r="1037" spans="1:6" x14ac:dyDescent="0.3">
      <c r="A1037" s="50" t="s">
        <v>1408</v>
      </c>
      <c r="B1037" s="25">
        <v>43785</v>
      </c>
      <c r="C1037" s="9" t="s">
        <v>200</v>
      </c>
      <c r="D1037" s="8" t="s">
        <v>269</v>
      </c>
      <c r="E1037" s="9" t="s">
        <v>1138</v>
      </c>
      <c r="F1037" s="12">
        <v>-1000</v>
      </c>
    </row>
    <row r="1038" spans="1:6" x14ac:dyDescent="0.3">
      <c r="A1038" s="50" t="s">
        <v>1409</v>
      </c>
      <c r="B1038" s="25">
        <v>43785</v>
      </c>
      <c r="C1038" s="65" t="s">
        <v>255</v>
      </c>
      <c r="D1038" s="8" t="s">
        <v>269</v>
      </c>
      <c r="E1038" s="9" t="s">
        <v>1138</v>
      </c>
      <c r="F1038" s="12">
        <v>-1000</v>
      </c>
    </row>
    <row r="1039" spans="1:6" x14ac:dyDescent="0.3">
      <c r="A1039" s="50" t="s">
        <v>1410</v>
      </c>
      <c r="B1039" s="25">
        <v>43785</v>
      </c>
      <c r="C1039" s="64" t="s">
        <v>1394</v>
      </c>
      <c r="D1039" s="8" t="s">
        <v>269</v>
      </c>
      <c r="E1039" s="9" t="s">
        <v>1138</v>
      </c>
      <c r="F1039" s="12">
        <v>-5000</v>
      </c>
    </row>
    <row r="1040" spans="1:6" x14ac:dyDescent="0.3">
      <c r="A1040" s="50" t="s">
        <v>1411</v>
      </c>
      <c r="B1040" s="25">
        <v>43785</v>
      </c>
      <c r="C1040" s="65" t="s">
        <v>136</v>
      </c>
      <c r="D1040" s="8" t="s">
        <v>269</v>
      </c>
      <c r="E1040" s="9" t="s">
        <v>1138</v>
      </c>
      <c r="F1040" s="12">
        <v>-2000</v>
      </c>
    </row>
    <row r="1041" spans="1:6" x14ac:dyDescent="0.3">
      <c r="A1041" s="50" t="s">
        <v>1412</v>
      </c>
      <c r="B1041" s="25">
        <v>43785</v>
      </c>
      <c r="C1041" s="65" t="s">
        <v>42</v>
      </c>
      <c r="D1041" s="8" t="s">
        <v>269</v>
      </c>
      <c r="E1041" s="9" t="s">
        <v>1138</v>
      </c>
      <c r="F1041" s="12">
        <v>-90</v>
      </c>
    </row>
    <row r="1042" spans="1:6" x14ac:dyDescent="0.3">
      <c r="A1042" s="50" t="s">
        <v>1413</v>
      </c>
      <c r="B1042" s="25">
        <v>43785</v>
      </c>
      <c r="C1042" s="11" t="s">
        <v>119</v>
      </c>
      <c r="D1042" s="8" t="s">
        <v>269</v>
      </c>
      <c r="E1042" s="9" t="s">
        <v>1138</v>
      </c>
      <c r="F1042" s="12">
        <v>-350</v>
      </c>
    </row>
    <row r="1043" spans="1:6" x14ac:dyDescent="0.3">
      <c r="A1043" s="50" t="s">
        <v>1414</v>
      </c>
      <c r="B1043" s="25">
        <v>43786</v>
      </c>
      <c r="C1043" s="11" t="s">
        <v>31</v>
      </c>
      <c r="D1043" s="8" t="s">
        <v>269</v>
      </c>
      <c r="E1043" s="9" t="s">
        <v>1138</v>
      </c>
      <c r="F1043" s="12">
        <v>-1000</v>
      </c>
    </row>
    <row r="1044" spans="1:6" x14ac:dyDescent="0.3">
      <c r="A1044" s="50" t="s">
        <v>1415</v>
      </c>
      <c r="B1044" s="25">
        <v>43786</v>
      </c>
      <c r="C1044" s="68" t="s">
        <v>1395</v>
      </c>
      <c r="D1044" s="8" t="s">
        <v>269</v>
      </c>
      <c r="E1044" s="9" t="s">
        <v>1138</v>
      </c>
      <c r="F1044" s="12">
        <v>-5000</v>
      </c>
    </row>
    <row r="1045" spans="1:6" x14ac:dyDescent="0.3">
      <c r="A1045" s="50" t="s">
        <v>1416</v>
      </c>
      <c r="B1045" s="25">
        <v>43786</v>
      </c>
      <c r="C1045" s="68" t="s">
        <v>42</v>
      </c>
      <c r="D1045" s="8" t="s">
        <v>269</v>
      </c>
      <c r="E1045" s="9" t="s">
        <v>1138</v>
      </c>
      <c r="F1045" s="12">
        <v>-120</v>
      </c>
    </row>
    <row r="1046" spans="1:6" x14ac:dyDescent="0.3">
      <c r="A1046" s="50" t="s">
        <v>1417</v>
      </c>
      <c r="B1046" s="25">
        <v>43786</v>
      </c>
      <c r="C1046" s="68" t="s">
        <v>1396</v>
      </c>
      <c r="D1046" s="8" t="s">
        <v>269</v>
      </c>
      <c r="E1046" s="9" t="s">
        <v>1138</v>
      </c>
      <c r="F1046" s="12">
        <v>-1000</v>
      </c>
    </row>
    <row r="1047" spans="1:6" x14ac:dyDescent="0.3">
      <c r="A1047" s="50" t="s">
        <v>1418</v>
      </c>
      <c r="B1047" s="25">
        <v>43787</v>
      </c>
      <c r="C1047" s="68" t="s">
        <v>255</v>
      </c>
      <c r="D1047" s="8" t="s">
        <v>269</v>
      </c>
      <c r="E1047" s="9" t="s">
        <v>1138</v>
      </c>
      <c r="F1047" s="12">
        <v>-2000</v>
      </c>
    </row>
    <row r="1048" spans="1:6" x14ac:dyDescent="0.3">
      <c r="A1048" s="50" t="s">
        <v>1419</v>
      </c>
      <c r="B1048" s="25">
        <v>43787</v>
      </c>
      <c r="C1048" s="9" t="s">
        <v>1397</v>
      </c>
      <c r="D1048" s="8" t="s">
        <v>269</v>
      </c>
      <c r="E1048" s="9" t="s">
        <v>1138</v>
      </c>
      <c r="F1048" s="12">
        <v>-20000</v>
      </c>
    </row>
    <row r="1049" spans="1:6" x14ac:dyDescent="0.3">
      <c r="A1049" s="50" t="s">
        <v>1420</v>
      </c>
      <c r="B1049" s="25">
        <v>43787</v>
      </c>
      <c r="C1049" s="65" t="s">
        <v>42</v>
      </c>
      <c r="D1049" s="8" t="s">
        <v>269</v>
      </c>
      <c r="E1049" s="9" t="s">
        <v>1138</v>
      </c>
      <c r="F1049" s="12">
        <v>-150</v>
      </c>
    </row>
    <row r="1050" spans="1:6" x14ac:dyDescent="0.3">
      <c r="A1050" s="50" t="s">
        <v>1421</v>
      </c>
      <c r="B1050" s="25">
        <v>43787</v>
      </c>
      <c r="C1050" s="9" t="s">
        <v>50</v>
      </c>
      <c r="D1050" s="8" t="s">
        <v>269</v>
      </c>
      <c r="E1050" s="9" t="s">
        <v>1138</v>
      </c>
      <c r="F1050" s="12">
        <v>-3420</v>
      </c>
    </row>
    <row r="1051" spans="1:6" x14ac:dyDescent="0.3">
      <c r="A1051" s="50" t="s">
        <v>1422</v>
      </c>
      <c r="B1051" s="25">
        <v>43788</v>
      </c>
      <c r="C1051" s="65" t="s">
        <v>1394</v>
      </c>
      <c r="D1051" s="8" t="s">
        <v>269</v>
      </c>
      <c r="E1051" s="9" t="s">
        <v>1138</v>
      </c>
      <c r="F1051" s="12">
        <v>-3000</v>
      </c>
    </row>
    <row r="1052" spans="1:6" x14ac:dyDescent="0.3">
      <c r="A1052" s="50" t="s">
        <v>1423</v>
      </c>
      <c r="B1052" s="25">
        <v>43788</v>
      </c>
      <c r="C1052" s="65" t="s">
        <v>42</v>
      </c>
      <c r="D1052" s="8" t="s">
        <v>269</v>
      </c>
      <c r="E1052" s="9" t="s">
        <v>1138</v>
      </c>
      <c r="F1052" s="12">
        <v>-150</v>
      </c>
    </row>
    <row r="1053" spans="1:6" x14ac:dyDescent="0.3">
      <c r="A1053" s="50" t="s">
        <v>1424</v>
      </c>
      <c r="B1053" s="25">
        <v>43788</v>
      </c>
      <c r="C1053" s="65" t="s">
        <v>259</v>
      </c>
      <c r="D1053" s="8" t="s">
        <v>269</v>
      </c>
      <c r="E1053" s="9" t="s">
        <v>1138</v>
      </c>
      <c r="F1053" s="12">
        <v>-15000</v>
      </c>
    </row>
    <row r="1054" spans="1:6" x14ac:dyDescent="0.3">
      <c r="A1054" s="50" t="s">
        <v>1425</v>
      </c>
      <c r="B1054" s="25">
        <v>43788</v>
      </c>
      <c r="C1054" s="65" t="s">
        <v>50</v>
      </c>
      <c r="D1054" s="8" t="s">
        <v>269</v>
      </c>
      <c r="E1054" s="9" t="s">
        <v>1138</v>
      </c>
      <c r="F1054" s="12">
        <v>-2700</v>
      </c>
    </row>
    <row r="1055" spans="1:6" x14ac:dyDescent="0.3">
      <c r="A1055" s="50" t="s">
        <v>1441</v>
      </c>
      <c r="B1055" s="25">
        <v>43788</v>
      </c>
      <c r="C1055" s="8" t="s">
        <v>160</v>
      </c>
      <c r="D1055" s="8" t="s">
        <v>269</v>
      </c>
      <c r="E1055" s="8" t="s">
        <v>1148</v>
      </c>
      <c r="F1055" s="7">
        <v>60000</v>
      </c>
    </row>
    <row r="1056" spans="1:6" x14ac:dyDescent="0.3">
      <c r="A1056" s="50" t="s">
        <v>1426</v>
      </c>
      <c r="B1056" s="25">
        <v>43789</v>
      </c>
      <c r="C1056" s="65" t="s">
        <v>42</v>
      </c>
      <c r="D1056" s="8" t="s">
        <v>269</v>
      </c>
      <c r="E1056" s="9" t="s">
        <v>1138</v>
      </c>
      <c r="F1056" s="12">
        <v>-100</v>
      </c>
    </row>
    <row r="1057" spans="1:6" x14ac:dyDescent="0.3">
      <c r="A1057" s="50" t="s">
        <v>1427</v>
      </c>
      <c r="B1057" s="25">
        <v>43789</v>
      </c>
      <c r="C1057" s="9" t="s">
        <v>1398</v>
      </c>
      <c r="D1057" s="8" t="s">
        <v>269</v>
      </c>
      <c r="E1057" s="9" t="s">
        <v>1138</v>
      </c>
      <c r="F1057" s="12">
        <v>-5700</v>
      </c>
    </row>
    <row r="1058" spans="1:6" x14ac:dyDescent="0.3">
      <c r="A1058" s="50" t="s">
        <v>1428</v>
      </c>
      <c r="B1058" s="25">
        <v>43790</v>
      </c>
      <c r="C1058" s="65" t="s">
        <v>1395</v>
      </c>
      <c r="D1058" s="8" t="s">
        <v>269</v>
      </c>
      <c r="E1058" s="9" t="s">
        <v>1138</v>
      </c>
      <c r="F1058" s="12">
        <v>-5000</v>
      </c>
    </row>
    <row r="1059" spans="1:6" x14ac:dyDescent="0.3">
      <c r="A1059" s="50" t="s">
        <v>1429</v>
      </c>
      <c r="B1059" s="25">
        <v>43790</v>
      </c>
      <c r="C1059" s="65" t="s">
        <v>42</v>
      </c>
      <c r="D1059" s="8" t="s">
        <v>269</v>
      </c>
      <c r="E1059" s="9" t="s">
        <v>1138</v>
      </c>
      <c r="F1059" s="12">
        <v>-100</v>
      </c>
    </row>
    <row r="1060" spans="1:6" x14ac:dyDescent="0.3">
      <c r="A1060" s="50" t="s">
        <v>1430</v>
      </c>
      <c r="B1060" s="25">
        <v>43790</v>
      </c>
      <c r="C1060" s="11" t="s">
        <v>31</v>
      </c>
      <c r="D1060" s="8" t="s">
        <v>269</v>
      </c>
      <c r="E1060" s="9" t="s">
        <v>1138</v>
      </c>
      <c r="F1060" s="12">
        <v>-50000</v>
      </c>
    </row>
    <row r="1061" spans="1:6" x14ac:dyDescent="0.3">
      <c r="A1061" s="50" t="s">
        <v>1431</v>
      </c>
      <c r="B1061" s="25">
        <v>43790</v>
      </c>
      <c r="C1061" s="9" t="s">
        <v>200</v>
      </c>
      <c r="D1061" s="8" t="s">
        <v>269</v>
      </c>
      <c r="E1061" s="9" t="s">
        <v>1138</v>
      </c>
      <c r="F1061" s="12">
        <v>-2000</v>
      </c>
    </row>
    <row r="1062" spans="1:6" x14ac:dyDescent="0.3">
      <c r="A1062" s="50" t="s">
        <v>1442</v>
      </c>
      <c r="B1062" s="25">
        <v>43790</v>
      </c>
      <c r="C1062" s="8" t="s">
        <v>160</v>
      </c>
      <c r="D1062" s="8" t="s">
        <v>269</v>
      </c>
      <c r="E1062" s="8" t="s">
        <v>1148</v>
      </c>
      <c r="F1062" s="7">
        <v>30000</v>
      </c>
    </row>
    <row r="1063" spans="1:6" x14ac:dyDescent="0.3">
      <c r="A1063" s="50" t="s">
        <v>1432</v>
      </c>
      <c r="B1063" s="25">
        <v>43793</v>
      </c>
      <c r="C1063" s="11" t="s">
        <v>31</v>
      </c>
      <c r="D1063" s="8" t="s">
        <v>269</v>
      </c>
      <c r="E1063" s="9" t="s">
        <v>1138</v>
      </c>
      <c r="F1063" s="12">
        <v>-50000</v>
      </c>
    </row>
    <row r="1064" spans="1:6" x14ac:dyDescent="0.3">
      <c r="A1064" s="50" t="s">
        <v>1433</v>
      </c>
      <c r="B1064" s="25">
        <v>43793</v>
      </c>
      <c r="C1064" s="68" t="s">
        <v>259</v>
      </c>
      <c r="D1064" s="8" t="s">
        <v>269</v>
      </c>
      <c r="E1064" s="9" t="s">
        <v>1138</v>
      </c>
      <c r="F1064" s="12">
        <v>-10000</v>
      </c>
    </row>
    <row r="1065" spans="1:6" x14ac:dyDescent="0.3">
      <c r="A1065" s="50" t="s">
        <v>1443</v>
      </c>
      <c r="B1065" s="25">
        <v>43793</v>
      </c>
      <c r="C1065" s="8" t="s">
        <v>160</v>
      </c>
      <c r="D1065" s="8" t="s">
        <v>269</v>
      </c>
      <c r="E1065" s="8" t="s">
        <v>1148</v>
      </c>
      <c r="F1065" s="7">
        <v>60000</v>
      </c>
    </row>
    <row r="1066" spans="1:6" x14ac:dyDescent="0.3">
      <c r="A1066" s="50" t="s">
        <v>1434</v>
      </c>
      <c r="B1066" s="25">
        <v>43794</v>
      </c>
      <c r="C1066" s="11" t="s">
        <v>248</v>
      </c>
      <c r="D1066" s="8" t="s">
        <v>269</v>
      </c>
      <c r="E1066" s="9" t="s">
        <v>1138</v>
      </c>
      <c r="F1066" s="12">
        <v>-1000</v>
      </c>
    </row>
    <row r="1067" spans="1:6" x14ac:dyDescent="0.3">
      <c r="A1067" s="50" t="s">
        <v>1435</v>
      </c>
      <c r="B1067" s="25">
        <v>43794</v>
      </c>
      <c r="C1067" s="68" t="s">
        <v>113</v>
      </c>
      <c r="D1067" s="8" t="s">
        <v>269</v>
      </c>
      <c r="E1067" s="9" t="s">
        <v>1138</v>
      </c>
      <c r="F1067" s="12">
        <v>-5000</v>
      </c>
    </row>
    <row r="1068" spans="1:6" x14ac:dyDescent="0.3">
      <c r="A1068" s="50" t="s">
        <v>1436</v>
      </c>
      <c r="B1068" s="25">
        <v>43794</v>
      </c>
      <c r="C1068" s="9" t="s">
        <v>200</v>
      </c>
      <c r="D1068" s="8" t="s">
        <v>269</v>
      </c>
      <c r="E1068" s="9" t="s">
        <v>1138</v>
      </c>
      <c r="F1068" s="12">
        <v>-1000</v>
      </c>
    </row>
    <row r="1069" spans="1:6" x14ac:dyDescent="0.3">
      <c r="A1069" s="50" t="s">
        <v>1437</v>
      </c>
      <c r="B1069" s="25">
        <v>43799</v>
      </c>
      <c r="C1069" s="11" t="s">
        <v>31</v>
      </c>
      <c r="D1069" s="8" t="s">
        <v>269</v>
      </c>
      <c r="E1069" s="9" t="s">
        <v>1138</v>
      </c>
      <c r="F1069" s="12">
        <v>-105000</v>
      </c>
    </row>
    <row r="1070" spans="1:6" x14ac:dyDescent="0.3">
      <c r="A1070" s="50" t="s">
        <v>1438</v>
      </c>
      <c r="B1070" s="25">
        <v>43799</v>
      </c>
      <c r="C1070" s="68" t="s">
        <v>259</v>
      </c>
      <c r="D1070" s="8" t="s">
        <v>269</v>
      </c>
      <c r="E1070" s="9" t="s">
        <v>1138</v>
      </c>
      <c r="F1070" s="12">
        <v>-40000</v>
      </c>
    </row>
    <row r="1071" spans="1:6" x14ac:dyDescent="0.3">
      <c r="A1071" s="50" t="s">
        <v>1444</v>
      </c>
      <c r="B1071" s="25">
        <v>43799</v>
      </c>
      <c r="C1071" s="8" t="s">
        <v>160</v>
      </c>
      <c r="D1071" s="8" t="s">
        <v>269</v>
      </c>
      <c r="E1071" s="8" t="s">
        <v>1148</v>
      </c>
      <c r="F1071" s="7">
        <v>60000</v>
      </c>
    </row>
    <row r="1072" spans="1:6" x14ac:dyDescent="0.3">
      <c r="A1072" s="50" t="s">
        <v>1445</v>
      </c>
      <c r="B1072" s="25">
        <v>43799</v>
      </c>
      <c r="C1072" s="8" t="s">
        <v>160</v>
      </c>
      <c r="D1072" s="8" t="s">
        <v>269</v>
      </c>
      <c r="E1072" s="8" t="s">
        <v>1148</v>
      </c>
      <c r="F1072" s="7">
        <v>120000</v>
      </c>
    </row>
    <row r="1073" spans="1:6" x14ac:dyDescent="0.3">
      <c r="A1073" s="50"/>
      <c r="B1073" s="51"/>
      <c r="C1073" s="55"/>
      <c r="D1073" s="52"/>
      <c r="E1073" s="52"/>
      <c r="F1073" s="56"/>
    </row>
    <row r="1074" spans="1:6" x14ac:dyDescent="0.3">
      <c r="A1074" s="50"/>
      <c r="B1074" s="51"/>
      <c r="C1074" s="55"/>
      <c r="D1074" s="52"/>
      <c r="E1074" s="52"/>
      <c r="F1074" s="53"/>
    </row>
    <row r="1075" spans="1:6" x14ac:dyDescent="0.3">
      <c r="A1075" s="50"/>
      <c r="B1075" s="51"/>
      <c r="C1075" s="55"/>
      <c r="D1075" s="52"/>
      <c r="E1075" s="52"/>
      <c r="F1075" s="53"/>
    </row>
    <row r="1076" spans="1:6" x14ac:dyDescent="0.3">
      <c r="A1076" s="50"/>
      <c r="B1076" s="51"/>
      <c r="C1076" s="55"/>
      <c r="D1076" s="52"/>
      <c r="E1076" s="52"/>
      <c r="F1076" s="53"/>
    </row>
    <row r="1077" spans="1:6" x14ac:dyDescent="0.3">
      <c r="A1077" s="50"/>
      <c r="B1077" s="51"/>
      <c r="C1077" s="55"/>
      <c r="D1077" s="52"/>
      <c r="E1077" s="52"/>
      <c r="F1077" s="53"/>
    </row>
    <row r="1078" spans="1:6" x14ac:dyDescent="0.3">
      <c r="A1078" s="50"/>
      <c r="B1078" s="51"/>
      <c r="C1078" s="55"/>
      <c r="D1078" s="52"/>
      <c r="E1078" s="52"/>
      <c r="F1078" s="53">
        <f>SUBTOTAL(9,F5:F1077)</f>
        <v>-756863</v>
      </c>
    </row>
    <row r="1079" spans="1:6" x14ac:dyDescent="0.3">
      <c r="A1079" s="50"/>
      <c r="B1079" s="51"/>
      <c r="C1079" s="55"/>
      <c r="D1079" s="52"/>
      <c r="E1079" s="52"/>
      <c r="F1079" s="53"/>
    </row>
    <row r="1080" spans="1:6" x14ac:dyDescent="0.3">
      <c r="A1080" s="50"/>
      <c r="B1080" s="51"/>
      <c r="C1080" s="55"/>
      <c r="D1080" s="52"/>
      <c r="E1080" s="52"/>
      <c r="F1080" s="53"/>
    </row>
    <row r="1081" spans="1:6" x14ac:dyDescent="0.3">
      <c r="A1081" s="50"/>
      <c r="B1081" s="51"/>
      <c r="C1081" s="55"/>
      <c r="D1081" s="52"/>
      <c r="E1081" s="52"/>
      <c r="F1081" s="53"/>
    </row>
    <row r="1082" spans="1:6" x14ac:dyDescent="0.3">
      <c r="A1082" s="50"/>
      <c r="B1082" s="51"/>
      <c r="C1082" s="55"/>
      <c r="D1082" s="52"/>
      <c r="E1082" s="52"/>
      <c r="F1082" s="53"/>
    </row>
    <row r="1083" spans="1:6" x14ac:dyDescent="0.3">
      <c r="A1083" s="50"/>
      <c r="B1083" s="51"/>
      <c r="C1083" s="55"/>
      <c r="D1083" s="52"/>
      <c r="E1083" s="52"/>
      <c r="F1083" s="53"/>
    </row>
    <row r="1084" spans="1:6" x14ac:dyDescent="0.3">
      <c r="A1084" s="50"/>
      <c r="B1084" s="51"/>
      <c r="C1084" s="55"/>
      <c r="D1084" s="52"/>
      <c r="E1084" s="52"/>
      <c r="F1084" s="53"/>
    </row>
    <row r="1085" spans="1:6" x14ac:dyDescent="0.3">
      <c r="A1085" s="50"/>
      <c r="B1085" s="51"/>
      <c r="C1085" s="55"/>
      <c r="D1085" s="52"/>
      <c r="E1085" s="52"/>
      <c r="F1085" s="53"/>
    </row>
    <row r="1086" spans="1:6" x14ac:dyDescent="0.3">
      <c r="A1086" s="50"/>
      <c r="B1086" s="51"/>
      <c r="C1086" s="55"/>
      <c r="D1086" s="52"/>
      <c r="E1086" s="52"/>
      <c r="F1086" s="53"/>
    </row>
    <row r="1087" spans="1:6" x14ac:dyDescent="0.3">
      <c r="A1087" s="50"/>
      <c r="B1087" s="51"/>
      <c r="C1087" s="55"/>
      <c r="D1087" s="52"/>
      <c r="E1087" s="52"/>
      <c r="F1087" s="53"/>
    </row>
    <row r="1088" spans="1:6" x14ac:dyDescent="0.3">
      <c r="A1088" s="50"/>
      <c r="B1088" s="51"/>
      <c r="C1088" s="55"/>
      <c r="D1088" s="52"/>
      <c r="E1088" s="52"/>
      <c r="F1088" s="53"/>
    </row>
    <row r="1089" spans="1:6" x14ac:dyDescent="0.3">
      <c r="A1089" s="50"/>
      <c r="B1089" s="51"/>
      <c r="C1089" s="55"/>
      <c r="D1089" s="52"/>
      <c r="E1089" s="52"/>
      <c r="F1089" s="53"/>
    </row>
    <row r="1090" spans="1:6" x14ac:dyDescent="0.3">
      <c r="A1090" s="50"/>
      <c r="B1090" s="51"/>
      <c r="C1090" s="52"/>
      <c r="D1090" s="52"/>
      <c r="E1090" s="52"/>
      <c r="F1090" s="53"/>
    </row>
    <row r="1091" spans="1:6" x14ac:dyDescent="0.3">
      <c r="A1091" s="50"/>
      <c r="B1091" s="51"/>
      <c r="C1091" s="52"/>
      <c r="D1091" s="52"/>
      <c r="E1091" s="52"/>
      <c r="F1091" s="53"/>
    </row>
    <row r="1092" spans="1:6" x14ac:dyDescent="0.3">
      <c r="A1092" s="50"/>
      <c r="B1092" s="51"/>
      <c r="C1092" s="52"/>
      <c r="D1092" s="52"/>
      <c r="E1092" s="52"/>
      <c r="F1092" s="53"/>
    </row>
    <row r="1093" spans="1:6" x14ac:dyDescent="0.3">
      <c r="A1093" s="50"/>
      <c r="B1093" s="51"/>
      <c r="C1093" s="52"/>
      <c r="D1093" s="52"/>
      <c r="E1093" s="52"/>
      <c r="F1093" s="53"/>
    </row>
    <row r="1094" spans="1:6" x14ac:dyDescent="0.3">
      <c r="A1094" s="50"/>
      <c r="B1094" s="51"/>
      <c r="C1094" s="52"/>
      <c r="D1094" s="52"/>
      <c r="E1094" s="52"/>
      <c r="F1094" s="53"/>
    </row>
    <row r="1095" spans="1:6" x14ac:dyDescent="0.3">
      <c r="A1095" s="50"/>
      <c r="B1095" s="51"/>
      <c r="C1095" s="52"/>
      <c r="D1095" s="52"/>
      <c r="E1095" s="52"/>
      <c r="F1095" s="53"/>
    </row>
    <row r="1096" spans="1:6" x14ac:dyDescent="0.3">
      <c r="A1096" s="50"/>
      <c r="B1096" s="51"/>
      <c r="C1096" s="52"/>
      <c r="D1096" s="52"/>
      <c r="E1096" s="52"/>
      <c r="F1096" s="53"/>
    </row>
    <row r="1097" spans="1:6" x14ac:dyDescent="0.3">
      <c r="A1097" s="50"/>
      <c r="B1097" s="51"/>
      <c r="C1097" s="52"/>
      <c r="D1097" s="52"/>
      <c r="E1097" s="52"/>
      <c r="F1097" s="53"/>
    </row>
    <row r="1098" spans="1:6" x14ac:dyDescent="0.3">
      <c r="A1098" s="50"/>
      <c r="B1098" s="51"/>
      <c r="C1098" s="52"/>
      <c r="D1098" s="52"/>
      <c r="E1098" s="52"/>
      <c r="F1098" s="53"/>
    </row>
    <row r="1099" spans="1:6" x14ac:dyDescent="0.3">
      <c r="A1099" s="50"/>
      <c r="B1099" s="51"/>
      <c r="C1099" s="52"/>
      <c r="D1099" s="52"/>
      <c r="E1099" s="52"/>
      <c r="F1099" s="53"/>
    </row>
    <row r="1100" spans="1:6" x14ac:dyDescent="0.3">
      <c r="A1100" s="50"/>
      <c r="B1100" s="51"/>
      <c r="C1100" s="55"/>
      <c r="D1100" s="52"/>
      <c r="E1100" s="52"/>
      <c r="F1100" s="53"/>
    </row>
    <row r="1101" spans="1:6" x14ac:dyDescent="0.3">
      <c r="A1101" s="50"/>
      <c r="B1101" s="51"/>
      <c r="C1101" s="55"/>
      <c r="D1101" s="52"/>
      <c r="E1101" s="52"/>
      <c r="F1101" s="53"/>
    </row>
    <row r="1102" spans="1:6" x14ac:dyDescent="0.3">
      <c r="A1102" s="50"/>
      <c r="B1102" s="51"/>
      <c r="C1102" s="55"/>
      <c r="D1102" s="52"/>
      <c r="E1102" s="52"/>
      <c r="F1102" s="53"/>
    </row>
    <row r="1103" spans="1:6" x14ac:dyDescent="0.3">
      <c r="A1103" s="50"/>
      <c r="B1103" s="51"/>
      <c r="C1103" s="55"/>
      <c r="D1103" s="52"/>
      <c r="E1103" s="52"/>
      <c r="F1103" s="53"/>
    </row>
    <row r="1104" spans="1:6" x14ac:dyDescent="0.3">
      <c r="A1104" s="50"/>
      <c r="B1104" s="51"/>
      <c r="C1104" s="55"/>
      <c r="D1104" s="52"/>
      <c r="E1104" s="52"/>
      <c r="F1104" s="53"/>
    </row>
    <row r="1105" spans="1:6" x14ac:dyDescent="0.3">
      <c r="A1105" s="50"/>
      <c r="B1105" s="51"/>
      <c r="C1105" s="57"/>
      <c r="D1105" s="52"/>
      <c r="E1105" s="52"/>
      <c r="F1105" s="53"/>
    </row>
    <row r="1106" spans="1:6" x14ac:dyDescent="0.3">
      <c r="A1106" s="50"/>
      <c r="B1106" s="51"/>
      <c r="C1106" s="52"/>
      <c r="D1106" s="52"/>
      <c r="E1106" s="52"/>
      <c r="F1106" s="53"/>
    </row>
    <row r="1107" spans="1:6" x14ac:dyDescent="0.3">
      <c r="A1107" s="50"/>
      <c r="B1107" s="51"/>
      <c r="C1107" s="52"/>
      <c r="D1107" s="52"/>
      <c r="E1107" s="52"/>
      <c r="F1107" s="53"/>
    </row>
    <row r="1108" spans="1:6" x14ac:dyDescent="0.3">
      <c r="A1108" s="50"/>
      <c r="B1108" s="51"/>
      <c r="C1108" s="52"/>
      <c r="D1108" s="52"/>
      <c r="E1108" s="52"/>
      <c r="F1108" s="53"/>
    </row>
    <row r="1109" spans="1:6" x14ac:dyDescent="0.3">
      <c r="A1109" s="50"/>
      <c r="B1109" s="51"/>
      <c r="C1109" s="52"/>
      <c r="D1109" s="52"/>
      <c r="E1109" s="52"/>
      <c r="F1109" s="53"/>
    </row>
    <row r="1110" spans="1:6" x14ac:dyDescent="0.3">
      <c r="A1110" s="50"/>
      <c r="B1110" s="51"/>
      <c r="C1110" s="52"/>
      <c r="D1110" s="52"/>
      <c r="E1110" s="52"/>
      <c r="F1110" s="53"/>
    </row>
    <row r="1111" spans="1:6" x14ac:dyDescent="0.3">
      <c r="A1111" s="50"/>
      <c r="B1111" s="51"/>
      <c r="C1111" s="52"/>
      <c r="D1111" s="52"/>
      <c r="E1111" s="52"/>
      <c r="F1111" s="53"/>
    </row>
    <row r="1112" spans="1:6" x14ac:dyDescent="0.3">
      <c r="A1112" s="50"/>
      <c r="B1112" s="51"/>
      <c r="C1112" s="52"/>
      <c r="D1112" s="52"/>
      <c r="E1112" s="52"/>
      <c r="F1112" s="53"/>
    </row>
    <row r="1113" spans="1:6" x14ac:dyDescent="0.3">
      <c r="A1113" s="50"/>
      <c r="B1113" s="51"/>
      <c r="C1113" s="52"/>
      <c r="D1113" s="52"/>
      <c r="E1113" s="52"/>
      <c r="F1113" s="53"/>
    </row>
    <row r="1114" spans="1:6" x14ac:dyDescent="0.3">
      <c r="A1114" s="50"/>
      <c r="B1114" s="51"/>
      <c r="C1114" s="52"/>
      <c r="D1114" s="52"/>
      <c r="E1114" s="52"/>
      <c r="F1114" s="53"/>
    </row>
    <row r="1115" spans="1:6" x14ac:dyDescent="0.3">
      <c r="A1115" s="50"/>
      <c r="B1115" s="51"/>
      <c r="C1115" s="52"/>
      <c r="D1115" s="52"/>
      <c r="E1115" s="52"/>
      <c r="F1115" s="53"/>
    </row>
    <row r="1116" spans="1:6" x14ac:dyDescent="0.3">
      <c r="A1116" s="50"/>
      <c r="B1116" s="51"/>
      <c r="C1116" s="52"/>
      <c r="D1116" s="52"/>
      <c r="E1116" s="52"/>
      <c r="F1116" s="53"/>
    </row>
    <row r="1117" spans="1:6" x14ac:dyDescent="0.3">
      <c r="A1117" s="50"/>
      <c r="B1117" s="51"/>
      <c r="C1117" s="52"/>
      <c r="D1117" s="52"/>
      <c r="E1117" s="52"/>
      <c r="F1117" s="53"/>
    </row>
    <row r="1118" spans="1:6" x14ac:dyDescent="0.3">
      <c r="A1118" s="50"/>
      <c r="B1118" s="51"/>
      <c r="C1118" s="52"/>
      <c r="D1118" s="52"/>
      <c r="E1118" s="52"/>
      <c r="F1118" s="53"/>
    </row>
    <row r="1119" spans="1:6" x14ac:dyDescent="0.3">
      <c r="A1119" s="50"/>
      <c r="B1119" s="51"/>
      <c r="C1119" s="58"/>
      <c r="D1119" s="52"/>
      <c r="E1119" s="52"/>
      <c r="F1119" s="53"/>
    </row>
    <row r="1120" spans="1:6" x14ac:dyDescent="0.3">
      <c r="A1120" s="50"/>
      <c r="B1120" s="51"/>
      <c r="C1120" s="58"/>
      <c r="D1120" s="52"/>
      <c r="E1120" s="52"/>
      <c r="F1120" s="53"/>
    </row>
    <row r="1121" spans="1:6" x14ac:dyDescent="0.3">
      <c r="A1121" s="50"/>
      <c r="B1121" s="51"/>
      <c r="C1121" s="55"/>
      <c r="D1121" s="52"/>
      <c r="E1121" s="52"/>
      <c r="F1121" s="53"/>
    </row>
    <row r="1122" spans="1:6" x14ac:dyDescent="0.3">
      <c r="A1122" s="50"/>
      <c r="B1122" s="51"/>
      <c r="C1122" s="59"/>
      <c r="D1122" s="52"/>
      <c r="E1122" s="52"/>
      <c r="F1122" s="53"/>
    </row>
    <row r="1123" spans="1:6" x14ac:dyDescent="0.3">
      <c r="A1123" s="50"/>
      <c r="B1123" s="51"/>
      <c r="C1123" s="52"/>
      <c r="D1123" s="52"/>
      <c r="E1123" s="52"/>
      <c r="F1123" s="53"/>
    </row>
    <row r="1124" spans="1:6" x14ac:dyDescent="0.3">
      <c r="A1124" s="50"/>
      <c r="B1124" s="51"/>
      <c r="C1124" s="52"/>
      <c r="D1124" s="52"/>
      <c r="E1124" s="52"/>
      <c r="F1124" s="53"/>
    </row>
    <row r="1125" spans="1:6" x14ac:dyDescent="0.3">
      <c r="A1125" s="50"/>
      <c r="B1125" s="51"/>
      <c r="C1125" s="52"/>
      <c r="D1125" s="52"/>
      <c r="E1125" s="52"/>
      <c r="F1125" s="53"/>
    </row>
    <row r="1126" spans="1:6" x14ac:dyDescent="0.3">
      <c r="A1126" s="50"/>
      <c r="B1126" s="51"/>
      <c r="C1126" s="52"/>
      <c r="D1126" s="52"/>
      <c r="E1126" s="52"/>
      <c r="F1126" s="53"/>
    </row>
    <row r="1127" spans="1:6" x14ac:dyDescent="0.3">
      <c r="A1127" s="50"/>
      <c r="B1127" s="51"/>
      <c r="C1127" s="52"/>
      <c r="D1127" s="52"/>
      <c r="E1127" s="52"/>
      <c r="F1127" s="53"/>
    </row>
    <row r="1128" spans="1:6" x14ac:dyDescent="0.3">
      <c r="A1128" s="50"/>
      <c r="B1128" s="51"/>
      <c r="C1128" s="52"/>
      <c r="D1128" s="52"/>
      <c r="E1128" s="52"/>
      <c r="F1128" s="53"/>
    </row>
    <row r="1129" spans="1:6" x14ac:dyDescent="0.3">
      <c r="A1129" s="50"/>
      <c r="B1129" s="51"/>
      <c r="C1129" s="52"/>
      <c r="D1129" s="52"/>
      <c r="E1129" s="52"/>
      <c r="F1129" s="53"/>
    </row>
    <row r="1130" spans="1:6" x14ac:dyDescent="0.3">
      <c r="A1130" s="50"/>
      <c r="B1130" s="51"/>
      <c r="C1130" s="58"/>
      <c r="D1130" s="52"/>
      <c r="E1130" s="52"/>
      <c r="F1130" s="53"/>
    </row>
    <row r="1131" spans="1:6" x14ac:dyDescent="0.3">
      <c r="A1131" s="50"/>
      <c r="B1131" s="51"/>
      <c r="C1131" s="58"/>
      <c r="D1131" s="52"/>
      <c r="E1131" s="52"/>
      <c r="F1131" s="53"/>
    </row>
    <row r="1132" spans="1:6" x14ac:dyDescent="0.3">
      <c r="A1132" s="50"/>
      <c r="B1132" s="51"/>
      <c r="C1132" s="60"/>
      <c r="D1132" s="52"/>
      <c r="E1132" s="52"/>
      <c r="F1132" s="53"/>
    </row>
    <row r="1133" spans="1:6" x14ac:dyDescent="0.3">
      <c r="A1133" s="50"/>
      <c r="B1133" s="51"/>
      <c r="C1133" s="61"/>
      <c r="D1133" s="52"/>
      <c r="E1133" s="52"/>
      <c r="F1133" s="53"/>
    </row>
    <row r="1134" spans="1:6" x14ac:dyDescent="0.3">
      <c r="A1134" s="50"/>
      <c r="B1134" s="51"/>
      <c r="C1134" s="61"/>
      <c r="D1134" s="52"/>
      <c r="E1134" s="52"/>
      <c r="F1134" s="53"/>
    </row>
    <row r="1135" spans="1:6" x14ac:dyDescent="0.3">
      <c r="A1135" s="50"/>
      <c r="B1135" s="51"/>
      <c r="C1135" s="55"/>
      <c r="D1135" s="52"/>
      <c r="E1135" s="52"/>
      <c r="F1135" s="53"/>
    </row>
    <row r="1136" spans="1:6" x14ac:dyDescent="0.3">
      <c r="A1136" s="50"/>
      <c r="B1136" s="51"/>
      <c r="C1136" s="55"/>
      <c r="D1136" s="52"/>
      <c r="E1136" s="52"/>
      <c r="F1136" s="53"/>
    </row>
    <row r="1137" spans="1:6" x14ac:dyDescent="0.3">
      <c r="A1137" s="50"/>
      <c r="B1137" s="51"/>
      <c r="C1137" s="55"/>
      <c r="D1137" s="52"/>
      <c r="E1137" s="52"/>
      <c r="F1137" s="53"/>
    </row>
    <row r="1138" spans="1:6" x14ac:dyDescent="0.3">
      <c r="A1138" s="50"/>
      <c r="B1138" s="51"/>
      <c r="C1138" s="55"/>
      <c r="D1138" s="52"/>
      <c r="E1138" s="52"/>
      <c r="F1138" s="53"/>
    </row>
    <row r="1139" spans="1:6" x14ac:dyDescent="0.3">
      <c r="A1139" s="50"/>
      <c r="B1139" s="51"/>
      <c r="C1139" s="55"/>
      <c r="D1139" s="52"/>
      <c r="E1139" s="52"/>
      <c r="F1139" s="53"/>
    </row>
    <row r="1140" spans="1:6" x14ac:dyDescent="0.3">
      <c r="A1140" s="50"/>
      <c r="B1140" s="51"/>
      <c r="C1140" s="52"/>
      <c r="D1140" s="52"/>
      <c r="E1140" s="52"/>
      <c r="F1140" s="53"/>
    </row>
    <row r="1141" spans="1:6" x14ac:dyDescent="0.3">
      <c r="A1141" s="50"/>
      <c r="B1141" s="51"/>
      <c r="C1141" s="62"/>
      <c r="D1141" s="52"/>
      <c r="E1141" s="52"/>
      <c r="F1141" s="53"/>
    </row>
    <row r="1142" spans="1:6" x14ac:dyDescent="0.3">
      <c r="A1142" s="50"/>
      <c r="B1142" s="51"/>
      <c r="C1142" s="62"/>
      <c r="D1142" s="52"/>
      <c r="E1142" s="52"/>
      <c r="F1142" s="53"/>
    </row>
    <row r="1143" spans="1:6" x14ac:dyDescent="0.3">
      <c r="A1143" s="50"/>
      <c r="B1143" s="51"/>
      <c r="C1143" s="55"/>
      <c r="D1143" s="52"/>
      <c r="E1143" s="52"/>
      <c r="F1143" s="53"/>
    </row>
    <row r="1144" spans="1:6" x14ac:dyDescent="0.3">
      <c r="A1144" s="50"/>
      <c r="B1144" s="51"/>
      <c r="C1144" s="62"/>
      <c r="D1144" s="52"/>
      <c r="E1144" s="52"/>
      <c r="F1144" s="53"/>
    </row>
    <row r="1145" spans="1:6" x14ac:dyDescent="0.3">
      <c r="A1145" s="50"/>
      <c r="B1145" s="51"/>
      <c r="C1145" s="62"/>
      <c r="D1145" s="52"/>
      <c r="E1145" s="52"/>
      <c r="F1145" s="53"/>
    </row>
    <row r="1146" spans="1:6" x14ac:dyDescent="0.3">
      <c r="A1146" s="50"/>
      <c r="B1146" s="51"/>
      <c r="C1146" s="62"/>
      <c r="D1146" s="52"/>
      <c r="E1146" s="52"/>
      <c r="F1146" s="53"/>
    </row>
    <row r="1147" spans="1:6" x14ac:dyDescent="0.3">
      <c r="A1147" s="50"/>
      <c r="B1147" s="51"/>
      <c r="C1147" s="62"/>
      <c r="D1147" s="52"/>
      <c r="E1147" s="52"/>
      <c r="F1147" s="53"/>
    </row>
    <row r="1148" spans="1:6" x14ac:dyDescent="0.3">
      <c r="A1148" s="50"/>
      <c r="B1148" s="51"/>
      <c r="C1148" s="62"/>
      <c r="D1148" s="52"/>
      <c r="E1148" s="52"/>
      <c r="F1148" s="53"/>
    </row>
    <row r="1149" spans="1:6" x14ac:dyDescent="0.3">
      <c r="A1149" s="50"/>
      <c r="B1149" s="51"/>
      <c r="C1149" s="62"/>
      <c r="D1149" s="52"/>
      <c r="E1149" s="52"/>
      <c r="F1149" s="53"/>
    </row>
    <row r="1150" spans="1:6" x14ac:dyDescent="0.3">
      <c r="A1150" s="50"/>
      <c r="B1150" s="51"/>
      <c r="C1150" s="62"/>
      <c r="D1150" s="52"/>
      <c r="E1150" s="52"/>
      <c r="F1150" s="53"/>
    </row>
    <row r="1151" spans="1:6" x14ac:dyDescent="0.3">
      <c r="A1151" s="50"/>
      <c r="B1151" s="51"/>
      <c r="C1151" s="62"/>
      <c r="D1151" s="52"/>
      <c r="E1151" s="52"/>
      <c r="F1151" s="53"/>
    </row>
    <row r="1152" spans="1:6" x14ac:dyDescent="0.3">
      <c r="A1152" s="50"/>
      <c r="B1152" s="51"/>
      <c r="C1152" s="62"/>
      <c r="D1152" s="52"/>
      <c r="E1152" s="52"/>
      <c r="F1152" s="53"/>
    </row>
    <row r="1153" spans="1:6" x14ac:dyDescent="0.3">
      <c r="A1153" s="50"/>
      <c r="B1153" s="51"/>
      <c r="C1153" s="62"/>
      <c r="D1153" s="52"/>
      <c r="E1153" s="52"/>
      <c r="F1153" s="53"/>
    </row>
    <row r="1154" spans="1:6" x14ac:dyDescent="0.3">
      <c r="A1154" s="50"/>
      <c r="B1154" s="51"/>
      <c r="C1154" s="62"/>
      <c r="D1154" s="52"/>
      <c r="E1154" s="52"/>
      <c r="F1154" s="53"/>
    </row>
    <row r="1155" spans="1:6" x14ac:dyDescent="0.3">
      <c r="A1155" s="50"/>
      <c r="B1155" s="51"/>
      <c r="C1155" s="62"/>
      <c r="D1155" s="52"/>
      <c r="E1155" s="52"/>
      <c r="F1155" s="53"/>
    </row>
    <row r="1156" spans="1:6" x14ac:dyDescent="0.3">
      <c r="A1156" s="50"/>
      <c r="B1156" s="51"/>
      <c r="C1156" s="62"/>
      <c r="D1156" s="52"/>
      <c r="E1156" s="52"/>
      <c r="F1156" s="53"/>
    </row>
    <row r="1157" spans="1:6" x14ac:dyDescent="0.3">
      <c r="A1157" s="50"/>
      <c r="B1157" s="51"/>
      <c r="C1157" s="62"/>
      <c r="D1157" s="52"/>
      <c r="E1157" s="52"/>
      <c r="F1157" s="53"/>
    </row>
    <row r="1158" spans="1:6" x14ac:dyDescent="0.3">
      <c r="A1158" s="50"/>
      <c r="B1158" s="51"/>
      <c r="C1158" s="62"/>
      <c r="D1158" s="52"/>
      <c r="E1158" s="52"/>
      <c r="F1158" s="53"/>
    </row>
    <row r="1159" spans="1:6" x14ac:dyDescent="0.3">
      <c r="A1159" s="50"/>
      <c r="B1159" s="51"/>
      <c r="C1159" s="62"/>
      <c r="D1159" s="52"/>
      <c r="E1159" s="52"/>
      <c r="F1159" s="53"/>
    </row>
    <row r="1160" spans="1:6" x14ac:dyDescent="0.3">
      <c r="A1160" s="50"/>
      <c r="B1160" s="51"/>
      <c r="C1160" s="62"/>
      <c r="D1160" s="52"/>
      <c r="E1160" s="52"/>
      <c r="F1160" s="53"/>
    </row>
    <row r="1161" spans="1:6" x14ac:dyDescent="0.3">
      <c r="A1161" s="50"/>
      <c r="B1161" s="51"/>
      <c r="C1161" s="62"/>
      <c r="D1161" s="52"/>
      <c r="E1161" s="52"/>
      <c r="F1161" s="53"/>
    </row>
    <row r="1162" spans="1:6" x14ac:dyDescent="0.3">
      <c r="A1162" s="50"/>
      <c r="B1162" s="51"/>
      <c r="C1162" s="52"/>
      <c r="D1162" s="52"/>
      <c r="E1162" s="52"/>
      <c r="F1162" s="53"/>
    </row>
    <row r="1163" spans="1:6" x14ac:dyDescent="0.3">
      <c r="A1163" s="50"/>
      <c r="B1163" s="51"/>
      <c r="C1163" s="52"/>
      <c r="D1163" s="52"/>
      <c r="E1163" s="52"/>
      <c r="F1163" s="53"/>
    </row>
    <row r="1164" spans="1:6" x14ac:dyDescent="0.3">
      <c r="A1164" s="50"/>
      <c r="B1164" s="51"/>
      <c r="C1164" s="52"/>
      <c r="D1164" s="52"/>
      <c r="E1164" s="52"/>
      <c r="F1164" s="53"/>
    </row>
    <row r="1165" spans="1:6" x14ac:dyDescent="0.3">
      <c r="A1165" s="50"/>
      <c r="B1165" s="51"/>
      <c r="C1165" s="52"/>
      <c r="D1165" s="52"/>
      <c r="E1165" s="52"/>
      <c r="F1165" s="53"/>
    </row>
    <row r="1166" spans="1:6" x14ac:dyDescent="0.3">
      <c r="A1166" s="50"/>
      <c r="B1166" s="51"/>
      <c r="C1166" s="52"/>
      <c r="D1166" s="52"/>
      <c r="E1166" s="52"/>
      <c r="F1166" s="53"/>
    </row>
    <row r="1167" spans="1:6" x14ac:dyDescent="0.3">
      <c r="A1167" s="50"/>
      <c r="B1167" s="51"/>
      <c r="C1167" s="63"/>
      <c r="D1167" s="52"/>
      <c r="E1167" s="52"/>
      <c r="F1167" s="53"/>
    </row>
    <row r="1168" spans="1:6" x14ac:dyDescent="0.3">
      <c r="A1168" s="50"/>
      <c r="B1168" s="51"/>
      <c r="C1168" s="52"/>
      <c r="D1168" s="52"/>
      <c r="E1168" s="52"/>
      <c r="F1168" s="53"/>
    </row>
    <row r="1169" spans="1:6" x14ac:dyDescent="0.3">
      <c r="A1169" s="50"/>
      <c r="B1169" s="51"/>
      <c r="C1169" s="63"/>
      <c r="D1169" s="52"/>
      <c r="E1169" s="52"/>
      <c r="F1169" s="53"/>
    </row>
    <row r="1170" spans="1:6" x14ac:dyDescent="0.3">
      <c r="A1170" s="50"/>
      <c r="B1170" s="51"/>
      <c r="C1170" s="55"/>
      <c r="D1170" s="52"/>
      <c r="E1170" s="52"/>
      <c r="F1170" s="53"/>
    </row>
    <row r="1171" spans="1:6" x14ac:dyDescent="0.3">
      <c r="A1171" s="50"/>
      <c r="B1171" s="51"/>
      <c r="C1171" s="52"/>
      <c r="D1171" s="52"/>
      <c r="E1171" s="52"/>
      <c r="F1171" s="53"/>
    </row>
    <row r="1172" spans="1:6" x14ac:dyDescent="0.3">
      <c r="A1172" s="50"/>
      <c r="B1172" s="51"/>
      <c r="C1172" s="52"/>
      <c r="D1172" s="52"/>
      <c r="E1172" s="52"/>
      <c r="F1172" s="53"/>
    </row>
    <row r="1173" spans="1:6" x14ac:dyDescent="0.3">
      <c r="A1173" s="50"/>
      <c r="B1173" s="51"/>
      <c r="C1173" s="52"/>
      <c r="D1173" s="52"/>
      <c r="E1173" s="52"/>
      <c r="F1173" s="53"/>
    </row>
    <row r="1174" spans="1:6" x14ac:dyDescent="0.3">
      <c r="A1174" s="50"/>
      <c r="B1174" s="51"/>
      <c r="C1174" s="55"/>
      <c r="D1174" s="52"/>
      <c r="E1174" s="52"/>
      <c r="F1174" s="53"/>
    </row>
    <row r="1175" spans="1:6" x14ac:dyDescent="0.3">
      <c r="A1175" s="50"/>
      <c r="B1175" s="51"/>
      <c r="C1175" s="52"/>
      <c r="D1175" s="52"/>
      <c r="E1175" s="52"/>
      <c r="F1175" s="54"/>
    </row>
    <row r="1176" spans="1:6" x14ac:dyDescent="0.3">
      <c r="A1176" s="50"/>
      <c r="B1176" s="51"/>
      <c r="C1176" s="59"/>
      <c r="D1176" s="52"/>
      <c r="E1176" s="52"/>
      <c r="F1176" s="53"/>
    </row>
    <row r="1177" spans="1:6" x14ac:dyDescent="0.3">
      <c r="A1177" s="50"/>
      <c r="B1177" s="51"/>
      <c r="C1177" s="52"/>
      <c r="D1177" s="52"/>
      <c r="E1177" s="52"/>
      <c r="F1177" s="54"/>
    </row>
    <row r="1178" spans="1:6" x14ac:dyDescent="0.3">
      <c r="A1178" s="50"/>
      <c r="B1178" s="51"/>
      <c r="C1178" s="52"/>
      <c r="D1178" s="52"/>
      <c r="E1178" s="52"/>
      <c r="F1178" s="54"/>
    </row>
    <row r="1179" spans="1:6" x14ac:dyDescent="0.3">
      <c r="A1179" s="50"/>
      <c r="B1179" s="51"/>
      <c r="C1179" s="52"/>
      <c r="D1179" s="52"/>
      <c r="E1179" s="52"/>
      <c r="F1179" s="54"/>
    </row>
  </sheetData>
  <autoFilter ref="A4:F1072">
    <filterColumn colId="3">
      <filters>
        <filter val="ARIF"/>
      </filters>
    </filterColumn>
  </autoFilter>
  <sortState ref="A5:F1072">
    <sortCondition ref="B5:B1072"/>
  </sortState>
  <customSheetViews>
    <customSheetView guid="{80F19098-3ACC-4F0A-B214-68DF3421AAAA}" scale="115" filter="1" showAutoFilter="1" hiddenColumns="1" state="hidden" topLeftCell="A3">
      <selection activeCell="B123" sqref="B123"/>
      <pageMargins left="0.33" right="0.18" top="0.37" bottom="0.25" header="0.18" footer="0.17"/>
      <pageSetup paperSize="9" orientation="portrait" r:id="rId1"/>
      <autoFilter ref="A4:F1072">
        <filterColumn colId="3">
          <filters>
            <filter val="ARIF"/>
          </filters>
        </filterColumn>
      </autoFilter>
    </customSheetView>
  </customSheetViews>
  <conditionalFormatting sqref="F871:F1024">
    <cfRule type="cellIs" dxfId="1480" priority="6" operator="greaterThan">
      <formula>0</formula>
    </cfRule>
  </conditionalFormatting>
  <conditionalFormatting sqref="F1073:F1179">
    <cfRule type="cellIs" dxfId="1479" priority="5" operator="greaterThan">
      <formula>0</formula>
    </cfRule>
  </conditionalFormatting>
  <conditionalFormatting sqref="F1025:F1032">
    <cfRule type="cellIs" dxfId="1478" priority="4" operator="greaterThan">
      <formula>0</formula>
    </cfRule>
  </conditionalFormatting>
  <conditionalFormatting sqref="F1025:F1065">
    <cfRule type="cellIs" dxfId="1477" priority="3" operator="greaterThan">
      <formula>0</formula>
    </cfRule>
  </conditionalFormatting>
  <conditionalFormatting sqref="F1066:F1067">
    <cfRule type="cellIs" dxfId="1476" priority="2" operator="greaterThan">
      <formula>0</formula>
    </cfRule>
  </conditionalFormatting>
  <conditionalFormatting sqref="F1066:F1072">
    <cfRule type="cellIs" dxfId="1475" priority="1" operator="greaterThan">
      <formula>0</formula>
    </cfRule>
  </conditionalFormatting>
  <pageMargins left="0.33" right="0.18" top="0.37" bottom="0.25" header="0.18" footer="0.17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2"/>
  <sheetViews>
    <sheetView tabSelected="1" zoomScale="120" zoomScaleNormal="120" workbookViewId="0">
      <pane ySplit="4" topLeftCell="A210" activePane="bottomLeft" state="frozen"/>
      <selection pane="bottomLeft" activeCell="H212" sqref="H212"/>
    </sheetView>
  </sheetViews>
  <sheetFormatPr defaultRowHeight="14.4" x14ac:dyDescent="0.3"/>
  <cols>
    <col min="1" max="1" width="27.5546875" customWidth="1"/>
    <col min="2" max="2" width="16.33203125" customWidth="1"/>
    <col min="3" max="3" width="10" bestFit="1" customWidth="1"/>
    <col min="4" max="4" width="10.6640625" bestFit="1" customWidth="1"/>
    <col min="5" max="5" width="11.33203125" bestFit="1" customWidth="1"/>
    <col min="6" max="6" width="12" bestFit="1" customWidth="1"/>
    <col min="7" max="7" width="10.33203125" bestFit="1" customWidth="1"/>
    <col min="8" max="8" width="9.109375" bestFit="1" customWidth="1"/>
    <col min="9" max="9" width="10.33203125" bestFit="1" customWidth="1"/>
    <col min="10" max="10" width="9.33203125" bestFit="1" customWidth="1"/>
    <col min="11" max="11" width="6.33203125" bestFit="1" customWidth="1"/>
    <col min="12" max="12" width="10.33203125" bestFit="1" customWidth="1"/>
    <col min="13" max="13" width="9.109375" bestFit="1" customWidth="1"/>
    <col min="14" max="14" width="11.33203125" bestFit="1" customWidth="1"/>
    <col min="15" max="18" width="10.33203125" customWidth="1"/>
  </cols>
  <sheetData>
    <row r="1" spans="1:14" x14ac:dyDescent="0.3">
      <c r="A1" s="69" t="s">
        <v>1515</v>
      </c>
      <c r="B1" t="s">
        <v>1137</v>
      </c>
    </row>
    <row r="3" spans="1:14" x14ac:dyDescent="0.3">
      <c r="A3" s="69" t="s">
        <v>1752</v>
      </c>
      <c r="B3" s="69" t="s">
        <v>1449</v>
      </c>
    </row>
    <row r="4" spans="1:14" s="194" customFormat="1" ht="28.8" x14ac:dyDescent="0.3">
      <c r="A4" s="191" t="s">
        <v>1447</v>
      </c>
      <c r="B4" s="192" t="s">
        <v>1535</v>
      </c>
      <c r="C4" s="192" t="s">
        <v>1520</v>
      </c>
      <c r="D4" s="192" t="s">
        <v>1519</v>
      </c>
      <c r="E4" s="192" t="s">
        <v>1522</v>
      </c>
      <c r="F4" s="192" t="s">
        <v>1471</v>
      </c>
      <c r="G4" s="192" t="s">
        <v>1523</v>
      </c>
      <c r="H4" s="193" t="s">
        <v>1526</v>
      </c>
      <c r="I4" s="192" t="s">
        <v>1530</v>
      </c>
      <c r="J4" s="192" t="s">
        <v>1524</v>
      </c>
      <c r="K4" s="192" t="s">
        <v>1517</v>
      </c>
      <c r="L4" s="192" t="s">
        <v>1516</v>
      </c>
      <c r="M4" s="192" t="s">
        <v>1521</v>
      </c>
      <c r="N4" s="192" t="s">
        <v>1448</v>
      </c>
    </row>
    <row r="5" spans="1:14" x14ac:dyDescent="0.3">
      <c r="A5" s="72">
        <v>1</v>
      </c>
      <c r="B5" s="227"/>
      <c r="C5" s="227"/>
      <c r="D5" s="228"/>
      <c r="E5" s="228"/>
      <c r="F5" s="228"/>
      <c r="G5" s="228"/>
      <c r="H5" s="228"/>
      <c r="I5" s="228"/>
      <c r="J5" s="228"/>
      <c r="K5" s="227"/>
      <c r="L5" s="228">
        <v>0</v>
      </c>
      <c r="M5" s="228"/>
      <c r="N5" s="227">
        <v>0</v>
      </c>
    </row>
    <row r="6" spans="1:14" x14ac:dyDescent="0.3">
      <c r="A6" s="72">
        <v>2</v>
      </c>
      <c r="B6" s="227"/>
      <c r="C6" s="227"/>
      <c r="D6" s="228"/>
      <c r="E6" s="228"/>
      <c r="F6" s="228"/>
      <c r="G6" s="228"/>
      <c r="H6" s="228"/>
      <c r="I6" s="228"/>
      <c r="J6" s="228"/>
      <c r="K6" s="227"/>
      <c r="L6" s="228">
        <v>0</v>
      </c>
      <c r="M6" s="228"/>
      <c r="N6" s="227">
        <v>0</v>
      </c>
    </row>
    <row r="7" spans="1:14" x14ac:dyDescent="0.3">
      <c r="A7" s="72">
        <v>3</v>
      </c>
      <c r="B7" s="227"/>
      <c r="C7" s="227"/>
      <c r="D7" s="228"/>
      <c r="E7" s="228"/>
      <c r="F7" s="228"/>
      <c r="G7" s="228"/>
      <c r="H7" s="228"/>
      <c r="I7" s="228"/>
      <c r="J7" s="228"/>
      <c r="K7" s="227"/>
      <c r="L7" s="228">
        <v>0</v>
      </c>
      <c r="M7" s="228"/>
      <c r="N7" s="227">
        <v>0</v>
      </c>
    </row>
    <row r="8" spans="1:14" x14ac:dyDescent="0.3">
      <c r="A8" s="72">
        <v>4</v>
      </c>
      <c r="B8" s="227"/>
      <c r="C8" s="227"/>
      <c r="D8" s="228"/>
      <c r="E8" s="228"/>
      <c r="F8" s="228"/>
      <c r="G8" s="228"/>
      <c r="H8" s="228"/>
      <c r="I8" s="228"/>
      <c r="J8" s="228"/>
      <c r="K8" s="227">
        <v>0</v>
      </c>
      <c r="L8" s="228"/>
      <c r="M8" s="228"/>
      <c r="N8" s="227">
        <v>0</v>
      </c>
    </row>
    <row r="9" spans="1:14" x14ac:dyDescent="0.3">
      <c r="A9" s="72">
        <v>5</v>
      </c>
      <c r="B9" s="227"/>
      <c r="C9" s="227"/>
      <c r="D9" s="228"/>
      <c r="E9" s="228"/>
      <c r="F9" s="228"/>
      <c r="G9" s="228"/>
      <c r="H9" s="228"/>
      <c r="I9" s="228"/>
      <c r="J9" s="228"/>
      <c r="K9" s="227"/>
      <c r="L9" s="228">
        <v>-43050</v>
      </c>
      <c r="M9" s="228"/>
      <c r="N9" s="227">
        <v>-43050</v>
      </c>
    </row>
    <row r="10" spans="1:14" x14ac:dyDescent="0.3">
      <c r="A10" s="72">
        <v>7</v>
      </c>
      <c r="B10" s="227">
        <v>134700</v>
      </c>
      <c r="C10" s="227"/>
      <c r="D10" s="228"/>
      <c r="E10" s="228"/>
      <c r="F10" s="228"/>
      <c r="G10" s="228"/>
      <c r="H10" s="228"/>
      <c r="I10" s="228"/>
      <c r="J10" s="228"/>
      <c r="K10" s="227"/>
      <c r="L10" s="228"/>
      <c r="M10" s="228"/>
      <c r="N10" s="227">
        <v>134700</v>
      </c>
    </row>
    <row r="11" spans="1:14" x14ac:dyDescent="0.3">
      <c r="A11" s="72">
        <v>8</v>
      </c>
      <c r="B11" s="227"/>
      <c r="C11" s="227"/>
      <c r="D11" s="228"/>
      <c r="E11" s="228"/>
      <c r="F11" s="228">
        <v>-200000</v>
      </c>
      <c r="G11" s="228"/>
      <c r="H11" s="228"/>
      <c r="I11" s="228"/>
      <c r="J11" s="228"/>
      <c r="K11" s="227"/>
      <c r="L11" s="228"/>
      <c r="M11" s="228"/>
      <c r="N11" s="227">
        <v>-200000</v>
      </c>
    </row>
    <row r="12" spans="1:14" x14ac:dyDescent="0.3">
      <c r="A12" s="72">
        <v>9</v>
      </c>
      <c r="B12" s="227"/>
      <c r="C12" s="227"/>
      <c r="D12" s="228">
        <v>-100000</v>
      </c>
      <c r="E12" s="228"/>
      <c r="F12" s="228"/>
      <c r="G12" s="228"/>
      <c r="H12" s="228"/>
      <c r="I12" s="228"/>
      <c r="J12" s="228"/>
      <c r="K12" s="227"/>
      <c r="L12" s="228"/>
      <c r="M12" s="228"/>
      <c r="N12" s="227">
        <v>-100000</v>
      </c>
    </row>
    <row r="13" spans="1:14" x14ac:dyDescent="0.3">
      <c r="A13" s="72">
        <v>10</v>
      </c>
      <c r="B13" s="227"/>
      <c r="C13" s="227"/>
      <c r="D13" s="228">
        <v>-54800</v>
      </c>
      <c r="E13" s="228"/>
      <c r="F13" s="228"/>
      <c r="G13" s="228"/>
      <c r="H13" s="228"/>
      <c r="I13" s="228"/>
      <c r="J13" s="228"/>
      <c r="K13" s="227"/>
      <c r="L13" s="228"/>
      <c r="M13" s="228"/>
      <c r="N13" s="227">
        <v>-54800</v>
      </c>
    </row>
    <row r="14" spans="1:14" x14ac:dyDescent="0.3">
      <c r="A14" s="72">
        <v>11</v>
      </c>
      <c r="B14" s="227"/>
      <c r="C14" s="227"/>
      <c r="D14" s="228">
        <v>-8000</v>
      </c>
      <c r="E14" s="228"/>
      <c r="F14" s="228"/>
      <c r="G14" s="228"/>
      <c r="H14" s="228"/>
      <c r="I14" s="228"/>
      <c r="J14" s="228"/>
      <c r="K14" s="227"/>
      <c r="L14" s="228"/>
      <c r="M14" s="228"/>
      <c r="N14" s="227">
        <v>-8000</v>
      </c>
    </row>
    <row r="15" spans="1:14" x14ac:dyDescent="0.3">
      <c r="A15" s="72">
        <v>12</v>
      </c>
      <c r="B15" s="227"/>
      <c r="C15" s="227"/>
      <c r="D15" s="228">
        <v>-1500</v>
      </c>
      <c r="E15" s="228"/>
      <c r="F15" s="228"/>
      <c r="G15" s="228"/>
      <c r="H15" s="228"/>
      <c r="I15" s="228"/>
      <c r="J15" s="228"/>
      <c r="K15" s="227"/>
      <c r="L15" s="228"/>
      <c r="M15" s="228"/>
      <c r="N15" s="227">
        <v>-1500</v>
      </c>
    </row>
    <row r="16" spans="1:14" x14ac:dyDescent="0.3">
      <c r="A16" s="72">
        <v>13</v>
      </c>
      <c r="B16" s="227"/>
      <c r="C16" s="227"/>
      <c r="D16" s="228">
        <v>-2500</v>
      </c>
      <c r="E16" s="228"/>
      <c r="F16" s="228"/>
      <c r="G16" s="228"/>
      <c r="H16" s="228"/>
      <c r="I16" s="228"/>
      <c r="J16" s="228"/>
      <c r="K16" s="227"/>
      <c r="L16" s="228"/>
      <c r="M16" s="228"/>
      <c r="N16" s="227">
        <v>-2500</v>
      </c>
    </row>
    <row r="17" spans="1:14" x14ac:dyDescent="0.3">
      <c r="A17" s="72">
        <v>14</v>
      </c>
      <c r="B17" s="227"/>
      <c r="C17" s="227"/>
      <c r="D17" s="228">
        <v>-22000</v>
      </c>
      <c r="E17" s="228"/>
      <c r="F17" s="228"/>
      <c r="G17" s="228"/>
      <c r="H17" s="228"/>
      <c r="I17" s="228"/>
      <c r="J17" s="228"/>
      <c r="K17" s="227"/>
      <c r="L17" s="228"/>
      <c r="M17" s="228"/>
      <c r="N17" s="227">
        <v>-22000</v>
      </c>
    </row>
    <row r="18" spans="1:14" x14ac:dyDescent="0.3">
      <c r="A18" s="72">
        <v>15</v>
      </c>
      <c r="B18" s="227"/>
      <c r="C18" s="227"/>
      <c r="D18" s="228"/>
      <c r="E18" s="228"/>
      <c r="F18" s="228"/>
      <c r="G18" s="228"/>
      <c r="H18" s="228"/>
      <c r="I18" s="228"/>
      <c r="J18" s="228"/>
      <c r="K18" s="227"/>
      <c r="L18" s="228"/>
      <c r="M18" s="228">
        <v>-2500</v>
      </c>
      <c r="N18" s="227">
        <v>-2500</v>
      </c>
    </row>
    <row r="19" spans="1:14" x14ac:dyDescent="0.3">
      <c r="A19" s="72">
        <v>16</v>
      </c>
      <c r="B19" s="227"/>
      <c r="C19" s="227"/>
      <c r="D19" s="228"/>
      <c r="E19" s="228"/>
      <c r="F19" s="228"/>
      <c r="G19" s="228"/>
      <c r="H19" s="228"/>
      <c r="I19" s="228"/>
      <c r="J19" s="228"/>
      <c r="K19" s="227"/>
      <c r="L19" s="228"/>
      <c r="M19" s="228">
        <v>-200</v>
      </c>
      <c r="N19" s="227">
        <v>-200</v>
      </c>
    </row>
    <row r="20" spans="1:14" x14ac:dyDescent="0.3">
      <c r="A20" s="72">
        <v>17</v>
      </c>
      <c r="B20" s="227"/>
      <c r="C20" s="227"/>
      <c r="D20" s="228"/>
      <c r="E20" s="228"/>
      <c r="F20" s="228"/>
      <c r="G20" s="228"/>
      <c r="H20" s="228"/>
      <c r="I20" s="228"/>
      <c r="J20" s="228"/>
      <c r="K20" s="227"/>
      <c r="L20" s="228"/>
      <c r="M20" s="228">
        <v>-4500</v>
      </c>
      <c r="N20" s="227">
        <v>-4500</v>
      </c>
    </row>
    <row r="21" spans="1:14" x14ac:dyDescent="0.3">
      <c r="A21" s="72">
        <v>18</v>
      </c>
      <c r="B21" s="227"/>
      <c r="C21" s="227"/>
      <c r="D21" s="228"/>
      <c r="E21" s="228"/>
      <c r="F21" s="228"/>
      <c r="G21" s="228"/>
      <c r="H21" s="228"/>
      <c r="I21" s="228"/>
      <c r="J21" s="228"/>
      <c r="K21" s="227"/>
      <c r="L21" s="228"/>
      <c r="M21" s="228">
        <v>-500</v>
      </c>
      <c r="N21" s="227">
        <v>-500</v>
      </c>
    </row>
    <row r="22" spans="1:14" x14ac:dyDescent="0.3">
      <c r="A22" s="72">
        <v>19</v>
      </c>
      <c r="B22" s="227"/>
      <c r="C22" s="227"/>
      <c r="D22" s="228"/>
      <c r="E22" s="228"/>
      <c r="F22" s="228"/>
      <c r="G22" s="228"/>
      <c r="H22" s="228"/>
      <c r="I22" s="228"/>
      <c r="J22" s="228"/>
      <c r="K22" s="227"/>
      <c r="L22" s="228"/>
      <c r="M22" s="228">
        <v>-500</v>
      </c>
      <c r="N22" s="227">
        <v>-500</v>
      </c>
    </row>
    <row r="23" spans="1:14" x14ac:dyDescent="0.3">
      <c r="A23" s="72">
        <v>20</v>
      </c>
      <c r="B23" s="227"/>
      <c r="C23" s="227"/>
      <c r="D23" s="228"/>
      <c r="E23" s="228"/>
      <c r="F23" s="228"/>
      <c r="G23" s="228"/>
      <c r="H23" s="228"/>
      <c r="I23" s="228"/>
      <c r="J23" s="228"/>
      <c r="K23" s="227"/>
      <c r="L23" s="228"/>
      <c r="M23" s="228">
        <v>-3380</v>
      </c>
      <c r="N23" s="227">
        <v>-3380</v>
      </c>
    </row>
    <row r="24" spans="1:14" x14ac:dyDescent="0.3">
      <c r="A24" s="72">
        <v>21</v>
      </c>
      <c r="B24" s="227"/>
      <c r="C24" s="227"/>
      <c r="D24" s="228"/>
      <c r="E24" s="228"/>
      <c r="F24" s="228"/>
      <c r="G24" s="228"/>
      <c r="H24" s="228"/>
      <c r="I24" s="228"/>
      <c r="J24" s="228"/>
      <c r="K24" s="227"/>
      <c r="L24" s="228"/>
      <c r="M24" s="228">
        <v>-200</v>
      </c>
      <c r="N24" s="227">
        <v>-200</v>
      </c>
    </row>
    <row r="25" spans="1:14" x14ac:dyDescent="0.3">
      <c r="A25" s="72">
        <v>22</v>
      </c>
      <c r="B25" s="227"/>
      <c r="C25" s="227"/>
      <c r="D25" s="228"/>
      <c r="E25" s="228"/>
      <c r="F25" s="228"/>
      <c r="G25" s="228"/>
      <c r="H25" s="228"/>
      <c r="I25" s="228"/>
      <c r="J25" s="228"/>
      <c r="K25" s="227"/>
      <c r="L25" s="228"/>
      <c r="M25" s="228">
        <v>-2200</v>
      </c>
      <c r="N25" s="227">
        <v>-2200</v>
      </c>
    </row>
    <row r="26" spans="1:14" x14ac:dyDescent="0.3">
      <c r="A26" s="72">
        <v>23</v>
      </c>
      <c r="B26" s="227"/>
      <c r="C26" s="227"/>
      <c r="D26" s="228"/>
      <c r="E26" s="228"/>
      <c r="F26" s="228"/>
      <c r="G26" s="228"/>
      <c r="H26" s="228"/>
      <c r="I26" s="228"/>
      <c r="J26" s="228"/>
      <c r="K26" s="227"/>
      <c r="L26" s="228"/>
      <c r="M26" s="228">
        <v>-300</v>
      </c>
      <c r="N26" s="227">
        <v>-300</v>
      </c>
    </row>
    <row r="27" spans="1:14" x14ac:dyDescent="0.3">
      <c r="A27" s="72">
        <v>24</v>
      </c>
      <c r="B27" s="227"/>
      <c r="C27" s="227"/>
      <c r="D27" s="228"/>
      <c r="E27" s="228"/>
      <c r="F27" s="228"/>
      <c r="G27" s="228"/>
      <c r="H27" s="228"/>
      <c r="I27" s="228"/>
      <c r="J27" s="228"/>
      <c r="K27" s="227"/>
      <c r="L27" s="228"/>
      <c r="M27" s="228">
        <v>-1210</v>
      </c>
      <c r="N27" s="227">
        <v>-1210</v>
      </c>
    </row>
    <row r="28" spans="1:14" x14ac:dyDescent="0.3">
      <c r="A28" s="72">
        <v>25</v>
      </c>
      <c r="B28" s="227"/>
      <c r="C28" s="227"/>
      <c r="D28" s="228"/>
      <c r="E28" s="228"/>
      <c r="F28" s="228"/>
      <c r="G28" s="228"/>
      <c r="H28" s="228"/>
      <c r="I28" s="228"/>
      <c r="J28" s="228"/>
      <c r="K28" s="227"/>
      <c r="L28" s="228"/>
      <c r="M28" s="228">
        <v>-300</v>
      </c>
      <c r="N28" s="227">
        <v>-300</v>
      </c>
    </row>
    <row r="29" spans="1:14" x14ac:dyDescent="0.3">
      <c r="A29" s="72">
        <v>26</v>
      </c>
      <c r="B29" s="227"/>
      <c r="C29" s="227"/>
      <c r="D29" s="228"/>
      <c r="E29" s="228"/>
      <c r="F29" s="228"/>
      <c r="G29" s="228"/>
      <c r="H29" s="228"/>
      <c r="I29" s="228"/>
      <c r="J29" s="228"/>
      <c r="K29" s="227"/>
      <c r="L29" s="228"/>
      <c r="M29" s="228">
        <v>-85</v>
      </c>
      <c r="N29" s="227">
        <v>-85</v>
      </c>
    </row>
    <row r="30" spans="1:14" x14ac:dyDescent="0.3">
      <c r="A30" s="72">
        <v>27</v>
      </c>
      <c r="B30" s="227"/>
      <c r="C30" s="227"/>
      <c r="D30" s="228"/>
      <c r="E30" s="228"/>
      <c r="F30" s="228"/>
      <c r="G30" s="228"/>
      <c r="H30" s="228"/>
      <c r="I30" s="228"/>
      <c r="J30" s="228"/>
      <c r="K30" s="227"/>
      <c r="L30" s="228"/>
      <c r="M30" s="228">
        <v>-30</v>
      </c>
      <c r="N30" s="227">
        <v>-30</v>
      </c>
    </row>
    <row r="31" spans="1:14" x14ac:dyDescent="0.3">
      <c r="A31" s="72">
        <v>28</v>
      </c>
      <c r="B31" s="227"/>
      <c r="C31" s="227"/>
      <c r="D31" s="228"/>
      <c r="E31" s="228"/>
      <c r="F31" s="228"/>
      <c r="G31" s="228"/>
      <c r="H31" s="228"/>
      <c r="I31" s="228"/>
      <c r="J31" s="228"/>
      <c r="K31" s="227"/>
      <c r="L31" s="228"/>
      <c r="M31" s="228">
        <v>-450</v>
      </c>
      <c r="N31" s="227">
        <v>-450</v>
      </c>
    </row>
    <row r="32" spans="1:14" x14ac:dyDescent="0.3">
      <c r="A32" s="72">
        <v>29</v>
      </c>
      <c r="B32" s="227"/>
      <c r="C32" s="227"/>
      <c r="D32" s="228"/>
      <c r="E32" s="228"/>
      <c r="F32" s="228"/>
      <c r="G32" s="228"/>
      <c r="H32" s="228"/>
      <c r="I32" s="228"/>
      <c r="J32" s="228"/>
      <c r="K32" s="227"/>
      <c r="L32" s="228"/>
      <c r="M32" s="228">
        <v>-300</v>
      </c>
      <c r="N32" s="227">
        <v>-300</v>
      </c>
    </row>
    <row r="33" spans="1:14" x14ac:dyDescent="0.3">
      <c r="A33" s="72">
        <v>30</v>
      </c>
      <c r="B33" s="227"/>
      <c r="C33" s="227"/>
      <c r="D33" s="228"/>
      <c r="E33" s="228"/>
      <c r="F33" s="228"/>
      <c r="G33" s="228"/>
      <c r="H33" s="228"/>
      <c r="I33" s="228"/>
      <c r="J33" s="228"/>
      <c r="K33" s="227"/>
      <c r="L33" s="228"/>
      <c r="M33" s="228">
        <v>-600</v>
      </c>
      <c r="N33" s="227">
        <v>-600</v>
      </c>
    </row>
    <row r="34" spans="1:14" x14ac:dyDescent="0.3">
      <c r="A34" s="72">
        <v>31</v>
      </c>
      <c r="B34" s="227"/>
      <c r="C34" s="227"/>
      <c r="D34" s="228"/>
      <c r="E34" s="228"/>
      <c r="F34" s="228"/>
      <c r="G34" s="228"/>
      <c r="H34" s="228"/>
      <c r="I34" s="228"/>
      <c r="J34" s="228"/>
      <c r="K34" s="227"/>
      <c r="L34" s="228"/>
      <c r="M34" s="228">
        <v>-340</v>
      </c>
      <c r="N34" s="227">
        <v>-340</v>
      </c>
    </row>
    <row r="35" spans="1:14" x14ac:dyDescent="0.3">
      <c r="A35" s="72">
        <v>32</v>
      </c>
      <c r="B35" s="227"/>
      <c r="C35" s="227"/>
      <c r="D35" s="228"/>
      <c r="E35" s="228"/>
      <c r="F35" s="228"/>
      <c r="G35" s="228"/>
      <c r="H35" s="228"/>
      <c r="I35" s="228"/>
      <c r="J35" s="228"/>
      <c r="K35" s="227"/>
      <c r="L35" s="228"/>
      <c r="M35" s="228">
        <v>-60</v>
      </c>
      <c r="N35" s="227">
        <v>-60</v>
      </c>
    </row>
    <row r="36" spans="1:14" x14ac:dyDescent="0.3">
      <c r="A36" s="72">
        <v>33</v>
      </c>
      <c r="B36" s="227"/>
      <c r="C36" s="227"/>
      <c r="D36" s="228"/>
      <c r="E36" s="228"/>
      <c r="F36" s="228"/>
      <c r="G36" s="228"/>
      <c r="H36" s="228"/>
      <c r="I36" s="228"/>
      <c r="J36" s="228"/>
      <c r="K36" s="227"/>
      <c r="L36" s="228"/>
      <c r="M36" s="228">
        <v>-510</v>
      </c>
      <c r="N36" s="227">
        <v>-510</v>
      </c>
    </row>
    <row r="37" spans="1:14" x14ac:dyDescent="0.3">
      <c r="A37" s="72">
        <v>34</v>
      </c>
      <c r="B37" s="227"/>
      <c r="C37" s="227"/>
      <c r="D37" s="228"/>
      <c r="E37" s="228"/>
      <c r="F37" s="228"/>
      <c r="G37" s="228"/>
      <c r="H37" s="228"/>
      <c r="I37" s="228"/>
      <c r="J37" s="228"/>
      <c r="K37" s="227"/>
      <c r="L37" s="228"/>
      <c r="M37" s="228">
        <v>-340</v>
      </c>
      <c r="N37" s="227">
        <v>-340</v>
      </c>
    </row>
    <row r="38" spans="1:14" x14ac:dyDescent="0.3">
      <c r="A38" s="72">
        <v>35</v>
      </c>
      <c r="B38" s="227"/>
      <c r="C38" s="227"/>
      <c r="D38" s="228"/>
      <c r="E38" s="228"/>
      <c r="F38" s="228"/>
      <c r="G38" s="228"/>
      <c r="H38" s="228"/>
      <c r="I38" s="228"/>
      <c r="J38" s="228"/>
      <c r="K38" s="227"/>
      <c r="L38" s="228"/>
      <c r="M38" s="228">
        <v>-330</v>
      </c>
      <c r="N38" s="227">
        <v>-330</v>
      </c>
    </row>
    <row r="39" spans="1:14" x14ac:dyDescent="0.3">
      <c r="A39" s="72">
        <v>36</v>
      </c>
      <c r="B39" s="227"/>
      <c r="C39" s="227"/>
      <c r="D39" s="228"/>
      <c r="E39" s="228"/>
      <c r="F39" s="228"/>
      <c r="G39" s="228"/>
      <c r="H39" s="228"/>
      <c r="I39" s="228"/>
      <c r="J39" s="228"/>
      <c r="K39" s="227"/>
      <c r="L39" s="228">
        <v>0</v>
      </c>
      <c r="M39" s="228"/>
      <c r="N39" s="227">
        <v>0</v>
      </c>
    </row>
    <row r="40" spans="1:14" x14ac:dyDescent="0.3">
      <c r="A40" s="72">
        <v>37</v>
      </c>
      <c r="B40" s="227"/>
      <c r="C40" s="227"/>
      <c r="D40" s="228"/>
      <c r="E40" s="228"/>
      <c r="F40" s="228"/>
      <c r="G40" s="228"/>
      <c r="H40" s="228"/>
      <c r="I40" s="228"/>
      <c r="J40" s="228"/>
      <c r="K40" s="227"/>
      <c r="L40" s="228">
        <v>0</v>
      </c>
      <c r="M40" s="228"/>
      <c r="N40" s="227">
        <v>0</v>
      </c>
    </row>
    <row r="41" spans="1:14" x14ac:dyDescent="0.3">
      <c r="A41" s="72">
        <v>38</v>
      </c>
      <c r="B41" s="227"/>
      <c r="C41" s="227"/>
      <c r="D41" s="228"/>
      <c r="E41" s="228"/>
      <c r="F41" s="228"/>
      <c r="G41" s="228"/>
      <c r="H41" s="228"/>
      <c r="I41" s="228"/>
      <c r="J41" s="228"/>
      <c r="K41" s="227"/>
      <c r="L41" s="228">
        <v>0</v>
      </c>
      <c r="M41" s="228"/>
      <c r="N41" s="227">
        <v>0</v>
      </c>
    </row>
    <row r="42" spans="1:14" x14ac:dyDescent="0.3">
      <c r="A42" s="72">
        <v>39</v>
      </c>
      <c r="B42" s="227"/>
      <c r="C42" s="227"/>
      <c r="D42" s="228"/>
      <c r="E42" s="228"/>
      <c r="F42" s="228"/>
      <c r="G42" s="228"/>
      <c r="H42" s="228"/>
      <c r="I42" s="228"/>
      <c r="J42" s="228"/>
      <c r="K42" s="227"/>
      <c r="L42" s="228">
        <v>0</v>
      </c>
      <c r="M42" s="228"/>
      <c r="N42" s="227">
        <v>0</v>
      </c>
    </row>
    <row r="43" spans="1:14" x14ac:dyDescent="0.3">
      <c r="A43" s="72">
        <v>40</v>
      </c>
      <c r="B43" s="227"/>
      <c r="C43" s="227"/>
      <c r="D43" s="228"/>
      <c r="E43" s="228"/>
      <c r="F43" s="228"/>
      <c r="G43" s="228"/>
      <c r="H43" s="228"/>
      <c r="I43" s="228"/>
      <c r="J43" s="228"/>
      <c r="K43" s="227"/>
      <c r="L43" s="228">
        <v>0</v>
      </c>
      <c r="M43" s="228"/>
      <c r="N43" s="227">
        <v>0</v>
      </c>
    </row>
    <row r="44" spans="1:14" x14ac:dyDescent="0.3">
      <c r="A44" s="72">
        <v>41</v>
      </c>
      <c r="B44" s="227"/>
      <c r="C44" s="227"/>
      <c r="D44" s="228"/>
      <c r="E44" s="228"/>
      <c r="F44" s="228"/>
      <c r="G44" s="228"/>
      <c r="H44" s="228"/>
      <c r="I44" s="228"/>
      <c r="J44" s="228"/>
      <c r="K44" s="227"/>
      <c r="L44" s="228">
        <v>0</v>
      </c>
      <c r="M44" s="228"/>
      <c r="N44" s="227">
        <v>0</v>
      </c>
    </row>
    <row r="45" spans="1:14" x14ac:dyDescent="0.3">
      <c r="A45" s="72">
        <v>42</v>
      </c>
      <c r="B45" s="227"/>
      <c r="C45" s="227"/>
      <c r="D45" s="228"/>
      <c r="E45" s="228"/>
      <c r="F45" s="228"/>
      <c r="G45" s="228"/>
      <c r="H45" s="228"/>
      <c r="I45" s="228"/>
      <c r="J45" s="228"/>
      <c r="K45" s="227"/>
      <c r="L45" s="228">
        <v>0</v>
      </c>
      <c r="M45" s="228"/>
      <c r="N45" s="227">
        <v>0</v>
      </c>
    </row>
    <row r="46" spans="1:14" x14ac:dyDescent="0.3">
      <c r="A46" s="72">
        <v>43</v>
      </c>
      <c r="B46" s="227"/>
      <c r="C46" s="227"/>
      <c r="D46" s="228"/>
      <c r="E46" s="228"/>
      <c r="F46" s="228"/>
      <c r="G46" s="228"/>
      <c r="H46" s="228"/>
      <c r="I46" s="228"/>
      <c r="J46" s="228"/>
      <c r="K46" s="227"/>
      <c r="L46" s="228">
        <v>0</v>
      </c>
      <c r="M46" s="228"/>
      <c r="N46" s="227">
        <v>0</v>
      </c>
    </row>
    <row r="47" spans="1:14" x14ac:dyDescent="0.3">
      <c r="A47" s="72">
        <v>44</v>
      </c>
      <c r="B47" s="227"/>
      <c r="C47" s="227"/>
      <c r="D47" s="228"/>
      <c r="E47" s="228"/>
      <c r="F47" s="228"/>
      <c r="G47" s="228"/>
      <c r="H47" s="228"/>
      <c r="I47" s="228"/>
      <c r="J47" s="228"/>
      <c r="K47" s="227"/>
      <c r="L47" s="228">
        <v>0</v>
      </c>
      <c r="M47" s="228"/>
      <c r="N47" s="227">
        <v>0</v>
      </c>
    </row>
    <row r="48" spans="1:14" x14ac:dyDescent="0.3">
      <c r="A48" s="72">
        <v>45</v>
      </c>
      <c r="B48" s="227"/>
      <c r="C48" s="227"/>
      <c r="D48" s="228"/>
      <c r="E48" s="228"/>
      <c r="F48" s="228"/>
      <c r="G48" s="228"/>
      <c r="H48" s="228"/>
      <c r="I48" s="228"/>
      <c r="J48" s="228"/>
      <c r="K48" s="227"/>
      <c r="L48" s="228">
        <v>0</v>
      </c>
      <c r="M48" s="228"/>
      <c r="N48" s="227">
        <v>0</v>
      </c>
    </row>
    <row r="49" spans="1:14" x14ac:dyDescent="0.3">
      <c r="A49" s="72">
        <v>46</v>
      </c>
      <c r="B49" s="227"/>
      <c r="C49" s="227"/>
      <c r="D49" s="228"/>
      <c r="E49" s="228"/>
      <c r="F49" s="228"/>
      <c r="G49" s="228"/>
      <c r="H49" s="228"/>
      <c r="I49" s="228"/>
      <c r="J49" s="228"/>
      <c r="K49" s="227"/>
      <c r="L49" s="228">
        <v>0</v>
      </c>
      <c r="M49" s="228"/>
      <c r="N49" s="227">
        <v>0</v>
      </c>
    </row>
    <row r="50" spans="1:14" x14ac:dyDescent="0.3">
      <c r="A50" s="72">
        <v>47</v>
      </c>
      <c r="B50" s="227"/>
      <c r="C50" s="227"/>
      <c r="D50" s="228"/>
      <c r="E50" s="228"/>
      <c r="F50" s="228"/>
      <c r="G50" s="228"/>
      <c r="H50" s="228"/>
      <c r="I50" s="228"/>
      <c r="J50" s="228"/>
      <c r="K50" s="227">
        <v>0</v>
      </c>
      <c r="L50" s="228"/>
      <c r="M50" s="228"/>
      <c r="N50" s="227">
        <v>0</v>
      </c>
    </row>
    <row r="51" spans="1:14" x14ac:dyDescent="0.3">
      <c r="A51" s="72">
        <v>48</v>
      </c>
      <c r="B51" s="227"/>
      <c r="C51" s="227"/>
      <c r="D51" s="228"/>
      <c r="E51" s="228"/>
      <c r="F51" s="228"/>
      <c r="G51" s="228"/>
      <c r="H51" s="228"/>
      <c r="I51" s="228"/>
      <c r="J51" s="228"/>
      <c r="K51" s="227"/>
      <c r="L51" s="228">
        <v>0</v>
      </c>
      <c r="M51" s="228"/>
      <c r="N51" s="227">
        <v>0</v>
      </c>
    </row>
    <row r="52" spans="1:14" x14ac:dyDescent="0.3">
      <c r="A52" s="72">
        <v>49</v>
      </c>
      <c r="B52" s="227"/>
      <c r="C52" s="227"/>
      <c r="D52" s="228"/>
      <c r="E52" s="228"/>
      <c r="F52" s="228"/>
      <c r="G52" s="228"/>
      <c r="H52" s="228"/>
      <c r="I52" s="228"/>
      <c r="J52" s="228"/>
      <c r="K52" s="227"/>
      <c r="L52" s="228">
        <v>-135649</v>
      </c>
      <c r="M52" s="228"/>
      <c r="N52" s="227">
        <v>-135649</v>
      </c>
    </row>
    <row r="53" spans="1:14" x14ac:dyDescent="0.3">
      <c r="A53" s="72">
        <v>50</v>
      </c>
      <c r="B53" s="227"/>
      <c r="C53" s="227"/>
      <c r="D53" s="228"/>
      <c r="E53" s="228"/>
      <c r="F53" s="228"/>
      <c r="G53" s="228"/>
      <c r="H53" s="228"/>
      <c r="I53" s="228">
        <v>-22000</v>
      </c>
      <c r="J53" s="228"/>
      <c r="K53" s="227"/>
      <c r="L53" s="228"/>
      <c r="M53" s="228"/>
      <c r="N53" s="227">
        <v>-22000</v>
      </c>
    </row>
    <row r="54" spans="1:14" x14ac:dyDescent="0.3">
      <c r="A54" s="72">
        <v>51</v>
      </c>
      <c r="B54" s="227"/>
      <c r="C54" s="227"/>
      <c r="D54" s="228"/>
      <c r="E54" s="228"/>
      <c r="F54" s="228">
        <v>-400000</v>
      </c>
      <c r="G54" s="228"/>
      <c r="H54" s="228"/>
      <c r="I54" s="228"/>
      <c r="J54" s="228"/>
      <c r="K54" s="227"/>
      <c r="L54" s="228"/>
      <c r="M54" s="228"/>
      <c r="N54" s="227">
        <v>-400000</v>
      </c>
    </row>
    <row r="55" spans="1:14" x14ac:dyDescent="0.3">
      <c r="A55" s="72">
        <v>52</v>
      </c>
      <c r="B55" s="227"/>
      <c r="C55" s="227"/>
      <c r="D55" s="228"/>
      <c r="E55" s="228">
        <v>-100000</v>
      </c>
      <c r="F55" s="228"/>
      <c r="G55" s="228"/>
      <c r="H55" s="228"/>
      <c r="I55" s="228"/>
      <c r="J55" s="228"/>
      <c r="K55" s="227"/>
      <c r="L55" s="228"/>
      <c r="M55" s="228"/>
      <c r="N55" s="227">
        <v>-100000</v>
      </c>
    </row>
    <row r="56" spans="1:14" x14ac:dyDescent="0.3">
      <c r="A56" s="72">
        <v>54</v>
      </c>
      <c r="B56" s="227"/>
      <c r="C56" s="227">
        <v>500000</v>
      </c>
      <c r="D56" s="228"/>
      <c r="E56" s="228"/>
      <c r="F56" s="228"/>
      <c r="G56" s="228"/>
      <c r="H56" s="228"/>
      <c r="I56" s="228"/>
      <c r="J56" s="228"/>
      <c r="K56" s="227"/>
      <c r="L56" s="228"/>
      <c r="M56" s="228"/>
      <c r="N56" s="227">
        <v>500000</v>
      </c>
    </row>
    <row r="57" spans="1:14" x14ac:dyDescent="0.3">
      <c r="A57" s="72">
        <v>55</v>
      </c>
      <c r="B57" s="227"/>
      <c r="C57" s="227">
        <v>250000</v>
      </c>
      <c r="D57" s="228"/>
      <c r="E57" s="228"/>
      <c r="F57" s="228"/>
      <c r="G57" s="228"/>
      <c r="H57" s="228"/>
      <c r="I57" s="228"/>
      <c r="J57" s="228"/>
      <c r="K57" s="227"/>
      <c r="L57" s="228"/>
      <c r="M57" s="228"/>
      <c r="N57" s="227">
        <v>250000</v>
      </c>
    </row>
    <row r="58" spans="1:14" x14ac:dyDescent="0.3">
      <c r="A58" s="72">
        <v>56</v>
      </c>
      <c r="B58" s="227"/>
      <c r="C58" s="227"/>
      <c r="D58" s="228"/>
      <c r="E58" s="228"/>
      <c r="F58" s="228"/>
      <c r="G58" s="228"/>
      <c r="H58" s="228"/>
      <c r="I58" s="228"/>
      <c r="J58" s="228"/>
      <c r="K58" s="227"/>
      <c r="L58" s="228"/>
      <c r="M58" s="228">
        <v>-2000</v>
      </c>
      <c r="N58" s="227">
        <v>-2000</v>
      </c>
    </row>
    <row r="59" spans="1:14" x14ac:dyDescent="0.3">
      <c r="A59" s="72">
        <v>57</v>
      </c>
      <c r="B59" s="227"/>
      <c r="C59" s="227"/>
      <c r="D59" s="228"/>
      <c r="E59" s="228"/>
      <c r="F59" s="228">
        <v>-150000</v>
      </c>
      <c r="G59" s="228"/>
      <c r="H59" s="228"/>
      <c r="I59" s="228"/>
      <c r="J59" s="228"/>
      <c r="K59" s="227"/>
      <c r="L59" s="228"/>
      <c r="M59" s="228"/>
      <c r="N59" s="227">
        <v>-150000</v>
      </c>
    </row>
    <row r="60" spans="1:14" x14ac:dyDescent="0.3">
      <c r="A60" s="72">
        <v>58</v>
      </c>
      <c r="B60" s="227"/>
      <c r="C60" s="227"/>
      <c r="D60" s="228"/>
      <c r="E60" s="228"/>
      <c r="F60" s="228"/>
      <c r="G60" s="228">
        <v>-23000</v>
      </c>
      <c r="H60" s="228"/>
      <c r="I60" s="228"/>
      <c r="J60" s="228"/>
      <c r="K60" s="227"/>
      <c r="L60" s="228"/>
      <c r="M60" s="228"/>
      <c r="N60" s="227">
        <v>-23000</v>
      </c>
    </row>
    <row r="61" spans="1:14" x14ac:dyDescent="0.3">
      <c r="A61" s="72">
        <v>59</v>
      </c>
      <c r="B61" s="227"/>
      <c r="C61" s="227"/>
      <c r="D61" s="228"/>
      <c r="E61" s="228"/>
      <c r="F61" s="228"/>
      <c r="G61" s="228"/>
      <c r="H61" s="228"/>
      <c r="I61" s="228">
        <v>-120000</v>
      </c>
      <c r="J61" s="228"/>
      <c r="K61" s="227"/>
      <c r="L61" s="228"/>
      <c r="M61" s="228"/>
      <c r="N61" s="227">
        <v>-120000</v>
      </c>
    </row>
    <row r="62" spans="1:14" x14ac:dyDescent="0.3">
      <c r="A62" s="72">
        <v>60</v>
      </c>
      <c r="B62" s="227"/>
      <c r="C62" s="227"/>
      <c r="D62" s="228"/>
      <c r="E62" s="228">
        <v>-100000</v>
      </c>
      <c r="F62" s="228"/>
      <c r="G62" s="228"/>
      <c r="H62" s="228"/>
      <c r="I62" s="228"/>
      <c r="J62" s="228"/>
      <c r="K62" s="227"/>
      <c r="L62" s="228"/>
      <c r="M62" s="228"/>
      <c r="N62" s="227">
        <v>-100000</v>
      </c>
    </row>
    <row r="63" spans="1:14" x14ac:dyDescent="0.3">
      <c r="A63" s="72">
        <v>61</v>
      </c>
      <c r="B63" s="227"/>
      <c r="C63" s="227">
        <v>400000</v>
      </c>
      <c r="D63" s="228"/>
      <c r="E63" s="228"/>
      <c r="F63" s="228"/>
      <c r="G63" s="228"/>
      <c r="H63" s="228"/>
      <c r="I63" s="228"/>
      <c r="J63" s="228"/>
      <c r="K63" s="227"/>
      <c r="L63" s="228"/>
      <c r="M63" s="228"/>
      <c r="N63" s="227">
        <v>400000</v>
      </c>
    </row>
    <row r="64" spans="1:14" x14ac:dyDescent="0.3">
      <c r="A64" s="72">
        <v>62</v>
      </c>
      <c r="B64" s="227"/>
      <c r="C64" s="227"/>
      <c r="D64" s="228"/>
      <c r="E64" s="228"/>
      <c r="F64" s="228">
        <v>-150000</v>
      </c>
      <c r="G64" s="228"/>
      <c r="H64" s="228"/>
      <c r="I64" s="228"/>
      <c r="J64" s="228"/>
      <c r="K64" s="227"/>
      <c r="L64" s="228"/>
      <c r="M64" s="228"/>
      <c r="N64" s="227">
        <v>-150000</v>
      </c>
    </row>
    <row r="65" spans="1:14" x14ac:dyDescent="0.3">
      <c r="A65" s="72">
        <v>63</v>
      </c>
      <c r="B65" s="227"/>
      <c r="C65" s="227"/>
      <c r="D65" s="228"/>
      <c r="E65" s="228"/>
      <c r="F65" s="228">
        <v>-150000</v>
      </c>
      <c r="G65" s="228"/>
      <c r="H65" s="228"/>
      <c r="I65" s="228"/>
      <c r="J65" s="228"/>
      <c r="K65" s="227"/>
      <c r="L65" s="228"/>
      <c r="M65" s="228"/>
      <c r="N65" s="227">
        <v>-150000</v>
      </c>
    </row>
    <row r="66" spans="1:14" x14ac:dyDescent="0.3">
      <c r="A66" s="72">
        <v>64</v>
      </c>
      <c r="B66" s="227"/>
      <c r="C66" s="227"/>
      <c r="D66" s="228"/>
      <c r="E66" s="228"/>
      <c r="F66" s="228">
        <v>-50000</v>
      </c>
      <c r="G66" s="228"/>
      <c r="H66" s="228"/>
      <c r="I66" s="228"/>
      <c r="J66" s="228"/>
      <c r="K66" s="227"/>
      <c r="L66" s="228"/>
      <c r="M66" s="228"/>
      <c r="N66" s="227">
        <v>-50000</v>
      </c>
    </row>
    <row r="67" spans="1:14" x14ac:dyDescent="0.3">
      <c r="A67" s="72">
        <v>65</v>
      </c>
      <c r="B67" s="227"/>
      <c r="C67" s="227">
        <v>500000</v>
      </c>
      <c r="D67" s="228"/>
      <c r="E67" s="228"/>
      <c r="F67" s="228"/>
      <c r="G67" s="228"/>
      <c r="H67" s="228"/>
      <c r="I67" s="228"/>
      <c r="J67" s="228"/>
      <c r="K67" s="227"/>
      <c r="L67" s="228"/>
      <c r="M67" s="228"/>
      <c r="N67" s="227">
        <v>500000</v>
      </c>
    </row>
    <row r="68" spans="1:14" x14ac:dyDescent="0.3">
      <c r="A68" s="72">
        <v>66</v>
      </c>
      <c r="B68" s="227"/>
      <c r="C68" s="227"/>
      <c r="D68" s="228"/>
      <c r="E68" s="228"/>
      <c r="F68" s="228"/>
      <c r="G68" s="228">
        <v>-200000</v>
      </c>
      <c r="H68" s="228"/>
      <c r="I68" s="228"/>
      <c r="J68" s="228"/>
      <c r="K68" s="227"/>
      <c r="L68" s="228"/>
      <c r="M68" s="228"/>
      <c r="N68" s="227">
        <v>-200000</v>
      </c>
    </row>
    <row r="69" spans="1:14" x14ac:dyDescent="0.3">
      <c r="A69" s="72">
        <v>67</v>
      </c>
      <c r="B69" s="227"/>
      <c r="C69" s="227"/>
      <c r="D69" s="228"/>
      <c r="E69" s="228"/>
      <c r="F69" s="228"/>
      <c r="G69" s="228">
        <v>-300000</v>
      </c>
      <c r="H69" s="228"/>
      <c r="I69" s="228"/>
      <c r="J69" s="228"/>
      <c r="K69" s="227"/>
      <c r="L69" s="228"/>
      <c r="M69" s="228"/>
      <c r="N69" s="227">
        <v>-300000</v>
      </c>
    </row>
    <row r="70" spans="1:14" x14ac:dyDescent="0.3">
      <c r="A70" s="72">
        <v>68</v>
      </c>
      <c r="B70" s="227"/>
      <c r="C70" s="227"/>
      <c r="D70" s="228"/>
      <c r="E70" s="228">
        <v>-50000</v>
      </c>
      <c r="F70" s="228"/>
      <c r="G70" s="228"/>
      <c r="H70" s="228"/>
      <c r="I70" s="228"/>
      <c r="J70" s="228"/>
      <c r="K70" s="227"/>
      <c r="L70" s="228"/>
      <c r="M70" s="228"/>
      <c r="N70" s="227">
        <v>-50000</v>
      </c>
    </row>
    <row r="71" spans="1:14" x14ac:dyDescent="0.3">
      <c r="A71" s="72">
        <v>69</v>
      </c>
      <c r="B71" s="227"/>
      <c r="C71" s="227">
        <v>300000</v>
      </c>
      <c r="D71" s="228"/>
      <c r="E71" s="228"/>
      <c r="F71" s="228"/>
      <c r="G71" s="228"/>
      <c r="H71" s="228"/>
      <c r="I71" s="228"/>
      <c r="J71" s="228"/>
      <c r="K71" s="227"/>
      <c r="L71" s="228"/>
      <c r="M71" s="228"/>
      <c r="N71" s="227">
        <v>300000</v>
      </c>
    </row>
    <row r="72" spans="1:14" x14ac:dyDescent="0.3">
      <c r="A72" s="72">
        <v>70</v>
      </c>
      <c r="B72" s="227"/>
      <c r="C72" s="227"/>
      <c r="D72" s="228"/>
      <c r="E72" s="228"/>
      <c r="F72" s="228"/>
      <c r="G72" s="228">
        <v>-200000</v>
      </c>
      <c r="H72" s="228"/>
      <c r="I72" s="228"/>
      <c r="J72" s="228"/>
      <c r="K72" s="227"/>
      <c r="L72" s="228"/>
      <c r="M72" s="228"/>
      <c r="N72" s="227">
        <v>-200000</v>
      </c>
    </row>
    <row r="73" spans="1:14" x14ac:dyDescent="0.3">
      <c r="A73" s="72">
        <v>71</v>
      </c>
      <c r="B73" s="227"/>
      <c r="C73" s="227"/>
      <c r="D73" s="228"/>
      <c r="E73" s="228"/>
      <c r="F73" s="228"/>
      <c r="G73" s="228"/>
      <c r="H73" s="228"/>
      <c r="I73" s="228">
        <v>-35000</v>
      </c>
      <c r="J73" s="228"/>
      <c r="K73" s="227"/>
      <c r="L73" s="228"/>
      <c r="M73" s="228"/>
      <c r="N73" s="227">
        <v>-35000</v>
      </c>
    </row>
    <row r="74" spans="1:14" x14ac:dyDescent="0.3">
      <c r="A74" s="72">
        <v>72</v>
      </c>
      <c r="B74" s="227"/>
      <c r="C74" s="227"/>
      <c r="D74" s="228"/>
      <c r="E74" s="228"/>
      <c r="F74" s="228">
        <v>-50000</v>
      </c>
      <c r="G74" s="228"/>
      <c r="H74" s="228"/>
      <c r="I74" s="228"/>
      <c r="J74" s="228"/>
      <c r="K74" s="227"/>
      <c r="L74" s="228"/>
      <c r="M74" s="228"/>
      <c r="N74" s="227">
        <v>-50000</v>
      </c>
    </row>
    <row r="75" spans="1:14" x14ac:dyDescent="0.3">
      <c r="A75" s="72">
        <v>73</v>
      </c>
      <c r="B75" s="227"/>
      <c r="C75" s="227"/>
      <c r="D75" s="228"/>
      <c r="E75" s="228"/>
      <c r="F75" s="228">
        <v>-150000</v>
      </c>
      <c r="G75" s="228"/>
      <c r="H75" s="228"/>
      <c r="I75" s="228"/>
      <c r="J75" s="228"/>
      <c r="K75" s="227"/>
      <c r="L75" s="228"/>
      <c r="M75" s="228"/>
      <c r="N75" s="227">
        <v>-150000</v>
      </c>
    </row>
    <row r="76" spans="1:14" x14ac:dyDescent="0.3">
      <c r="A76" s="72">
        <v>74</v>
      </c>
      <c r="B76" s="227"/>
      <c r="C76" s="227">
        <v>300000</v>
      </c>
      <c r="D76" s="228"/>
      <c r="E76" s="228"/>
      <c r="F76" s="228"/>
      <c r="G76" s="228"/>
      <c r="H76" s="228"/>
      <c r="I76" s="228"/>
      <c r="J76" s="228"/>
      <c r="K76" s="227"/>
      <c r="L76" s="228"/>
      <c r="M76" s="228"/>
      <c r="N76" s="227">
        <v>300000</v>
      </c>
    </row>
    <row r="77" spans="1:14" x14ac:dyDescent="0.3">
      <c r="A77" s="72">
        <v>75</v>
      </c>
      <c r="B77" s="227"/>
      <c r="C77" s="227"/>
      <c r="D77" s="228"/>
      <c r="E77" s="228"/>
      <c r="F77" s="228">
        <v>-150000</v>
      </c>
      <c r="G77" s="228"/>
      <c r="H77" s="228"/>
      <c r="I77" s="228"/>
      <c r="J77" s="228"/>
      <c r="K77" s="227"/>
      <c r="L77" s="228"/>
      <c r="M77" s="228"/>
      <c r="N77" s="227">
        <v>-150000</v>
      </c>
    </row>
    <row r="78" spans="1:14" x14ac:dyDescent="0.3">
      <c r="A78" s="72">
        <v>76</v>
      </c>
      <c r="B78" s="227"/>
      <c r="C78" s="227"/>
      <c r="D78" s="228"/>
      <c r="E78" s="228">
        <v>-50000</v>
      </c>
      <c r="F78" s="228"/>
      <c r="G78" s="228"/>
      <c r="H78" s="228"/>
      <c r="I78" s="228"/>
      <c r="J78" s="228"/>
      <c r="K78" s="227"/>
      <c r="L78" s="228"/>
      <c r="M78" s="228"/>
      <c r="N78" s="227">
        <v>-50000</v>
      </c>
    </row>
    <row r="79" spans="1:14" x14ac:dyDescent="0.3">
      <c r="A79" s="72">
        <v>77</v>
      </c>
      <c r="B79" s="227"/>
      <c r="C79" s="227"/>
      <c r="D79" s="228"/>
      <c r="E79" s="228"/>
      <c r="F79" s="228"/>
      <c r="G79" s="228"/>
      <c r="H79" s="228"/>
      <c r="I79" s="228"/>
      <c r="J79" s="228"/>
      <c r="K79" s="227"/>
      <c r="L79" s="228"/>
      <c r="M79" s="228">
        <v>-8000</v>
      </c>
      <c r="N79" s="227">
        <v>-8000</v>
      </c>
    </row>
    <row r="80" spans="1:14" x14ac:dyDescent="0.3">
      <c r="A80" s="72">
        <v>78</v>
      </c>
      <c r="B80" s="227"/>
      <c r="C80" s="227"/>
      <c r="D80" s="228"/>
      <c r="E80" s="228"/>
      <c r="F80" s="228"/>
      <c r="G80" s="228"/>
      <c r="H80" s="228"/>
      <c r="I80" s="228"/>
      <c r="J80" s="228"/>
      <c r="K80" s="227"/>
      <c r="L80" s="228"/>
      <c r="M80" s="228">
        <v>-5500</v>
      </c>
      <c r="N80" s="227">
        <v>-5500</v>
      </c>
    </row>
    <row r="81" spans="1:14" x14ac:dyDescent="0.3">
      <c r="A81" s="72">
        <v>79</v>
      </c>
      <c r="B81" s="227"/>
      <c r="C81" s="227"/>
      <c r="D81" s="228"/>
      <c r="E81" s="228"/>
      <c r="F81" s="228"/>
      <c r="G81" s="228"/>
      <c r="H81" s="228"/>
      <c r="I81" s="228"/>
      <c r="J81" s="228"/>
      <c r="K81" s="227"/>
      <c r="L81" s="228">
        <v>0</v>
      </c>
      <c r="M81" s="228"/>
      <c r="N81" s="227">
        <v>0</v>
      </c>
    </row>
    <row r="82" spans="1:14" x14ac:dyDescent="0.3">
      <c r="A82" s="72">
        <v>80</v>
      </c>
      <c r="B82" s="227"/>
      <c r="C82" s="227"/>
      <c r="D82" s="228"/>
      <c r="E82" s="228"/>
      <c r="F82" s="228"/>
      <c r="G82" s="228"/>
      <c r="H82" s="228"/>
      <c r="I82" s="228"/>
      <c r="J82" s="228"/>
      <c r="K82" s="227"/>
      <c r="L82" s="228"/>
      <c r="M82" s="228">
        <v>-1000</v>
      </c>
      <c r="N82" s="227">
        <v>-1000</v>
      </c>
    </row>
    <row r="83" spans="1:14" x14ac:dyDescent="0.3">
      <c r="A83" s="72">
        <v>81</v>
      </c>
      <c r="B83" s="227"/>
      <c r="C83" s="227"/>
      <c r="D83" s="228"/>
      <c r="E83" s="228"/>
      <c r="F83" s="228"/>
      <c r="G83" s="228"/>
      <c r="H83" s="228"/>
      <c r="I83" s="228"/>
      <c r="J83" s="228"/>
      <c r="K83" s="227"/>
      <c r="L83" s="228"/>
      <c r="M83" s="228">
        <v>-300</v>
      </c>
      <c r="N83" s="227">
        <v>-300</v>
      </c>
    </row>
    <row r="84" spans="1:14" x14ac:dyDescent="0.3">
      <c r="A84" s="72">
        <v>82</v>
      </c>
      <c r="B84" s="227"/>
      <c r="C84" s="227"/>
      <c r="D84" s="228"/>
      <c r="E84" s="228"/>
      <c r="F84" s="228"/>
      <c r="G84" s="228"/>
      <c r="H84" s="228"/>
      <c r="I84" s="228"/>
      <c r="J84" s="228"/>
      <c r="K84" s="227"/>
      <c r="L84" s="228"/>
      <c r="M84" s="228">
        <v>-100</v>
      </c>
      <c r="N84" s="227">
        <v>-100</v>
      </c>
    </row>
    <row r="85" spans="1:14" x14ac:dyDescent="0.3">
      <c r="A85" s="72">
        <v>83</v>
      </c>
      <c r="B85" s="227"/>
      <c r="C85" s="227"/>
      <c r="D85" s="228"/>
      <c r="E85" s="228"/>
      <c r="F85" s="228"/>
      <c r="G85" s="228"/>
      <c r="H85" s="228"/>
      <c r="I85" s="228"/>
      <c r="J85" s="228"/>
      <c r="K85" s="227"/>
      <c r="L85" s="228"/>
      <c r="M85" s="228">
        <v>-300</v>
      </c>
      <c r="N85" s="227">
        <v>-300</v>
      </c>
    </row>
    <row r="86" spans="1:14" x14ac:dyDescent="0.3">
      <c r="A86" s="72">
        <v>84</v>
      </c>
      <c r="B86" s="227"/>
      <c r="C86" s="227"/>
      <c r="D86" s="228"/>
      <c r="E86" s="228"/>
      <c r="F86" s="228"/>
      <c r="G86" s="228"/>
      <c r="H86" s="228"/>
      <c r="I86" s="228"/>
      <c r="J86" s="228"/>
      <c r="K86" s="227"/>
      <c r="L86" s="228"/>
      <c r="M86" s="228">
        <v>-5000</v>
      </c>
      <c r="N86" s="227">
        <v>-5000</v>
      </c>
    </row>
    <row r="87" spans="1:14" x14ac:dyDescent="0.3">
      <c r="A87" s="72">
        <v>85</v>
      </c>
      <c r="B87" s="227"/>
      <c r="C87" s="227"/>
      <c r="D87" s="228"/>
      <c r="E87" s="228"/>
      <c r="F87" s="228"/>
      <c r="G87" s="228"/>
      <c r="H87" s="228"/>
      <c r="I87" s="228"/>
      <c r="J87" s="228"/>
      <c r="K87" s="227"/>
      <c r="L87" s="228"/>
      <c r="M87" s="228">
        <v>-5500</v>
      </c>
      <c r="N87" s="227">
        <v>-5500</v>
      </c>
    </row>
    <row r="88" spans="1:14" x14ac:dyDescent="0.3">
      <c r="A88" s="72">
        <v>86</v>
      </c>
      <c r="B88" s="227"/>
      <c r="C88" s="227"/>
      <c r="D88" s="228"/>
      <c r="E88" s="228"/>
      <c r="F88" s="228"/>
      <c r="G88" s="228"/>
      <c r="H88" s="228"/>
      <c r="I88" s="228"/>
      <c r="J88" s="228"/>
      <c r="K88" s="227"/>
      <c r="L88" s="228"/>
      <c r="M88" s="228">
        <v>-9000</v>
      </c>
      <c r="N88" s="227">
        <v>-9000</v>
      </c>
    </row>
    <row r="89" spans="1:14" x14ac:dyDescent="0.3">
      <c r="A89" s="72">
        <v>87</v>
      </c>
      <c r="B89" s="227"/>
      <c r="C89" s="227"/>
      <c r="D89" s="228"/>
      <c r="E89" s="228"/>
      <c r="F89" s="228"/>
      <c r="G89" s="228"/>
      <c r="H89" s="228"/>
      <c r="I89" s="228"/>
      <c r="J89" s="228"/>
      <c r="K89" s="227"/>
      <c r="L89" s="228"/>
      <c r="M89" s="228">
        <v>-340</v>
      </c>
      <c r="N89" s="227">
        <v>-340</v>
      </c>
    </row>
    <row r="90" spans="1:14" x14ac:dyDescent="0.3">
      <c r="A90" s="72">
        <v>88</v>
      </c>
      <c r="B90" s="227"/>
      <c r="C90" s="227"/>
      <c r="D90" s="228"/>
      <c r="E90" s="228"/>
      <c r="F90" s="228"/>
      <c r="G90" s="228"/>
      <c r="H90" s="228"/>
      <c r="I90" s="228"/>
      <c r="J90" s="228"/>
      <c r="K90" s="227"/>
      <c r="L90" s="228"/>
      <c r="M90" s="228"/>
      <c r="N90" s="227"/>
    </row>
    <row r="91" spans="1:14" x14ac:dyDescent="0.3">
      <c r="A91" s="72">
        <v>89</v>
      </c>
      <c r="B91" s="227"/>
      <c r="C91" s="227"/>
      <c r="D91" s="228"/>
      <c r="E91" s="228"/>
      <c r="F91" s="228"/>
      <c r="G91" s="228"/>
      <c r="H91" s="228"/>
      <c r="I91" s="228"/>
      <c r="J91" s="228"/>
      <c r="K91" s="227"/>
      <c r="L91" s="228"/>
      <c r="M91" s="228"/>
      <c r="N91" s="227"/>
    </row>
    <row r="92" spans="1:14" x14ac:dyDescent="0.3">
      <c r="A92" s="72">
        <v>90</v>
      </c>
      <c r="B92" s="227"/>
      <c r="C92" s="227"/>
      <c r="D92" s="228"/>
      <c r="E92" s="228"/>
      <c r="F92" s="228"/>
      <c r="G92" s="228"/>
      <c r="H92" s="228"/>
      <c r="I92" s="228"/>
      <c r="J92" s="228"/>
      <c r="K92" s="227"/>
      <c r="L92" s="228"/>
      <c r="M92" s="228"/>
      <c r="N92" s="227"/>
    </row>
    <row r="93" spans="1:14" x14ac:dyDescent="0.3">
      <c r="A93" s="72">
        <v>91</v>
      </c>
      <c r="B93" s="227"/>
      <c r="C93" s="227"/>
      <c r="D93" s="228"/>
      <c r="E93" s="228"/>
      <c r="F93" s="228"/>
      <c r="G93" s="228"/>
      <c r="H93" s="228"/>
      <c r="I93" s="228"/>
      <c r="J93" s="228"/>
      <c r="K93" s="227"/>
      <c r="L93" s="228"/>
      <c r="M93" s="228"/>
      <c r="N93" s="227"/>
    </row>
    <row r="94" spans="1:14" x14ac:dyDescent="0.3">
      <c r="A94" s="72">
        <v>92</v>
      </c>
      <c r="B94" s="227"/>
      <c r="C94" s="227"/>
      <c r="D94" s="228"/>
      <c r="E94" s="228"/>
      <c r="F94" s="228"/>
      <c r="G94" s="228"/>
      <c r="H94" s="228"/>
      <c r="I94" s="228"/>
      <c r="J94" s="228"/>
      <c r="K94" s="227"/>
      <c r="L94" s="228"/>
      <c r="M94" s="228"/>
      <c r="N94" s="227"/>
    </row>
    <row r="95" spans="1:14" x14ac:dyDescent="0.3">
      <c r="A95" s="72">
        <v>93</v>
      </c>
      <c r="B95" s="227"/>
      <c r="C95" s="227"/>
      <c r="D95" s="228"/>
      <c r="E95" s="228"/>
      <c r="F95" s="228"/>
      <c r="G95" s="228"/>
      <c r="H95" s="228"/>
      <c r="I95" s="228"/>
      <c r="J95" s="228"/>
      <c r="K95" s="227"/>
      <c r="L95" s="228"/>
      <c r="M95" s="228"/>
      <c r="N95" s="227"/>
    </row>
    <row r="96" spans="1:14" x14ac:dyDescent="0.3">
      <c r="A96" s="72">
        <v>94</v>
      </c>
      <c r="B96" s="227"/>
      <c r="C96" s="227"/>
      <c r="D96" s="228"/>
      <c r="E96" s="228"/>
      <c r="F96" s="228"/>
      <c r="G96" s="228"/>
      <c r="H96" s="228"/>
      <c r="I96" s="228"/>
      <c r="J96" s="228"/>
      <c r="K96" s="227"/>
      <c r="L96" s="228"/>
      <c r="M96" s="228"/>
      <c r="N96" s="227"/>
    </row>
    <row r="97" spans="1:14" x14ac:dyDescent="0.3">
      <c r="A97" s="72">
        <v>95</v>
      </c>
      <c r="B97" s="227"/>
      <c r="C97" s="227"/>
      <c r="D97" s="228"/>
      <c r="E97" s="228"/>
      <c r="F97" s="228"/>
      <c r="G97" s="228"/>
      <c r="H97" s="228"/>
      <c r="I97" s="228"/>
      <c r="J97" s="228"/>
      <c r="K97" s="227"/>
      <c r="L97" s="228">
        <v>-68600</v>
      </c>
      <c r="M97" s="228"/>
      <c r="N97" s="227">
        <v>-68600</v>
      </c>
    </row>
    <row r="98" spans="1:14" x14ac:dyDescent="0.3">
      <c r="A98" s="113">
        <v>97</v>
      </c>
      <c r="B98" s="227"/>
      <c r="C98" s="227"/>
      <c r="D98" s="228"/>
      <c r="E98" s="228"/>
      <c r="F98" s="228"/>
      <c r="G98" s="228"/>
      <c r="H98" s="228"/>
      <c r="I98" s="228"/>
      <c r="J98" s="228"/>
      <c r="K98" s="227"/>
      <c r="L98" s="228"/>
      <c r="M98" s="228">
        <v>-150</v>
      </c>
      <c r="N98" s="227">
        <v>-150</v>
      </c>
    </row>
    <row r="99" spans="1:14" x14ac:dyDescent="0.3">
      <c r="A99" s="72">
        <v>98</v>
      </c>
      <c r="B99" s="227"/>
      <c r="C99" s="227"/>
      <c r="D99" s="228"/>
      <c r="E99" s="228"/>
      <c r="F99" s="228"/>
      <c r="G99" s="228"/>
      <c r="H99" s="228"/>
      <c r="I99" s="228"/>
      <c r="J99" s="228"/>
      <c r="K99" s="227"/>
      <c r="L99" s="228"/>
      <c r="M99" s="228">
        <v>-100</v>
      </c>
      <c r="N99" s="227">
        <v>-100</v>
      </c>
    </row>
    <row r="100" spans="1:14" x14ac:dyDescent="0.3">
      <c r="A100" s="72">
        <v>99</v>
      </c>
      <c r="B100" s="227"/>
      <c r="C100" s="227"/>
      <c r="D100" s="228"/>
      <c r="E100" s="228"/>
      <c r="F100" s="228"/>
      <c r="G100" s="228"/>
      <c r="H100" s="228"/>
      <c r="I100" s="228"/>
      <c r="J100" s="228"/>
      <c r="K100" s="227"/>
      <c r="L100" s="228"/>
      <c r="M100" s="228">
        <v>-300</v>
      </c>
      <c r="N100" s="227">
        <v>-300</v>
      </c>
    </row>
    <row r="101" spans="1:14" x14ac:dyDescent="0.3">
      <c r="A101" s="72">
        <v>100</v>
      </c>
      <c r="B101" s="227"/>
      <c r="C101" s="227"/>
      <c r="D101" s="228"/>
      <c r="E101" s="228"/>
      <c r="F101" s="228"/>
      <c r="G101" s="228"/>
      <c r="H101" s="228"/>
      <c r="I101" s="228"/>
      <c r="J101" s="228"/>
      <c r="K101" s="227"/>
      <c r="L101" s="228"/>
      <c r="M101" s="228">
        <v>-50</v>
      </c>
      <c r="N101" s="227">
        <v>-50</v>
      </c>
    </row>
    <row r="102" spans="1:14" x14ac:dyDescent="0.3">
      <c r="A102" s="72">
        <v>101</v>
      </c>
      <c r="B102" s="227"/>
      <c r="C102" s="227"/>
      <c r="D102" s="228"/>
      <c r="E102" s="228">
        <v>-50000</v>
      </c>
      <c r="F102" s="228"/>
      <c r="G102" s="228"/>
      <c r="H102" s="228"/>
      <c r="I102" s="228"/>
      <c r="J102" s="228"/>
      <c r="K102" s="227"/>
      <c r="L102" s="228"/>
      <c r="M102" s="228"/>
      <c r="N102" s="227">
        <v>-50000</v>
      </c>
    </row>
    <row r="103" spans="1:14" x14ac:dyDescent="0.3">
      <c r="A103" s="72">
        <v>102</v>
      </c>
      <c r="B103" s="227"/>
      <c r="C103" s="227"/>
      <c r="D103" s="228"/>
      <c r="E103" s="228">
        <v>-50000</v>
      </c>
      <c r="F103" s="228"/>
      <c r="G103" s="228"/>
      <c r="H103" s="228"/>
      <c r="I103" s="228"/>
      <c r="J103" s="228"/>
      <c r="K103" s="227"/>
      <c r="L103" s="228"/>
      <c r="M103" s="228"/>
      <c r="N103" s="227">
        <v>-50000</v>
      </c>
    </row>
    <row r="104" spans="1:14" x14ac:dyDescent="0.3">
      <c r="A104" s="113">
        <v>109</v>
      </c>
      <c r="B104" s="227"/>
      <c r="C104" s="227"/>
      <c r="D104" s="228"/>
      <c r="E104" s="228"/>
      <c r="F104" s="228"/>
      <c r="G104" s="228"/>
      <c r="H104" s="228"/>
      <c r="I104" s="228">
        <v>-48000</v>
      </c>
      <c r="J104" s="228"/>
      <c r="K104" s="227"/>
      <c r="L104" s="228"/>
      <c r="M104" s="228"/>
      <c r="N104" s="227">
        <v>-48000</v>
      </c>
    </row>
    <row r="105" spans="1:14" x14ac:dyDescent="0.3">
      <c r="A105" s="113">
        <v>112</v>
      </c>
      <c r="B105" s="227"/>
      <c r="C105" s="227">
        <v>500000</v>
      </c>
      <c r="D105" s="228"/>
      <c r="E105" s="228"/>
      <c r="F105" s="228"/>
      <c r="G105" s="228"/>
      <c r="H105" s="228"/>
      <c r="I105" s="228"/>
      <c r="J105" s="228"/>
      <c r="K105" s="227"/>
      <c r="L105" s="228"/>
      <c r="M105" s="228"/>
      <c r="N105" s="227">
        <v>500000</v>
      </c>
    </row>
    <row r="106" spans="1:14" x14ac:dyDescent="0.3">
      <c r="A106" s="72">
        <v>113</v>
      </c>
      <c r="B106" s="227"/>
      <c r="C106" s="227"/>
      <c r="D106" s="228"/>
      <c r="E106" s="228"/>
      <c r="F106" s="228">
        <v>-100000</v>
      </c>
      <c r="G106" s="228"/>
      <c r="H106" s="228"/>
      <c r="I106" s="228"/>
      <c r="J106" s="228"/>
      <c r="K106" s="227"/>
      <c r="L106" s="228"/>
      <c r="M106" s="228"/>
      <c r="N106" s="227">
        <v>-100000</v>
      </c>
    </row>
    <row r="107" spans="1:14" x14ac:dyDescent="0.3">
      <c r="A107" s="72">
        <v>114</v>
      </c>
      <c r="B107" s="227"/>
      <c r="C107" s="227"/>
      <c r="D107" s="228"/>
      <c r="E107" s="228">
        <v>-25000</v>
      </c>
      <c r="F107" s="228"/>
      <c r="G107" s="228"/>
      <c r="H107" s="228"/>
      <c r="I107" s="228"/>
      <c r="J107" s="228"/>
      <c r="K107" s="227"/>
      <c r="L107" s="228"/>
      <c r="M107" s="228"/>
      <c r="N107" s="227">
        <v>-25000</v>
      </c>
    </row>
    <row r="108" spans="1:14" x14ac:dyDescent="0.3">
      <c r="A108" s="72">
        <v>115</v>
      </c>
      <c r="B108" s="227"/>
      <c r="C108" s="227"/>
      <c r="D108" s="228"/>
      <c r="E108" s="228"/>
      <c r="F108" s="228">
        <v>-50000</v>
      </c>
      <c r="G108" s="228"/>
      <c r="H108" s="228"/>
      <c r="I108" s="228"/>
      <c r="J108" s="228"/>
      <c r="K108" s="227"/>
      <c r="L108" s="228"/>
      <c r="M108" s="228"/>
      <c r="N108" s="227">
        <v>-50000</v>
      </c>
    </row>
    <row r="109" spans="1:14" x14ac:dyDescent="0.3">
      <c r="A109" s="72">
        <v>116</v>
      </c>
      <c r="B109" s="227"/>
      <c r="C109" s="227"/>
      <c r="D109" s="228">
        <v>-30000</v>
      </c>
      <c r="E109" s="228"/>
      <c r="F109" s="228"/>
      <c r="G109" s="228"/>
      <c r="H109" s="228"/>
      <c r="I109" s="228"/>
      <c r="J109" s="228"/>
      <c r="K109" s="227"/>
      <c r="L109" s="228"/>
      <c r="M109" s="228"/>
      <c r="N109" s="227">
        <v>-30000</v>
      </c>
    </row>
    <row r="110" spans="1:14" x14ac:dyDescent="0.3">
      <c r="A110" s="113">
        <v>118</v>
      </c>
      <c r="B110" s="227"/>
      <c r="C110" s="227"/>
      <c r="D110" s="228"/>
      <c r="E110" s="228"/>
      <c r="F110" s="228"/>
      <c r="G110" s="228"/>
      <c r="H110" s="228"/>
      <c r="I110" s="228"/>
      <c r="J110" s="228"/>
      <c r="K110" s="227"/>
      <c r="L110" s="228">
        <v>0</v>
      </c>
      <c r="M110" s="228"/>
      <c r="N110" s="227">
        <v>0</v>
      </c>
    </row>
    <row r="111" spans="1:14" x14ac:dyDescent="0.3">
      <c r="A111" s="72">
        <v>119</v>
      </c>
      <c r="B111" s="227"/>
      <c r="C111" s="227"/>
      <c r="D111" s="228"/>
      <c r="E111" s="228"/>
      <c r="F111" s="228"/>
      <c r="G111" s="228"/>
      <c r="H111" s="228"/>
      <c r="I111" s="228"/>
      <c r="J111" s="228"/>
      <c r="K111" s="227"/>
      <c r="L111" s="228">
        <v>0</v>
      </c>
      <c r="M111" s="228"/>
      <c r="N111" s="227">
        <v>0</v>
      </c>
    </row>
    <row r="112" spans="1:14" x14ac:dyDescent="0.3">
      <c r="A112" s="72">
        <v>120</v>
      </c>
      <c r="B112" s="227"/>
      <c r="C112" s="227"/>
      <c r="D112" s="228"/>
      <c r="E112" s="228"/>
      <c r="F112" s="228"/>
      <c r="G112" s="228"/>
      <c r="H112" s="228"/>
      <c r="I112" s="228"/>
      <c r="J112" s="228"/>
      <c r="K112" s="227"/>
      <c r="L112" s="228">
        <v>0</v>
      </c>
      <c r="M112" s="228"/>
      <c r="N112" s="227">
        <v>0</v>
      </c>
    </row>
    <row r="113" spans="1:14" x14ac:dyDescent="0.3">
      <c r="A113" s="72">
        <v>121</v>
      </c>
      <c r="B113" s="227"/>
      <c r="C113" s="227"/>
      <c r="D113" s="228"/>
      <c r="E113" s="228"/>
      <c r="F113" s="228"/>
      <c r="G113" s="228"/>
      <c r="H113" s="228"/>
      <c r="I113" s="228"/>
      <c r="J113" s="228"/>
      <c r="K113" s="227"/>
      <c r="L113" s="228">
        <v>0</v>
      </c>
      <c r="M113" s="228"/>
      <c r="N113" s="227">
        <v>0</v>
      </c>
    </row>
    <row r="114" spans="1:14" x14ac:dyDescent="0.3">
      <c r="A114" s="72">
        <v>122</v>
      </c>
      <c r="B114" s="227"/>
      <c r="C114" s="227"/>
      <c r="D114" s="228"/>
      <c r="E114" s="228"/>
      <c r="F114" s="228"/>
      <c r="G114" s="228"/>
      <c r="H114" s="228"/>
      <c r="I114" s="228"/>
      <c r="J114" s="228"/>
      <c r="K114" s="227"/>
      <c r="L114" s="228">
        <v>0</v>
      </c>
      <c r="M114" s="228"/>
      <c r="N114" s="227">
        <v>0</v>
      </c>
    </row>
    <row r="115" spans="1:14" x14ac:dyDescent="0.3">
      <c r="A115" s="72">
        <v>123</v>
      </c>
      <c r="B115" s="227"/>
      <c r="C115" s="227"/>
      <c r="D115" s="228"/>
      <c r="E115" s="228"/>
      <c r="F115" s="228"/>
      <c r="G115" s="228"/>
      <c r="H115" s="228"/>
      <c r="I115" s="228"/>
      <c r="J115" s="228"/>
      <c r="K115" s="227"/>
      <c r="L115" s="228">
        <v>0</v>
      </c>
      <c r="M115" s="228"/>
      <c r="N115" s="227">
        <v>0</v>
      </c>
    </row>
    <row r="116" spans="1:14" x14ac:dyDescent="0.3">
      <c r="A116" s="72">
        <v>124</v>
      </c>
      <c r="B116" s="227"/>
      <c r="C116" s="227"/>
      <c r="D116" s="228"/>
      <c r="E116" s="228"/>
      <c r="F116" s="228"/>
      <c r="G116" s="228"/>
      <c r="H116" s="228"/>
      <c r="I116" s="228"/>
      <c r="J116" s="228"/>
      <c r="K116" s="227"/>
      <c r="L116" s="228">
        <v>0</v>
      </c>
      <c r="M116" s="228"/>
      <c r="N116" s="227">
        <v>0</v>
      </c>
    </row>
    <row r="117" spans="1:14" x14ac:dyDescent="0.3">
      <c r="A117" s="72">
        <v>125</v>
      </c>
      <c r="B117" s="227"/>
      <c r="C117" s="227"/>
      <c r="D117" s="228"/>
      <c r="E117" s="228"/>
      <c r="F117" s="228"/>
      <c r="G117" s="228"/>
      <c r="H117" s="228"/>
      <c r="I117" s="228"/>
      <c r="J117" s="228"/>
      <c r="K117" s="227"/>
      <c r="L117" s="228">
        <v>0</v>
      </c>
      <c r="M117" s="228"/>
      <c r="N117" s="227">
        <v>0</v>
      </c>
    </row>
    <row r="118" spans="1:14" x14ac:dyDescent="0.3">
      <c r="A118" s="72">
        <v>126</v>
      </c>
      <c r="B118" s="227"/>
      <c r="C118" s="227"/>
      <c r="D118" s="228"/>
      <c r="E118" s="228"/>
      <c r="F118" s="228"/>
      <c r="G118" s="228"/>
      <c r="H118" s="228"/>
      <c r="I118" s="228"/>
      <c r="J118" s="228"/>
      <c r="K118" s="227"/>
      <c r="L118" s="228">
        <v>0</v>
      </c>
      <c r="M118" s="228"/>
      <c r="N118" s="227">
        <v>0</v>
      </c>
    </row>
    <row r="119" spans="1:14" x14ac:dyDescent="0.3">
      <c r="A119" s="72">
        <v>127</v>
      </c>
      <c r="B119" s="227"/>
      <c r="C119" s="227"/>
      <c r="D119" s="228"/>
      <c r="E119" s="228"/>
      <c r="F119" s="228"/>
      <c r="G119" s="228"/>
      <c r="H119" s="228"/>
      <c r="I119" s="228"/>
      <c r="J119" s="228"/>
      <c r="K119" s="227"/>
      <c r="L119" s="228">
        <v>0</v>
      </c>
      <c r="M119" s="228"/>
      <c r="N119" s="227">
        <v>0</v>
      </c>
    </row>
    <row r="120" spans="1:14" x14ac:dyDescent="0.3">
      <c r="A120" s="72">
        <v>128</v>
      </c>
      <c r="B120" s="227"/>
      <c r="C120" s="227"/>
      <c r="D120" s="228"/>
      <c r="E120" s="228"/>
      <c r="F120" s="228"/>
      <c r="G120" s="228"/>
      <c r="H120" s="228"/>
      <c r="I120" s="228"/>
      <c r="J120" s="228"/>
      <c r="K120" s="227"/>
      <c r="L120" s="228">
        <v>0</v>
      </c>
      <c r="M120" s="228"/>
      <c r="N120" s="227">
        <v>0</v>
      </c>
    </row>
    <row r="121" spans="1:14" x14ac:dyDescent="0.3">
      <c r="A121" s="72">
        <v>129</v>
      </c>
      <c r="B121" s="227"/>
      <c r="C121" s="227"/>
      <c r="D121" s="228"/>
      <c r="E121" s="228"/>
      <c r="F121" s="228"/>
      <c r="G121" s="228"/>
      <c r="H121" s="228"/>
      <c r="I121" s="228"/>
      <c r="J121" s="228"/>
      <c r="K121" s="227"/>
      <c r="L121" s="228">
        <v>0</v>
      </c>
      <c r="M121" s="228"/>
      <c r="N121" s="227">
        <v>0</v>
      </c>
    </row>
    <row r="122" spans="1:14" x14ac:dyDescent="0.3">
      <c r="A122" s="72">
        <v>130</v>
      </c>
      <c r="B122" s="227"/>
      <c r="C122" s="227"/>
      <c r="D122" s="228"/>
      <c r="E122" s="228"/>
      <c r="F122" s="228"/>
      <c r="G122" s="228"/>
      <c r="H122" s="228"/>
      <c r="I122" s="228"/>
      <c r="J122" s="228"/>
      <c r="K122" s="227"/>
      <c r="L122" s="228">
        <v>-51350</v>
      </c>
      <c r="M122" s="228"/>
      <c r="N122" s="227">
        <v>-51350</v>
      </c>
    </row>
    <row r="123" spans="1:14" x14ac:dyDescent="0.3">
      <c r="A123" s="72">
        <v>131</v>
      </c>
      <c r="B123" s="227"/>
      <c r="C123" s="227"/>
      <c r="D123" s="228"/>
      <c r="E123" s="228">
        <v>-10800</v>
      </c>
      <c r="F123" s="228"/>
      <c r="G123" s="228"/>
      <c r="H123" s="228"/>
      <c r="I123" s="228"/>
      <c r="J123" s="228"/>
      <c r="K123" s="227"/>
      <c r="L123" s="228"/>
      <c r="M123" s="228"/>
      <c r="N123" s="227">
        <v>-10800</v>
      </c>
    </row>
    <row r="124" spans="1:14" x14ac:dyDescent="0.3">
      <c r="A124" s="72">
        <v>132</v>
      </c>
      <c r="B124" s="227"/>
      <c r="C124" s="227"/>
      <c r="D124" s="228"/>
      <c r="E124" s="228"/>
      <c r="F124" s="228"/>
      <c r="G124" s="228"/>
      <c r="H124" s="228"/>
      <c r="I124" s="228">
        <v>-26000</v>
      </c>
      <c r="J124" s="228"/>
      <c r="K124" s="227"/>
      <c r="L124" s="228"/>
      <c r="M124" s="228"/>
      <c r="N124" s="227">
        <v>-26000</v>
      </c>
    </row>
    <row r="125" spans="1:14" x14ac:dyDescent="0.3">
      <c r="A125" s="72">
        <v>133</v>
      </c>
      <c r="B125" s="227"/>
      <c r="C125" s="227"/>
      <c r="D125" s="228"/>
      <c r="E125" s="228"/>
      <c r="F125" s="228"/>
      <c r="G125" s="228"/>
      <c r="H125" s="228"/>
      <c r="I125" s="228"/>
      <c r="J125" s="228"/>
      <c r="K125" s="227"/>
      <c r="L125" s="228">
        <v>0</v>
      </c>
      <c r="M125" s="228"/>
      <c r="N125" s="227">
        <v>0</v>
      </c>
    </row>
    <row r="126" spans="1:14" x14ac:dyDescent="0.3">
      <c r="A126" s="72">
        <v>134</v>
      </c>
      <c r="B126" s="227"/>
      <c r="C126" s="227"/>
      <c r="D126" s="228"/>
      <c r="E126" s="228"/>
      <c r="F126" s="228"/>
      <c r="G126" s="228"/>
      <c r="H126" s="228"/>
      <c r="I126" s="228"/>
      <c r="J126" s="228"/>
      <c r="K126" s="227"/>
      <c r="L126" s="228">
        <v>0</v>
      </c>
      <c r="M126" s="228"/>
      <c r="N126" s="227">
        <v>0</v>
      </c>
    </row>
    <row r="127" spans="1:14" x14ac:dyDescent="0.3">
      <c r="A127" s="113">
        <v>136</v>
      </c>
      <c r="B127" s="227"/>
      <c r="C127" s="227"/>
      <c r="D127" s="228"/>
      <c r="E127" s="228"/>
      <c r="F127" s="228">
        <v>-10000</v>
      </c>
      <c r="G127" s="228"/>
      <c r="H127" s="228"/>
      <c r="I127" s="228"/>
      <c r="J127" s="228"/>
      <c r="K127" s="227"/>
      <c r="L127" s="228"/>
      <c r="M127" s="228"/>
      <c r="N127" s="227">
        <v>-10000</v>
      </c>
    </row>
    <row r="128" spans="1:14" x14ac:dyDescent="0.3">
      <c r="A128" s="72">
        <v>137</v>
      </c>
      <c r="B128" s="227"/>
      <c r="C128" s="227"/>
      <c r="D128" s="228"/>
      <c r="E128" s="228"/>
      <c r="F128" s="228">
        <v>-50000</v>
      </c>
      <c r="G128" s="228"/>
      <c r="H128" s="228"/>
      <c r="I128" s="228"/>
      <c r="J128" s="228"/>
      <c r="K128" s="227"/>
      <c r="L128" s="228"/>
      <c r="M128" s="228"/>
      <c r="N128" s="227">
        <v>-50000</v>
      </c>
    </row>
    <row r="129" spans="1:14" x14ac:dyDescent="0.3">
      <c r="A129" s="72">
        <v>138</v>
      </c>
      <c r="B129" s="227"/>
      <c r="C129" s="227"/>
      <c r="D129" s="228"/>
      <c r="E129" s="228"/>
      <c r="F129" s="228"/>
      <c r="G129" s="228"/>
      <c r="H129" s="228"/>
      <c r="I129" s="228">
        <v>-25000</v>
      </c>
      <c r="J129" s="228"/>
      <c r="K129" s="227"/>
      <c r="L129" s="228"/>
      <c r="M129" s="228"/>
      <c r="N129" s="227">
        <v>-25000</v>
      </c>
    </row>
    <row r="130" spans="1:14" x14ac:dyDescent="0.3">
      <c r="A130" s="72">
        <v>139</v>
      </c>
      <c r="B130" s="227"/>
      <c r="C130" s="227">
        <v>300000</v>
      </c>
      <c r="D130" s="228"/>
      <c r="E130" s="228"/>
      <c r="F130" s="228"/>
      <c r="G130" s="228"/>
      <c r="H130" s="228"/>
      <c r="I130" s="228"/>
      <c r="J130" s="228"/>
      <c r="K130" s="227"/>
      <c r="L130" s="228"/>
      <c r="M130" s="228"/>
      <c r="N130" s="227">
        <v>300000</v>
      </c>
    </row>
    <row r="131" spans="1:14" x14ac:dyDescent="0.3">
      <c r="A131" s="72">
        <v>140</v>
      </c>
      <c r="B131" s="227"/>
      <c r="C131" s="227"/>
      <c r="D131" s="228"/>
      <c r="E131" s="228"/>
      <c r="F131" s="228">
        <v>-25000</v>
      </c>
      <c r="G131" s="228"/>
      <c r="H131" s="228"/>
      <c r="I131" s="228"/>
      <c r="J131" s="228"/>
      <c r="K131" s="227"/>
      <c r="L131" s="228"/>
      <c r="M131" s="228"/>
      <c r="N131" s="227">
        <v>-25000</v>
      </c>
    </row>
    <row r="132" spans="1:14" x14ac:dyDescent="0.3">
      <c r="A132" s="72">
        <v>141</v>
      </c>
      <c r="B132" s="227"/>
      <c r="C132" s="227"/>
      <c r="D132" s="228"/>
      <c r="E132" s="228"/>
      <c r="F132" s="228"/>
      <c r="G132" s="228"/>
      <c r="H132" s="228"/>
      <c r="I132" s="228"/>
      <c r="J132" s="228">
        <v>-10000</v>
      </c>
      <c r="K132" s="227"/>
      <c r="L132" s="228"/>
      <c r="M132" s="228"/>
      <c r="N132" s="227">
        <v>-10000</v>
      </c>
    </row>
    <row r="133" spans="1:14" x14ac:dyDescent="0.3">
      <c r="A133" s="72">
        <v>142</v>
      </c>
      <c r="B133" s="227"/>
      <c r="C133" s="227"/>
      <c r="D133" s="228"/>
      <c r="E133" s="228"/>
      <c r="F133" s="228">
        <v>-25000</v>
      </c>
      <c r="G133" s="228"/>
      <c r="H133" s="228"/>
      <c r="I133" s="228"/>
      <c r="J133" s="228"/>
      <c r="K133" s="227"/>
      <c r="L133" s="228"/>
      <c r="M133" s="228"/>
      <c r="N133" s="227">
        <v>-25000</v>
      </c>
    </row>
    <row r="134" spans="1:14" x14ac:dyDescent="0.3">
      <c r="A134" s="113">
        <v>144</v>
      </c>
      <c r="B134" s="227"/>
      <c r="C134" s="227"/>
      <c r="D134" s="228"/>
      <c r="E134" s="228"/>
      <c r="F134" s="228"/>
      <c r="G134" s="228"/>
      <c r="H134" s="228"/>
      <c r="I134" s="228"/>
      <c r="J134" s="228"/>
      <c r="K134" s="227"/>
      <c r="L134" s="228">
        <v>0</v>
      </c>
      <c r="M134" s="228"/>
      <c r="N134" s="227">
        <v>0</v>
      </c>
    </row>
    <row r="135" spans="1:14" x14ac:dyDescent="0.3">
      <c r="A135" s="72">
        <v>145</v>
      </c>
      <c r="B135" s="227"/>
      <c r="C135" s="227"/>
      <c r="D135" s="228"/>
      <c r="E135" s="228"/>
      <c r="F135" s="228"/>
      <c r="G135" s="228"/>
      <c r="H135" s="228"/>
      <c r="I135" s="228"/>
      <c r="J135" s="228"/>
      <c r="K135" s="227"/>
      <c r="L135" s="228">
        <v>0</v>
      </c>
      <c r="M135" s="228"/>
      <c r="N135" s="227">
        <v>0</v>
      </c>
    </row>
    <row r="136" spans="1:14" x14ac:dyDescent="0.3">
      <c r="A136" s="72">
        <v>146</v>
      </c>
      <c r="B136" s="227"/>
      <c r="C136" s="227"/>
      <c r="D136" s="228"/>
      <c r="E136" s="228"/>
      <c r="F136" s="228"/>
      <c r="G136" s="228"/>
      <c r="H136" s="228"/>
      <c r="I136" s="228"/>
      <c r="J136" s="228"/>
      <c r="K136" s="227"/>
      <c r="L136" s="228">
        <v>0</v>
      </c>
      <c r="M136" s="228"/>
      <c r="N136" s="227">
        <v>0</v>
      </c>
    </row>
    <row r="137" spans="1:14" x14ac:dyDescent="0.3">
      <c r="A137" s="72">
        <v>147</v>
      </c>
      <c r="B137" s="227"/>
      <c r="C137" s="227"/>
      <c r="D137" s="228"/>
      <c r="E137" s="228"/>
      <c r="F137" s="228"/>
      <c r="G137" s="228"/>
      <c r="H137" s="228"/>
      <c r="I137" s="228"/>
      <c r="J137" s="228"/>
      <c r="K137" s="227"/>
      <c r="L137" s="228">
        <v>0</v>
      </c>
      <c r="M137" s="228"/>
      <c r="N137" s="227">
        <v>0</v>
      </c>
    </row>
    <row r="138" spans="1:14" x14ac:dyDescent="0.3">
      <c r="A138" s="72">
        <v>148</v>
      </c>
      <c r="B138" s="227"/>
      <c r="C138" s="227"/>
      <c r="D138" s="228"/>
      <c r="E138" s="228"/>
      <c r="F138" s="228"/>
      <c r="G138" s="228"/>
      <c r="H138" s="228"/>
      <c r="I138" s="228"/>
      <c r="J138" s="228"/>
      <c r="K138" s="227"/>
      <c r="L138" s="228">
        <v>0</v>
      </c>
      <c r="M138" s="228"/>
      <c r="N138" s="227">
        <v>0</v>
      </c>
    </row>
    <row r="139" spans="1:14" x14ac:dyDescent="0.3">
      <c r="A139" s="72">
        <v>149</v>
      </c>
      <c r="B139" s="227"/>
      <c r="C139" s="227"/>
      <c r="D139" s="228"/>
      <c r="E139" s="228"/>
      <c r="F139" s="228"/>
      <c r="G139" s="228"/>
      <c r="H139" s="228"/>
      <c r="I139" s="228"/>
      <c r="J139" s="228"/>
      <c r="K139" s="227"/>
      <c r="L139" s="228">
        <v>0</v>
      </c>
      <c r="M139" s="228"/>
      <c r="N139" s="227">
        <v>0</v>
      </c>
    </row>
    <row r="140" spans="1:14" x14ac:dyDescent="0.3">
      <c r="A140" s="72">
        <v>150</v>
      </c>
      <c r="B140" s="227"/>
      <c r="C140" s="227"/>
      <c r="D140" s="228"/>
      <c r="E140" s="228"/>
      <c r="F140" s="228"/>
      <c r="G140" s="228"/>
      <c r="H140" s="228"/>
      <c r="I140" s="228"/>
      <c r="J140" s="228"/>
      <c r="K140" s="227"/>
      <c r="L140" s="228">
        <v>-31262</v>
      </c>
      <c r="M140" s="228"/>
      <c r="N140" s="227">
        <v>-31262</v>
      </c>
    </row>
    <row r="141" spans="1:14" x14ac:dyDescent="0.3">
      <c r="A141" s="113">
        <v>153</v>
      </c>
      <c r="B141" s="227"/>
      <c r="C141" s="227"/>
      <c r="D141" s="228"/>
      <c r="E141" s="228"/>
      <c r="F141" s="228"/>
      <c r="G141" s="228"/>
      <c r="H141" s="228"/>
      <c r="I141" s="228"/>
      <c r="J141" s="228"/>
      <c r="K141" s="227"/>
      <c r="L141" s="228">
        <v>0</v>
      </c>
      <c r="M141" s="228"/>
      <c r="N141" s="227">
        <v>0</v>
      </c>
    </row>
    <row r="142" spans="1:14" x14ac:dyDescent="0.3">
      <c r="A142" s="72">
        <v>154</v>
      </c>
      <c r="B142" s="227"/>
      <c r="C142" s="227"/>
      <c r="D142" s="228"/>
      <c r="E142" s="228"/>
      <c r="F142" s="228">
        <v>-10000</v>
      </c>
      <c r="G142" s="228"/>
      <c r="H142" s="228"/>
      <c r="I142" s="228"/>
      <c r="J142" s="228"/>
      <c r="K142" s="227"/>
      <c r="L142" s="228"/>
      <c r="M142" s="228"/>
      <c r="N142" s="227">
        <v>-10000</v>
      </c>
    </row>
    <row r="143" spans="1:14" x14ac:dyDescent="0.3">
      <c r="A143" s="113">
        <v>156</v>
      </c>
      <c r="B143" s="227"/>
      <c r="C143" s="227"/>
      <c r="D143" s="228"/>
      <c r="E143" s="228"/>
      <c r="F143" s="228"/>
      <c r="G143" s="228"/>
      <c r="H143" s="228"/>
      <c r="I143" s="228"/>
      <c r="J143" s="228"/>
      <c r="K143" s="227"/>
      <c r="L143" s="228">
        <v>0</v>
      </c>
      <c r="M143" s="228"/>
      <c r="N143" s="227">
        <v>0</v>
      </c>
    </row>
    <row r="144" spans="1:14" x14ac:dyDescent="0.3">
      <c r="A144" s="72">
        <v>157</v>
      </c>
      <c r="B144" s="227"/>
      <c r="C144" s="227">
        <v>400000</v>
      </c>
      <c r="D144" s="228"/>
      <c r="E144" s="228"/>
      <c r="F144" s="228"/>
      <c r="G144" s="228"/>
      <c r="H144" s="228"/>
      <c r="I144" s="228"/>
      <c r="J144" s="228"/>
      <c r="K144" s="227"/>
      <c r="L144" s="228"/>
      <c r="M144" s="228"/>
      <c r="N144" s="227">
        <v>400000</v>
      </c>
    </row>
    <row r="145" spans="1:14" x14ac:dyDescent="0.3">
      <c r="A145" s="113">
        <v>163</v>
      </c>
      <c r="B145" s="227"/>
      <c r="C145" s="227"/>
      <c r="D145" s="228"/>
      <c r="E145" s="228"/>
      <c r="F145" s="228"/>
      <c r="G145" s="228"/>
      <c r="H145" s="228"/>
      <c r="I145" s="228"/>
      <c r="J145" s="228"/>
      <c r="K145" s="227"/>
      <c r="L145" s="228">
        <v>0</v>
      </c>
      <c r="M145" s="228"/>
      <c r="N145" s="227">
        <v>0</v>
      </c>
    </row>
    <row r="146" spans="1:14" x14ac:dyDescent="0.3">
      <c r="A146" s="113">
        <v>171</v>
      </c>
      <c r="B146" s="227"/>
      <c r="C146" s="227"/>
      <c r="D146" s="228"/>
      <c r="E146" s="228"/>
      <c r="F146" s="228"/>
      <c r="G146" s="228"/>
      <c r="H146" s="228"/>
      <c r="I146" s="228"/>
      <c r="J146" s="228"/>
      <c r="K146" s="227"/>
      <c r="L146" s="228"/>
      <c r="M146" s="228">
        <v>-500</v>
      </c>
      <c r="N146" s="227">
        <v>-500</v>
      </c>
    </row>
    <row r="147" spans="1:14" x14ac:dyDescent="0.3">
      <c r="A147" s="72">
        <v>172</v>
      </c>
      <c r="B147" s="227"/>
      <c r="C147" s="227"/>
      <c r="D147" s="228"/>
      <c r="E147" s="228"/>
      <c r="F147" s="228"/>
      <c r="G147" s="228"/>
      <c r="H147" s="228"/>
      <c r="I147" s="228"/>
      <c r="J147" s="228"/>
      <c r="K147" s="227"/>
      <c r="L147" s="228"/>
      <c r="M147" s="228">
        <v>-100</v>
      </c>
      <c r="N147" s="227">
        <v>-100</v>
      </c>
    </row>
    <row r="148" spans="1:14" x14ac:dyDescent="0.3">
      <c r="A148" s="72">
        <v>173</v>
      </c>
      <c r="B148" s="227"/>
      <c r="C148" s="227"/>
      <c r="D148" s="228"/>
      <c r="E148" s="228"/>
      <c r="F148" s="228"/>
      <c r="G148" s="228"/>
      <c r="H148" s="228"/>
      <c r="I148" s="228"/>
      <c r="J148" s="228"/>
      <c r="K148" s="227"/>
      <c r="L148" s="228"/>
      <c r="M148" s="228">
        <v>-60</v>
      </c>
      <c r="N148" s="227">
        <v>-60</v>
      </c>
    </row>
    <row r="149" spans="1:14" x14ac:dyDescent="0.3">
      <c r="A149" s="72">
        <v>174</v>
      </c>
      <c r="B149" s="227"/>
      <c r="C149" s="227"/>
      <c r="D149" s="228"/>
      <c r="E149" s="228"/>
      <c r="F149" s="228"/>
      <c r="G149" s="228"/>
      <c r="H149" s="228"/>
      <c r="I149" s="228"/>
      <c r="J149" s="228"/>
      <c r="K149" s="227"/>
      <c r="L149" s="228"/>
      <c r="M149" s="228">
        <v>-5000</v>
      </c>
      <c r="N149" s="227">
        <v>-5000</v>
      </c>
    </row>
    <row r="150" spans="1:14" x14ac:dyDescent="0.3">
      <c r="A150" s="72">
        <v>175</v>
      </c>
      <c r="B150" s="227"/>
      <c r="C150" s="227"/>
      <c r="D150" s="228"/>
      <c r="E150" s="228"/>
      <c r="F150" s="228"/>
      <c r="G150" s="228"/>
      <c r="H150" s="228"/>
      <c r="I150" s="228"/>
      <c r="J150" s="228"/>
      <c r="K150" s="227"/>
      <c r="L150" s="228"/>
      <c r="M150" s="228">
        <v>-3200</v>
      </c>
      <c r="N150" s="227">
        <v>-3200</v>
      </c>
    </row>
    <row r="151" spans="1:14" x14ac:dyDescent="0.3">
      <c r="A151" s="72">
        <v>176</v>
      </c>
      <c r="B151" s="227"/>
      <c r="C151" s="227"/>
      <c r="D151" s="228"/>
      <c r="E151" s="228"/>
      <c r="F151" s="228"/>
      <c r="G151" s="228"/>
      <c r="H151" s="228"/>
      <c r="I151" s="228"/>
      <c r="J151" s="228"/>
      <c r="K151" s="227"/>
      <c r="L151" s="228"/>
      <c r="M151" s="228">
        <v>-200</v>
      </c>
      <c r="N151" s="227">
        <v>-200</v>
      </c>
    </row>
    <row r="152" spans="1:14" x14ac:dyDescent="0.3">
      <c r="A152" s="72">
        <v>177</v>
      </c>
      <c r="B152" s="227"/>
      <c r="C152" s="227"/>
      <c r="D152" s="228"/>
      <c r="E152" s="228"/>
      <c r="F152" s="228"/>
      <c r="G152" s="228"/>
      <c r="H152" s="228"/>
      <c r="I152" s="228"/>
      <c r="J152" s="228"/>
      <c r="K152" s="227"/>
      <c r="L152" s="228"/>
      <c r="M152" s="228">
        <v>-1500</v>
      </c>
      <c r="N152" s="227">
        <v>-1500</v>
      </c>
    </row>
    <row r="153" spans="1:14" x14ac:dyDescent="0.3">
      <c r="A153" s="72">
        <v>178</v>
      </c>
      <c r="B153" s="227"/>
      <c r="C153" s="227"/>
      <c r="D153" s="228"/>
      <c r="E153" s="228"/>
      <c r="F153" s="228"/>
      <c r="G153" s="228"/>
      <c r="H153" s="228"/>
      <c r="I153" s="228"/>
      <c r="J153" s="228"/>
      <c r="K153" s="227"/>
      <c r="L153" s="228">
        <v>0</v>
      </c>
      <c r="M153" s="228"/>
      <c r="N153" s="227">
        <v>0</v>
      </c>
    </row>
    <row r="154" spans="1:14" x14ac:dyDescent="0.3">
      <c r="A154" s="72">
        <v>179</v>
      </c>
      <c r="B154" s="227"/>
      <c r="C154" s="227"/>
      <c r="D154" s="228"/>
      <c r="E154" s="228"/>
      <c r="F154" s="228"/>
      <c r="G154" s="228"/>
      <c r="H154" s="228"/>
      <c r="I154" s="228"/>
      <c r="J154" s="228"/>
      <c r="K154" s="227"/>
      <c r="L154" s="228">
        <v>0</v>
      </c>
      <c r="M154" s="228"/>
      <c r="N154" s="227">
        <v>0</v>
      </c>
    </row>
    <row r="155" spans="1:14" x14ac:dyDescent="0.3">
      <c r="A155" s="72">
        <v>180</v>
      </c>
      <c r="B155" s="227"/>
      <c r="C155" s="227"/>
      <c r="D155" s="228"/>
      <c r="E155" s="228">
        <v>-20000</v>
      </c>
      <c r="F155" s="228"/>
      <c r="G155" s="228"/>
      <c r="H155" s="228"/>
      <c r="I155" s="228"/>
      <c r="J155" s="228"/>
      <c r="K155" s="227"/>
      <c r="L155" s="228"/>
      <c r="M155" s="228"/>
      <c r="N155" s="227">
        <v>-20000</v>
      </c>
    </row>
    <row r="156" spans="1:14" x14ac:dyDescent="0.3">
      <c r="A156" s="72">
        <v>181</v>
      </c>
      <c r="B156" s="227"/>
      <c r="C156" s="227"/>
      <c r="D156" s="228"/>
      <c r="E156" s="228"/>
      <c r="F156" s="228"/>
      <c r="G156" s="228"/>
      <c r="H156" s="228"/>
      <c r="I156" s="228"/>
      <c r="J156" s="228"/>
      <c r="K156" s="227"/>
      <c r="L156" s="228">
        <v>0</v>
      </c>
      <c r="M156" s="228"/>
      <c r="N156" s="227">
        <v>0</v>
      </c>
    </row>
    <row r="157" spans="1:14" x14ac:dyDescent="0.3">
      <c r="A157" s="72">
        <v>182</v>
      </c>
      <c r="B157" s="227"/>
      <c r="C157" s="227"/>
      <c r="D157" s="228"/>
      <c r="E157" s="228"/>
      <c r="F157" s="228"/>
      <c r="G157" s="228"/>
      <c r="H157" s="228"/>
      <c r="I157" s="228"/>
      <c r="J157" s="228"/>
      <c r="K157" s="227"/>
      <c r="L157" s="228">
        <v>0</v>
      </c>
      <c r="M157" s="228"/>
      <c r="N157" s="227">
        <v>0</v>
      </c>
    </row>
    <row r="158" spans="1:14" x14ac:dyDescent="0.3">
      <c r="A158" s="72">
        <v>183</v>
      </c>
      <c r="B158" s="227"/>
      <c r="C158" s="227"/>
      <c r="D158" s="228"/>
      <c r="E158" s="228"/>
      <c r="F158" s="228"/>
      <c r="G158" s="228"/>
      <c r="H158" s="228"/>
      <c r="I158" s="228"/>
      <c r="J158" s="228"/>
      <c r="K158" s="227"/>
      <c r="L158" s="228">
        <v>0</v>
      </c>
      <c r="M158" s="228"/>
      <c r="N158" s="227">
        <v>0</v>
      </c>
    </row>
    <row r="159" spans="1:14" x14ac:dyDescent="0.3">
      <c r="A159" s="72">
        <v>184</v>
      </c>
      <c r="B159" s="227"/>
      <c r="C159" s="227"/>
      <c r="D159" s="228"/>
      <c r="E159" s="228"/>
      <c r="F159" s="228"/>
      <c r="G159" s="228"/>
      <c r="H159" s="228"/>
      <c r="I159" s="228"/>
      <c r="J159" s="228"/>
      <c r="K159" s="227"/>
      <c r="L159" s="228">
        <v>0</v>
      </c>
      <c r="M159" s="228"/>
      <c r="N159" s="227">
        <v>0</v>
      </c>
    </row>
    <row r="160" spans="1:14" x14ac:dyDescent="0.3">
      <c r="A160" s="72">
        <v>185</v>
      </c>
      <c r="B160" s="227"/>
      <c r="C160" s="227"/>
      <c r="D160" s="228"/>
      <c r="E160" s="228"/>
      <c r="F160" s="228"/>
      <c r="G160" s="228"/>
      <c r="H160" s="228"/>
      <c r="I160" s="228"/>
      <c r="J160" s="228"/>
      <c r="K160" s="227"/>
      <c r="L160" s="228">
        <v>0</v>
      </c>
      <c r="M160" s="228"/>
      <c r="N160" s="227">
        <v>0</v>
      </c>
    </row>
    <row r="161" spans="1:14" x14ac:dyDescent="0.3">
      <c r="A161" s="72">
        <v>186</v>
      </c>
      <c r="B161" s="227"/>
      <c r="C161" s="227"/>
      <c r="D161" s="228"/>
      <c r="E161" s="228"/>
      <c r="F161" s="228"/>
      <c r="G161" s="228"/>
      <c r="H161" s="228"/>
      <c r="I161" s="228"/>
      <c r="J161" s="228"/>
      <c r="K161" s="227"/>
      <c r="L161" s="228">
        <v>0</v>
      </c>
      <c r="M161" s="228"/>
      <c r="N161" s="227">
        <v>0</v>
      </c>
    </row>
    <row r="162" spans="1:14" x14ac:dyDescent="0.3">
      <c r="A162" s="72">
        <v>187</v>
      </c>
      <c r="B162" s="227"/>
      <c r="C162" s="227"/>
      <c r="D162" s="228"/>
      <c r="E162" s="228"/>
      <c r="F162" s="228"/>
      <c r="G162" s="228"/>
      <c r="H162" s="228"/>
      <c r="I162" s="228"/>
      <c r="J162" s="228"/>
      <c r="K162" s="227"/>
      <c r="L162" s="228">
        <v>0</v>
      </c>
      <c r="M162" s="228"/>
      <c r="N162" s="227">
        <v>0</v>
      </c>
    </row>
    <row r="163" spans="1:14" x14ac:dyDescent="0.3">
      <c r="A163" s="72">
        <v>188</v>
      </c>
      <c r="B163" s="227"/>
      <c r="C163" s="227"/>
      <c r="D163" s="228"/>
      <c r="E163" s="228"/>
      <c r="F163" s="228"/>
      <c r="G163" s="228"/>
      <c r="H163" s="228"/>
      <c r="I163" s="228"/>
      <c r="J163" s="228"/>
      <c r="K163" s="227"/>
      <c r="L163" s="228">
        <v>-42750</v>
      </c>
      <c r="M163" s="228"/>
      <c r="N163" s="227">
        <v>-42750</v>
      </c>
    </row>
    <row r="164" spans="1:14" x14ac:dyDescent="0.3">
      <c r="A164" s="113">
        <v>205</v>
      </c>
      <c r="B164" s="227"/>
      <c r="C164" s="227"/>
      <c r="D164" s="228"/>
      <c r="E164" s="228"/>
      <c r="F164" s="228"/>
      <c r="G164" s="228"/>
      <c r="H164" s="228"/>
      <c r="I164" s="228"/>
      <c r="J164" s="228"/>
      <c r="K164" s="227"/>
      <c r="L164" s="228">
        <v>0</v>
      </c>
      <c r="M164" s="228"/>
      <c r="N164" s="227">
        <v>0</v>
      </c>
    </row>
    <row r="165" spans="1:14" x14ac:dyDescent="0.3">
      <c r="A165" s="72">
        <v>206</v>
      </c>
      <c r="B165" s="227"/>
      <c r="C165" s="227"/>
      <c r="D165" s="228"/>
      <c r="E165" s="228"/>
      <c r="F165" s="228"/>
      <c r="G165" s="228"/>
      <c r="H165" s="228"/>
      <c r="I165" s="228"/>
      <c r="J165" s="228"/>
      <c r="K165" s="227"/>
      <c r="L165" s="228"/>
      <c r="M165" s="228">
        <v>-200</v>
      </c>
      <c r="N165" s="227">
        <v>-200</v>
      </c>
    </row>
    <row r="166" spans="1:14" x14ac:dyDescent="0.3">
      <c r="A166" s="72">
        <v>207</v>
      </c>
      <c r="B166" s="227"/>
      <c r="C166" s="227">
        <v>400000</v>
      </c>
      <c r="D166" s="228"/>
      <c r="E166" s="228"/>
      <c r="F166" s="228"/>
      <c r="G166" s="228"/>
      <c r="H166" s="228"/>
      <c r="I166" s="228"/>
      <c r="J166" s="228"/>
      <c r="K166" s="227"/>
      <c r="L166" s="228"/>
      <c r="M166" s="228"/>
      <c r="N166" s="227">
        <v>400000</v>
      </c>
    </row>
    <row r="167" spans="1:14" x14ac:dyDescent="0.3">
      <c r="A167" s="72">
        <v>208</v>
      </c>
      <c r="B167" s="227"/>
      <c r="C167" s="227"/>
      <c r="D167" s="228"/>
      <c r="E167" s="228"/>
      <c r="F167" s="228">
        <v>-50000</v>
      </c>
      <c r="G167" s="228"/>
      <c r="H167" s="228"/>
      <c r="I167" s="228"/>
      <c r="J167" s="228"/>
      <c r="K167" s="227"/>
      <c r="L167" s="228"/>
      <c r="M167" s="228"/>
      <c r="N167" s="227">
        <v>-50000</v>
      </c>
    </row>
    <row r="168" spans="1:14" x14ac:dyDescent="0.3">
      <c r="A168" s="72">
        <v>209</v>
      </c>
      <c r="B168" s="227"/>
      <c r="C168" s="227"/>
      <c r="D168" s="228"/>
      <c r="E168" s="228"/>
      <c r="F168" s="228">
        <v>-50000</v>
      </c>
      <c r="G168" s="228"/>
      <c r="H168" s="228"/>
      <c r="I168" s="228"/>
      <c r="J168" s="228"/>
      <c r="K168" s="227"/>
      <c r="L168" s="228"/>
      <c r="M168" s="228"/>
      <c r="N168" s="227">
        <v>-50000</v>
      </c>
    </row>
    <row r="169" spans="1:14" x14ac:dyDescent="0.3">
      <c r="A169" s="113">
        <v>212</v>
      </c>
      <c r="B169" s="227"/>
      <c r="C169" s="227"/>
      <c r="D169" s="228"/>
      <c r="E169" s="228">
        <v>-30000</v>
      </c>
      <c r="F169" s="228"/>
      <c r="G169" s="228"/>
      <c r="H169" s="228"/>
      <c r="I169" s="228"/>
      <c r="J169" s="228"/>
      <c r="K169" s="227"/>
      <c r="L169" s="228"/>
      <c r="M169" s="228"/>
      <c r="N169" s="227">
        <v>-30000</v>
      </c>
    </row>
    <row r="170" spans="1:14" x14ac:dyDescent="0.3">
      <c r="A170" s="72">
        <v>213</v>
      </c>
      <c r="B170" s="227"/>
      <c r="C170" s="227"/>
      <c r="D170" s="228"/>
      <c r="E170" s="228"/>
      <c r="F170" s="228">
        <v>-40000</v>
      </c>
      <c r="G170" s="228"/>
      <c r="H170" s="228"/>
      <c r="I170" s="228"/>
      <c r="J170" s="228"/>
      <c r="K170" s="227"/>
      <c r="L170" s="228"/>
      <c r="M170" s="228"/>
      <c r="N170" s="227">
        <v>-40000</v>
      </c>
    </row>
    <row r="171" spans="1:14" x14ac:dyDescent="0.3">
      <c r="A171" s="72">
        <v>214</v>
      </c>
      <c r="B171" s="227"/>
      <c r="C171" s="227"/>
      <c r="D171" s="228"/>
      <c r="E171" s="228"/>
      <c r="F171" s="228"/>
      <c r="G171" s="228"/>
      <c r="H171" s="228"/>
      <c r="I171" s="228"/>
      <c r="J171" s="228"/>
      <c r="K171" s="227"/>
      <c r="L171" s="228"/>
      <c r="M171" s="228">
        <v>-550</v>
      </c>
      <c r="N171" s="227">
        <v>-550</v>
      </c>
    </row>
    <row r="172" spans="1:14" x14ac:dyDescent="0.3">
      <c r="A172" s="72">
        <v>215</v>
      </c>
      <c r="B172" s="227"/>
      <c r="C172" s="227"/>
      <c r="D172" s="228"/>
      <c r="E172" s="228"/>
      <c r="F172" s="228"/>
      <c r="G172" s="228"/>
      <c r="H172" s="228"/>
      <c r="I172" s="228"/>
      <c r="J172" s="228"/>
      <c r="K172" s="227"/>
      <c r="L172" s="228"/>
      <c r="M172" s="228">
        <v>-200</v>
      </c>
      <c r="N172" s="227">
        <v>-200</v>
      </c>
    </row>
    <row r="173" spans="1:14" x14ac:dyDescent="0.3">
      <c r="A173" s="72">
        <v>216</v>
      </c>
      <c r="B173" s="227"/>
      <c r="C173" s="227"/>
      <c r="D173" s="228"/>
      <c r="E173" s="228"/>
      <c r="F173" s="228"/>
      <c r="G173" s="228"/>
      <c r="H173" s="228"/>
      <c r="I173" s="228"/>
      <c r="J173" s="228"/>
      <c r="K173" s="227"/>
      <c r="L173" s="228">
        <v>0</v>
      </c>
      <c r="M173" s="228"/>
      <c r="N173" s="227">
        <v>0</v>
      </c>
    </row>
    <row r="174" spans="1:14" x14ac:dyDescent="0.3">
      <c r="A174" s="72">
        <v>217</v>
      </c>
      <c r="B174" s="227"/>
      <c r="C174" s="227"/>
      <c r="D174" s="228"/>
      <c r="E174" s="228"/>
      <c r="F174" s="228"/>
      <c r="G174" s="228"/>
      <c r="H174" s="228"/>
      <c r="I174" s="228"/>
      <c r="J174" s="228"/>
      <c r="K174" s="227"/>
      <c r="L174" s="228">
        <v>0</v>
      </c>
      <c r="M174" s="228"/>
      <c r="N174" s="227">
        <v>0</v>
      </c>
    </row>
    <row r="175" spans="1:14" x14ac:dyDescent="0.3">
      <c r="A175" s="72">
        <v>218</v>
      </c>
      <c r="B175" s="227"/>
      <c r="C175" s="227"/>
      <c r="D175" s="228"/>
      <c r="E175" s="228"/>
      <c r="F175" s="228"/>
      <c r="G175" s="228"/>
      <c r="H175" s="228"/>
      <c r="I175" s="228"/>
      <c r="J175" s="228"/>
      <c r="K175" s="227"/>
      <c r="L175" s="228">
        <v>0</v>
      </c>
      <c r="M175" s="228"/>
      <c r="N175" s="227">
        <v>0</v>
      </c>
    </row>
    <row r="176" spans="1:14" x14ac:dyDescent="0.3">
      <c r="A176" s="72">
        <v>219</v>
      </c>
      <c r="B176" s="227"/>
      <c r="C176" s="227"/>
      <c r="D176" s="228"/>
      <c r="E176" s="228"/>
      <c r="F176" s="228"/>
      <c r="G176" s="228"/>
      <c r="H176" s="228"/>
      <c r="I176" s="228"/>
      <c r="J176" s="228"/>
      <c r="K176" s="227"/>
      <c r="L176" s="228">
        <v>0</v>
      </c>
      <c r="M176" s="228"/>
      <c r="N176" s="227">
        <v>0</v>
      </c>
    </row>
    <row r="177" spans="1:14" x14ac:dyDescent="0.3">
      <c r="A177" s="72">
        <v>220</v>
      </c>
      <c r="B177" s="227"/>
      <c r="C177" s="227"/>
      <c r="D177" s="228"/>
      <c r="E177" s="228"/>
      <c r="F177" s="228"/>
      <c r="G177" s="228"/>
      <c r="H177" s="228"/>
      <c r="I177" s="228"/>
      <c r="J177" s="228"/>
      <c r="K177" s="227"/>
      <c r="L177" s="228">
        <v>0</v>
      </c>
      <c r="M177" s="228"/>
      <c r="N177" s="227">
        <v>0</v>
      </c>
    </row>
    <row r="178" spans="1:14" x14ac:dyDescent="0.3">
      <c r="A178" s="72">
        <v>221</v>
      </c>
      <c r="B178" s="227"/>
      <c r="C178" s="227"/>
      <c r="D178" s="228"/>
      <c r="E178" s="228"/>
      <c r="F178" s="228"/>
      <c r="G178" s="228"/>
      <c r="H178" s="228"/>
      <c r="I178" s="228"/>
      <c r="J178" s="228"/>
      <c r="K178" s="227">
        <v>0</v>
      </c>
      <c r="L178" s="228"/>
      <c r="M178" s="228"/>
      <c r="N178" s="227">
        <v>0</v>
      </c>
    </row>
    <row r="179" spans="1:14" x14ac:dyDescent="0.3">
      <c r="A179" s="72">
        <v>222</v>
      </c>
      <c r="B179" s="227"/>
      <c r="C179" s="227"/>
      <c r="D179" s="228"/>
      <c r="E179" s="228"/>
      <c r="F179" s="228"/>
      <c r="G179" s="228"/>
      <c r="H179" s="228"/>
      <c r="I179" s="228">
        <v>-100000</v>
      </c>
      <c r="J179" s="228"/>
      <c r="K179" s="227"/>
      <c r="L179" s="228"/>
      <c r="M179" s="228"/>
      <c r="N179" s="227">
        <v>-100000</v>
      </c>
    </row>
    <row r="180" spans="1:14" x14ac:dyDescent="0.3">
      <c r="A180" s="72">
        <v>223</v>
      </c>
      <c r="B180" s="227"/>
      <c r="C180" s="227"/>
      <c r="D180" s="228"/>
      <c r="E180" s="228"/>
      <c r="F180" s="228"/>
      <c r="G180" s="228">
        <v>-100000</v>
      </c>
      <c r="H180" s="228"/>
      <c r="I180" s="228"/>
      <c r="J180" s="228"/>
      <c r="K180" s="227"/>
      <c r="L180" s="228"/>
      <c r="M180" s="228"/>
      <c r="N180" s="227">
        <v>-100000</v>
      </c>
    </row>
    <row r="181" spans="1:14" x14ac:dyDescent="0.3">
      <c r="A181" s="72">
        <v>224</v>
      </c>
      <c r="B181" s="227"/>
      <c r="C181" s="227"/>
      <c r="D181" s="228"/>
      <c r="E181" s="228"/>
      <c r="F181" s="228"/>
      <c r="G181" s="228">
        <v>-100000</v>
      </c>
      <c r="H181" s="228"/>
      <c r="I181" s="228"/>
      <c r="J181" s="228"/>
      <c r="K181" s="227"/>
      <c r="L181" s="228"/>
      <c r="M181" s="228"/>
      <c r="N181" s="227">
        <v>-100000</v>
      </c>
    </row>
    <row r="182" spans="1:14" x14ac:dyDescent="0.3">
      <c r="A182" s="72">
        <v>225</v>
      </c>
      <c r="B182" s="227"/>
      <c r="C182" s="227"/>
      <c r="D182" s="228"/>
      <c r="E182" s="228"/>
      <c r="F182" s="228"/>
      <c r="G182" s="228"/>
      <c r="H182" s="228"/>
      <c r="I182" s="228"/>
      <c r="J182" s="228"/>
      <c r="K182" s="227"/>
      <c r="L182" s="228">
        <v>0</v>
      </c>
      <c r="M182" s="228"/>
      <c r="N182" s="227">
        <v>0</v>
      </c>
    </row>
    <row r="183" spans="1:14" x14ac:dyDescent="0.3">
      <c r="A183" s="72">
        <v>226</v>
      </c>
      <c r="B183" s="227"/>
      <c r="C183" s="227"/>
      <c r="D183" s="228"/>
      <c r="E183" s="228"/>
      <c r="F183" s="228"/>
      <c r="G183" s="228"/>
      <c r="H183" s="228"/>
      <c r="I183" s="228"/>
      <c r="J183" s="228"/>
      <c r="K183" s="227"/>
      <c r="L183" s="228"/>
      <c r="M183" s="228">
        <v>-270</v>
      </c>
      <c r="N183" s="227">
        <v>-270</v>
      </c>
    </row>
    <row r="184" spans="1:14" x14ac:dyDescent="0.3">
      <c r="A184" s="72">
        <v>227</v>
      </c>
      <c r="B184" s="227"/>
      <c r="C184" s="227"/>
      <c r="D184" s="228"/>
      <c r="E184" s="228"/>
      <c r="F184" s="228"/>
      <c r="G184" s="228"/>
      <c r="H184" s="228"/>
      <c r="I184" s="228"/>
      <c r="J184" s="228"/>
      <c r="K184" s="227"/>
      <c r="L184" s="228"/>
      <c r="M184" s="228">
        <v>-30</v>
      </c>
      <c r="N184" s="227">
        <v>-30</v>
      </c>
    </row>
    <row r="185" spans="1:14" x14ac:dyDescent="0.3">
      <c r="A185" s="72">
        <v>228</v>
      </c>
      <c r="B185" s="227"/>
      <c r="C185" s="227"/>
      <c r="D185" s="228"/>
      <c r="E185" s="228"/>
      <c r="F185" s="228">
        <v>-5000</v>
      </c>
      <c r="G185" s="228"/>
      <c r="H185" s="228"/>
      <c r="I185" s="228"/>
      <c r="J185" s="228"/>
      <c r="K185" s="227"/>
      <c r="L185" s="228"/>
      <c r="M185" s="228"/>
      <c r="N185" s="227">
        <v>-5000</v>
      </c>
    </row>
    <row r="186" spans="1:14" x14ac:dyDescent="0.3">
      <c r="A186" s="72">
        <v>229</v>
      </c>
      <c r="B186" s="227"/>
      <c r="C186" s="227"/>
      <c r="D186" s="228"/>
      <c r="E186" s="228"/>
      <c r="F186" s="228"/>
      <c r="G186" s="228"/>
      <c r="H186" s="228"/>
      <c r="I186" s="228"/>
      <c r="J186" s="228"/>
      <c r="K186" s="227"/>
      <c r="L186" s="228"/>
      <c r="M186" s="228">
        <v>-170</v>
      </c>
      <c r="N186" s="227">
        <v>-170</v>
      </c>
    </row>
    <row r="187" spans="1:14" x14ac:dyDescent="0.3">
      <c r="A187" s="72">
        <v>230</v>
      </c>
      <c r="B187" s="227"/>
      <c r="C187" s="227"/>
      <c r="D187" s="228"/>
      <c r="E187" s="228"/>
      <c r="F187" s="228"/>
      <c r="G187" s="228"/>
      <c r="H187" s="228"/>
      <c r="I187" s="228"/>
      <c r="J187" s="228"/>
      <c r="K187" s="227"/>
      <c r="L187" s="228">
        <v>0</v>
      </c>
      <c r="M187" s="228"/>
      <c r="N187" s="227">
        <v>0</v>
      </c>
    </row>
    <row r="188" spans="1:14" x14ac:dyDescent="0.3">
      <c r="A188" s="72">
        <v>231</v>
      </c>
      <c r="B188" s="227"/>
      <c r="C188" s="227"/>
      <c r="D188" s="228"/>
      <c r="E188" s="228"/>
      <c r="F188" s="228"/>
      <c r="G188" s="228"/>
      <c r="H188" s="228"/>
      <c r="I188" s="228"/>
      <c r="J188" s="228"/>
      <c r="K188" s="227"/>
      <c r="L188" s="228">
        <v>0</v>
      </c>
      <c r="M188" s="228"/>
      <c r="N188" s="227">
        <v>0</v>
      </c>
    </row>
    <row r="189" spans="1:14" x14ac:dyDescent="0.3">
      <c r="A189" s="72">
        <v>232</v>
      </c>
      <c r="B189" s="227"/>
      <c r="C189" s="227"/>
      <c r="D189" s="228"/>
      <c r="E189" s="228"/>
      <c r="F189" s="228"/>
      <c r="G189" s="228"/>
      <c r="H189" s="228"/>
      <c r="I189" s="228"/>
      <c r="J189" s="228"/>
      <c r="K189" s="227"/>
      <c r="L189" s="228">
        <v>0</v>
      </c>
      <c r="M189" s="228"/>
      <c r="N189" s="227">
        <v>0</v>
      </c>
    </row>
    <row r="190" spans="1:14" x14ac:dyDescent="0.3">
      <c r="A190" s="72">
        <v>233</v>
      </c>
      <c r="B190" s="227"/>
      <c r="C190" s="227"/>
      <c r="D190" s="228"/>
      <c r="E190" s="228"/>
      <c r="F190" s="228"/>
      <c r="G190" s="228"/>
      <c r="H190" s="228"/>
      <c r="I190" s="228"/>
      <c r="J190" s="228"/>
      <c r="K190" s="227"/>
      <c r="L190" s="228">
        <v>0</v>
      </c>
      <c r="M190" s="228"/>
      <c r="N190" s="227">
        <v>0</v>
      </c>
    </row>
    <row r="191" spans="1:14" x14ac:dyDescent="0.3">
      <c r="A191" s="72">
        <v>234</v>
      </c>
      <c r="B191" s="227"/>
      <c r="C191" s="227"/>
      <c r="D191" s="228"/>
      <c r="E191" s="228"/>
      <c r="F191" s="228"/>
      <c r="G191" s="228"/>
      <c r="H191" s="228"/>
      <c r="I191" s="228"/>
      <c r="J191" s="228">
        <v>-10000</v>
      </c>
      <c r="K191" s="227"/>
      <c r="L191" s="228"/>
      <c r="M191" s="228"/>
      <c r="N191" s="227">
        <v>-10000</v>
      </c>
    </row>
    <row r="192" spans="1:14" x14ac:dyDescent="0.3">
      <c r="A192" s="72">
        <v>235</v>
      </c>
      <c r="B192" s="227"/>
      <c r="C192" s="227"/>
      <c r="D192" s="228"/>
      <c r="E192" s="228"/>
      <c r="F192" s="228"/>
      <c r="G192" s="228"/>
      <c r="H192" s="228"/>
      <c r="I192" s="228"/>
      <c r="J192" s="228"/>
      <c r="K192" s="227"/>
      <c r="L192" s="228"/>
      <c r="M192" s="228">
        <v>-468</v>
      </c>
      <c r="N192" s="227">
        <v>-468</v>
      </c>
    </row>
    <row r="193" spans="1:14" x14ac:dyDescent="0.3">
      <c r="A193" s="72">
        <v>236</v>
      </c>
      <c r="B193" s="227"/>
      <c r="C193" s="227"/>
      <c r="D193" s="228"/>
      <c r="E193" s="228"/>
      <c r="F193" s="228"/>
      <c r="G193" s="228"/>
      <c r="H193" s="228"/>
      <c r="I193" s="228"/>
      <c r="J193" s="228"/>
      <c r="K193" s="227"/>
      <c r="L193" s="228">
        <v>0</v>
      </c>
      <c r="M193" s="228"/>
      <c r="N193" s="227">
        <v>0</v>
      </c>
    </row>
    <row r="194" spans="1:14" x14ac:dyDescent="0.3">
      <c r="A194" s="72">
        <v>237</v>
      </c>
      <c r="B194" s="227"/>
      <c r="C194" s="227"/>
      <c r="D194" s="228"/>
      <c r="E194" s="228"/>
      <c r="F194" s="228"/>
      <c r="G194" s="228"/>
      <c r="H194" s="228"/>
      <c r="I194" s="228"/>
      <c r="J194" s="228">
        <v>-10000</v>
      </c>
      <c r="K194" s="227"/>
      <c r="L194" s="228"/>
      <c r="M194" s="228"/>
      <c r="N194" s="227">
        <v>-10000</v>
      </c>
    </row>
    <row r="195" spans="1:14" x14ac:dyDescent="0.3">
      <c r="A195" s="72">
        <v>238</v>
      </c>
      <c r="B195" s="227"/>
      <c r="C195" s="227"/>
      <c r="D195" s="228"/>
      <c r="E195" s="228"/>
      <c r="F195" s="228">
        <v>-100000</v>
      </c>
      <c r="G195" s="228"/>
      <c r="H195" s="228"/>
      <c r="I195" s="228"/>
      <c r="J195" s="228"/>
      <c r="K195" s="227"/>
      <c r="L195" s="228"/>
      <c r="M195" s="228"/>
      <c r="N195" s="227">
        <v>-100000</v>
      </c>
    </row>
    <row r="196" spans="1:14" x14ac:dyDescent="0.3">
      <c r="A196" s="72">
        <v>239</v>
      </c>
      <c r="B196" s="227"/>
      <c r="C196" s="227"/>
      <c r="D196" s="228"/>
      <c r="E196" s="228"/>
      <c r="F196" s="228"/>
      <c r="G196" s="228"/>
      <c r="H196" s="228"/>
      <c r="I196" s="228"/>
      <c r="J196" s="228"/>
      <c r="K196" s="227"/>
      <c r="L196" s="228"/>
      <c r="M196" s="228">
        <v>-350</v>
      </c>
      <c r="N196" s="227">
        <v>-350</v>
      </c>
    </row>
    <row r="197" spans="1:14" x14ac:dyDescent="0.3">
      <c r="A197" s="72">
        <v>240</v>
      </c>
      <c r="B197" s="227"/>
      <c r="C197" s="227"/>
      <c r="D197" s="228"/>
      <c r="E197" s="228">
        <v>-25000</v>
      </c>
      <c r="F197" s="228"/>
      <c r="G197" s="228"/>
      <c r="H197" s="228"/>
      <c r="I197" s="228"/>
      <c r="J197" s="228"/>
      <c r="K197" s="227"/>
      <c r="L197" s="228"/>
      <c r="M197" s="228"/>
      <c r="N197" s="227">
        <v>-25000</v>
      </c>
    </row>
    <row r="198" spans="1:14" x14ac:dyDescent="0.3">
      <c r="A198" s="72">
        <v>241</v>
      </c>
      <c r="B198" s="227"/>
      <c r="C198" s="227"/>
      <c r="D198" s="228"/>
      <c r="E198" s="228"/>
      <c r="F198" s="228"/>
      <c r="G198" s="228"/>
      <c r="H198" s="228"/>
      <c r="I198" s="228"/>
      <c r="J198" s="228"/>
      <c r="K198" s="227"/>
      <c r="L198" s="228"/>
      <c r="M198" s="228">
        <v>-500</v>
      </c>
      <c r="N198" s="227">
        <v>-500</v>
      </c>
    </row>
    <row r="199" spans="1:14" x14ac:dyDescent="0.3">
      <c r="A199" s="72">
        <v>242</v>
      </c>
      <c r="B199" s="227"/>
      <c r="C199" s="227"/>
      <c r="D199" s="228"/>
      <c r="E199" s="228"/>
      <c r="F199" s="228">
        <v>-10000</v>
      </c>
      <c r="G199" s="228"/>
      <c r="H199" s="228"/>
      <c r="I199" s="228"/>
      <c r="J199" s="228"/>
      <c r="K199" s="227"/>
      <c r="L199" s="228"/>
      <c r="M199" s="228"/>
      <c r="N199" s="227">
        <v>-10000</v>
      </c>
    </row>
    <row r="200" spans="1:14" x14ac:dyDescent="0.3">
      <c r="A200" s="72">
        <v>243</v>
      </c>
      <c r="B200" s="227"/>
      <c r="C200" s="227"/>
      <c r="D200" s="228"/>
      <c r="E200" s="228"/>
      <c r="F200" s="228"/>
      <c r="G200" s="228"/>
      <c r="H200" s="228"/>
      <c r="I200" s="228"/>
      <c r="J200" s="228"/>
      <c r="K200" s="227"/>
      <c r="L200" s="228">
        <v>0</v>
      </c>
      <c r="M200" s="228"/>
      <c r="N200" s="227">
        <v>0</v>
      </c>
    </row>
    <row r="201" spans="1:14" x14ac:dyDescent="0.3">
      <c r="A201" s="113">
        <v>249</v>
      </c>
      <c r="B201" s="227"/>
      <c r="C201" s="227">
        <v>100000</v>
      </c>
      <c r="D201" s="228"/>
      <c r="E201" s="228"/>
      <c r="F201" s="228"/>
      <c r="G201" s="228"/>
      <c r="H201" s="228"/>
      <c r="I201" s="228"/>
      <c r="J201" s="228"/>
      <c r="K201" s="227"/>
      <c r="L201" s="228"/>
      <c r="M201" s="228"/>
      <c r="N201" s="227">
        <v>100000</v>
      </c>
    </row>
    <row r="202" spans="1:14" x14ac:dyDescent="0.3">
      <c r="A202" s="72">
        <v>250</v>
      </c>
      <c r="B202" s="227"/>
      <c r="C202" s="227"/>
      <c r="D202" s="228"/>
      <c r="E202" s="228"/>
      <c r="F202" s="228"/>
      <c r="G202" s="228"/>
      <c r="H202" s="228"/>
      <c r="I202" s="228"/>
      <c r="J202" s="228"/>
      <c r="K202" s="227"/>
      <c r="L202" s="228"/>
      <c r="M202" s="228">
        <v>-500</v>
      </c>
      <c r="N202" s="227">
        <v>-500</v>
      </c>
    </row>
    <row r="203" spans="1:14" x14ac:dyDescent="0.3">
      <c r="A203" s="72">
        <v>251</v>
      </c>
      <c r="B203" s="227"/>
      <c r="C203" s="227"/>
      <c r="D203" s="228"/>
      <c r="E203" s="228"/>
      <c r="F203" s="228"/>
      <c r="G203" s="228"/>
      <c r="H203" s="228"/>
      <c r="I203" s="228"/>
      <c r="J203" s="228"/>
      <c r="K203" s="227"/>
      <c r="L203" s="228">
        <v>0</v>
      </c>
      <c r="M203" s="228"/>
      <c r="N203" s="227">
        <v>0</v>
      </c>
    </row>
    <row r="204" spans="1:14" x14ac:dyDescent="0.3">
      <c r="A204" s="72">
        <v>252</v>
      </c>
      <c r="B204" s="227"/>
      <c r="C204" s="227"/>
      <c r="D204" s="228"/>
      <c r="E204" s="228"/>
      <c r="F204" s="228"/>
      <c r="G204" s="228"/>
      <c r="H204" s="228"/>
      <c r="I204" s="228"/>
      <c r="J204" s="228"/>
      <c r="K204" s="227"/>
      <c r="L204" s="228">
        <v>-4400</v>
      </c>
      <c r="M204" s="228"/>
      <c r="N204" s="227">
        <v>-4400</v>
      </c>
    </row>
    <row r="205" spans="1:14" x14ac:dyDescent="0.3">
      <c r="A205" s="72">
        <v>253</v>
      </c>
      <c r="B205" s="227"/>
      <c r="C205" s="227"/>
      <c r="D205" s="228"/>
      <c r="E205" s="228"/>
      <c r="F205" s="228"/>
      <c r="G205" s="228"/>
      <c r="H205" s="228"/>
      <c r="I205" s="228">
        <v>-23000</v>
      </c>
      <c r="J205" s="228"/>
      <c r="K205" s="227"/>
      <c r="L205" s="228"/>
      <c r="M205" s="228"/>
      <c r="N205" s="227">
        <v>-23000</v>
      </c>
    </row>
    <row r="206" spans="1:14" x14ac:dyDescent="0.3">
      <c r="A206" s="113">
        <v>257</v>
      </c>
      <c r="B206" s="227"/>
      <c r="C206" s="227"/>
      <c r="D206" s="228"/>
      <c r="E206" s="228"/>
      <c r="F206" s="228">
        <v>-10000</v>
      </c>
      <c r="G206" s="228"/>
      <c r="H206" s="228"/>
      <c r="I206" s="228"/>
      <c r="J206" s="228"/>
      <c r="K206" s="227"/>
      <c r="L206" s="228"/>
      <c r="M206" s="228"/>
      <c r="N206" s="227">
        <v>-10000</v>
      </c>
    </row>
    <row r="207" spans="1:14" x14ac:dyDescent="0.3">
      <c r="A207" s="72">
        <v>258</v>
      </c>
      <c r="B207" s="227"/>
      <c r="C207" s="227">
        <v>150000</v>
      </c>
      <c r="D207" s="228"/>
      <c r="E207" s="228"/>
      <c r="F207" s="228"/>
      <c r="G207" s="228"/>
      <c r="H207" s="228"/>
      <c r="I207" s="228"/>
      <c r="J207" s="228"/>
      <c r="K207" s="227"/>
      <c r="L207" s="228"/>
      <c r="M207" s="228"/>
      <c r="N207" s="227">
        <v>150000</v>
      </c>
    </row>
    <row r="208" spans="1:14" x14ac:dyDescent="0.3">
      <c r="A208" s="113">
        <v>261</v>
      </c>
      <c r="B208" s="227"/>
      <c r="C208" s="227"/>
      <c r="D208" s="228"/>
      <c r="E208" s="228"/>
      <c r="F208" s="228">
        <v>-7000</v>
      </c>
      <c r="G208" s="228"/>
      <c r="H208" s="228"/>
      <c r="I208" s="228"/>
      <c r="J208" s="228"/>
      <c r="K208" s="227"/>
      <c r="L208" s="228"/>
      <c r="M208" s="228"/>
      <c r="N208" s="227">
        <v>-7000</v>
      </c>
    </row>
    <row r="209" spans="1:14" x14ac:dyDescent="0.3">
      <c r="A209" s="113">
        <v>320</v>
      </c>
      <c r="B209" s="227"/>
      <c r="C209" s="227">
        <v>50000</v>
      </c>
      <c r="D209" s="228"/>
      <c r="E209" s="228"/>
      <c r="F209" s="228"/>
      <c r="G209" s="228"/>
      <c r="H209" s="228"/>
      <c r="I209" s="228"/>
      <c r="J209" s="228"/>
      <c r="K209" s="227"/>
      <c r="L209" s="228"/>
      <c r="M209" s="228"/>
      <c r="N209" s="227">
        <v>50000</v>
      </c>
    </row>
    <row r="210" spans="1:14" x14ac:dyDescent="0.3">
      <c r="A210" s="72">
        <v>321</v>
      </c>
      <c r="B210" s="227"/>
      <c r="C210" s="227">
        <v>50000</v>
      </c>
      <c r="D210" s="228"/>
      <c r="E210" s="228"/>
      <c r="F210" s="228"/>
      <c r="G210" s="228"/>
      <c r="H210" s="228"/>
      <c r="I210" s="228"/>
      <c r="J210" s="228"/>
      <c r="K210" s="227"/>
      <c r="L210" s="228"/>
      <c r="M210" s="228"/>
      <c r="N210" s="227">
        <v>50000</v>
      </c>
    </row>
    <row r="211" spans="1:14" x14ac:dyDescent="0.3">
      <c r="A211" s="113">
        <v>328</v>
      </c>
      <c r="B211" s="227"/>
      <c r="C211" s="227"/>
      <c r="D211" s="228"/>
      <c r="E211" s="228"/>
      <c r="F211" s="228"/>
      <c r="G211" s="228"/>
      <c r="H211" s="228"/>
      <c r="I211" s="228"/>
      <c r="J211" s="228">
        <v>-50000</v>
      </c>
      <c r="K211" s="227"/>
      <c r="L211" s="228"/>
      <c r="M211" s="228"/>
      <c r="N211" s="227">
        <v>-50000</v>
      </c>
    </row>
    <row r="212" spans="1:14" x14ac:dyDescent="0.3">
      <c r="A212" s="113">
        <v>371</v>
      </c>
      <c r="B212" s="227">
        <v>9000</v>
      </c>
      <c r="C212" s="227"/>
      <c r="D212" s="228"/>
      <c r="E212" s="228"/>
      <c r="F212" s="228"/>
      <c r="G212" s="228"/>
      <c r="H212" s="228"/>
      <c r="I212" s="228"/>
      <c r="J212" s="228"/>
      <c r="K212" s="227"/>
      <c r="L212" s="228"/>
      <c r="M212" s="228"/>
      <c r="N212" s="227">
        <v>9000</v>
      </c>
    </row>
    <row r="213" spans="1:14" x14ac:dyDescent="0.3">
      <c r="A213" s="113">
        <v>663</v>
      </c>
      <c r="B213" s="227"/>
      <c r="C213" s="227">
        <v>300000</v>
      </c>
      <c r="D213" s="228"/>
      <c r="E213" s="228"/>
      <c r="F213" s="228"/>
      <c r="G213" s="228"/>
      <c r="H213" s="228"/>
      <c r="I213" s="228"/>
      <c r="J213" s="228"/>
      <c r="K213" s="227"/>
      <c r="L213" s="228"/>
      <c r="M213" s="228"/>
      <c r="N213" s="227">
        <v>300000</v>
      </c>
    </row>
    <row r="214" spans="1:14" x14ac:dyDescent="0.3">
      <c r="A214" s="113">
        <v>756</v>
      </c>
      <c r="B214" s="227">
        <v>3600</v>
      </c>
      <c r="C214" s="227"/>
      <c r="D214" s="228"/>
      <c r="E214" s="228"/>
      <c r="F214" s="228"/>
      <c r="G214" s="228"/>
      <c r="H214" s="228"/>
      <c r="I214" s="228"/>
      <c r="J214" s="228"/>
      <c r="K214" s="227"/>
      <c r="L214" s="228"/>
      <c r="M214" s="228"/>
      <c r="N214" s="227">
        <v>3600</v>
      </c>
    </row>
    <row r="215" spans="1:14" x14ac:dyDescent="0.3">
      <c r="A215" s="113">
        <v>765</v>
      </c>
      <c r="B215" s="227">
        <v>20000</v>
      </c>
      <c r="C215" s="227"/>
      <c r="D215" s="228"/>
      <c r="E215" s="228"/>
      <c r="F215" s="228"/>
      <c r="G215" s="228"/>
      <c r="H215" s="228"/>
      <c r="I215" s="228"/>
      <c r="J215" s="228"/>
      <c r="K215" s="227"/>
      <c r="L215" s="228"/>
      <c r="M215" s="228"/>
      <c r="N215" s="227">
        <v>20000</v>
      </c>
    </row>
    <row r="216" spans="1:14" x14ac:dyDescent="0.3">
      <c r="A216" s="113">
        <v>813</v>
      </c>
      <c r="B216" s="227"/>
      <c r="C216" s="227">
        <v>150000</v>
      </c>
      <c r="D216" s="228"/>
      <c r="E216" s="228"/>
      <c r="F216" s="228"/>
      <c r="G216" s="228"/>
      <c r="H216" s="228"/>
      <c r="I216" s="228"/>
      <c r="J216" s="228"/>
      <c r="K216" s="227"/>
      <c r="L216" s="228"/>
      <c r="M216" s="228"/>
      <c r="N216" s="227">
        <v>150000</v>
      </c>
    </row>
    <row r="217" spans="1:14" x14ac:dyDescent="0.3">
      <c r="A217" s="113">
        <v>954</v>
      </c>
      <c r="B217" s="227"/>
      <c r="C217" s="227">
        <v>200000</v>
      </c>
      <c r="D217" s="228"/>
      <c r="E217" s="228"/>
      <c r="F217" s="228"/>
      <c r="G217" s="228"/>
      <c r="H217" s="228"/>
      <c r="I217" s="228"/>
      <c r="J217" s="228"/>
      <c r="K217" s="227"/>
      <c r="L217" s="228"/>
      <c r="M217" s="228"/>
      <c r="N217" s="227">
        <v>200000</v>
      </c>
    </row>
    <row r="218" spans="1:14" x14ac:dyDescent="0.3">
      <c r="A218" s="113">
        <v>1142</v>
      </c>
      <c r="B218" s="227"/>
      <c r="C218" s="227"/>
      <c r="D218" s="228"/>
      <c r="E218" s="228"/>
      <c r="F218" s="228"/>
      <c r="G218" s="228"/>
      <c r="H218" s="228">
        <v>-15000</v>
      </c>
      <c r="I218" s="228"/>
      <c r="J218" s="228"/>
      <c r="K218" s="227"/>
      <c r="L218" s="228"/>
      <c r="M218" s="228"/>
      <c r="N218" s="227">
        <v>-15000</v>
      </c>
    </row>
    <row r="219" spans="1:14" x14ac:dyDescent="0.3">
      <c r="A219" s="113">
        <v>1161</v>
      </c>
      <c r="B219" s="227"/>
      <c r="C219" s="227">
        <v>300000</v>
      </c>
      <c r="D219" s="228"/>
      <c r="E219" s="228"/>
      <c r="F219" s="228"/>
      <c r="G219" s="228"/>
      <c r="H219" s="228"/>
      <c r="I219" s="228"/>
      <c r="J219" s="228"/>
      <c r="K219" s="227"/>
      <c r="L219" s="228"/>
      <c r="M219" s="228"/>
      <c r="N219" s="227">
        <v>300000</v>
      </c>
    </row>
    <row r="220" spans="1:14" s="94" customFormat="1" x14ac:dyDescent="0.3">
      <c r="A220" s="113">
        <v>1164</v>
      </c>
      <c r="B220" s="227"/>
      <c r="C220" s="227">
        <v>300000</v>
      </c>
      <c r="D220" s="228"/>
      <c r="E220" s="228"/>
      <c r="F220" s="228"/>
      <c r="G220" s="228"/>
      <c r="H220" s="228"/>
      <c r="I220" s="228"/>
      <c r="J220" s="228"/>
      <c r="K220" s="227"/>
      <c r="L220" s="228"/>
      <c r="M220" s="228"/>
      <c r="N220" s="227">
        <v>300000</v>
      </c>
    </row>
    <row r="221" spans="1:14" x14ac:dyDescent="0.3">
      <c r="A221" s="113">
        <v>1576</v>
      </c>
      <c r="B221" s="227"/>
      <c r="C221" s="227">
        <v>400000</v>
      </c>
      <c r="D221" s="228"/>
      <c r="E221" s="228"/>
      <c r="F221" s="228"/>
      <c r="G221" s="228"/>
      <c r="H221" s="228"/>
      <c r="I221" s="228"/>
      <c r="J221" s="228"/>
      <c r="K221" s="227"/>
      <c r="L221" s="228"/>
      <c r="M221" s="228"/>
      <c r="N221" s="227">
        <v>400000</v>
      </c>
    </row>
    <row r="222" spans="1:14" x14ac:dyDescent="0.3">
      <c r="A222" s="72" t="s">
        <v>1448</v>
      </c>
      <c r="B222" s="227">
        <v>167300</v>
      </c>
      <c r="C222" s="227">
        <v>5850000</v>
      </c>
      <c r="D222" s="229">
        <v>-218800</v>
      </c>
      <c r="E222" s="229">
        <v>-510800</v>
      </c>
      <c r="F222" s="229">
        <v>-1992000</v>
      </c>
      <c r="G222" s="229">
        <v>-923000</v>
      </c>
      <c r="H222" s="229">
        <v>-15000</v>
      </c>
      <c r="I222" s="229">
        <v>-399000</v>
      </c>
      <c r="J222" s="229">
        <v>-80000</v>
      </c>
      <c r="K222" s="71">
        <v>0</v>
      </c>
      <c r="L222" s="229">
        <v>-377061</v>
      </c>
      <c r="M222" s="229">
        <v>-70273</v>
      </c>
      <c r="N222" s="71">
        <v>1431366</v>
      </c>
    </row>
  </sheetData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="110" zoomScaleNormal="110" workbookViewId="0">
      <selection activeCell="B14" sqref="B14"/>
    </sheetView>
  </sheetViews>
  <sheetFormatPr defaultRowHeight="14.4" x14ac:dyDescent="0.3"/>
  <cols>
    <col min="1" max="1" width="28.44140625" style="165" customWidth="1"/>
    <col min="2" max="2" width="14" style="94" bestFit="1" customWidth="1"/>
    <col min="3" max="3" width="10.5546875" bestFit="1" customWidth="1"/>
  </cols>
  <sheetData>
    <row r="1" spans="1:3" ht="18" x14ac:dyDescent="0.35">
      <c r="A1" s="178" t="s">
        <v>0</v>
      </c>
    </row>
    <row r="2" spans="1:3" ht="18" x14ac:dyDescent="0.35">
      <c r="A2" s="178" t="s">
        <v>1534</v>
      </c>
    </row>
    <row r="3" spans="1:3" ht="18" x14ac:dyDescent="0.35">
      <c r="A3" s="135"/>
    </row>
    <row r="4" spans="1:3" x14ac:dyDescent="0.3">
      <c r="A4" s="175" t="s">
        <v>3</v>
      </c>
      <c r="B4" s="176" t="s">
        <v>1148</v>
      </c>
      <c r="C4" s="177" t="s">
        <v>1138</v>
      </c>
    </row>
    <row r="5" spans="1:3" x14ac:dyDescent="0.3">
      <c r="A5" s="174" t="s">
        <v>1535</v>
      </c>
      <c r="B5" s="97">
        <v>167300</v>
      </c>
      <c r="C5" s="11"/>
    </row>
    <row r="6" spans="1:3" x14ac:dyDescent="0.3">
      <c r="A6" s="249" t="s">
        <v>1520</v>
      </c>
      <c r="B6" s="247">
        <v>5450000</v>
      </c>
      <c r="C6" s="246"/>
    </row>
    <row r="7" spans="1:3" x14ac:dyDescent="0.3">
      <c r="A7" s="174" t="s">
        <v>1519</v>
      </c>
      <c r="B7" s="97"/>
      <c r="C7" s="71">
        <v>218800</v>
      </c>
    </row>
    <row r="8" spans="1:3" x14ac:dyDescent="0.3">
      <c r="A8" s="174" t="s">
        <v>1522</v>
      </c>
      <c r="B8" s="97"/>
      <c r="C8" s="71">
        <v>510800</v>
      </c>
    </row>
    <row r="9" spans="1:3" x14ac:dyDescent="0.3">
      <c r="A9" s="174" t="s">
        <v>1471</v>
      </c>
      <c r="B9" s="97"/>
      <c r="C9" s="71">
        <v>1992000</v>
      </c>
    </row>
    <row r="10" spans="1:3" x14ac:dyDescent="0.3">
      <c r="A10" s="174" t="s">
        <v>1523</v>
      </c>
      <c r="B10" s="97"/>
      <c r="C10" s="71">
        <v>923000</v>
      </c>
    </row>
    <row r="11" spans="1:3" x14ac:dyDescent="0.3">
      <c r="A11" s="250" t="s">
        <v>1526</v>
      </c>
      <c r="B11" s="97"/>
      <c r="C11" s="71">
        <v>15000</v>
      </c>
    </row>
    <row r="12" spans="1:3" x14ac:dyDescent="0.3">
      <c r="A12" s="174" t="s">
        <v>1530</v>
      </c>
      <c r="B12" s="97"/>
      <c r="C12" s="71">
        <v>399000</v>
      </c>
    </row>
    <row r="13" spans="1:3" x14ac:dyDescent="0.3">
      <c r="A13" s="174" t="s">
        <v>1524</v>
      </c>
      <c r="B13" s="97"/>
      <c r="C13" s="71">
        <v>80000</v>
      </c>
    </row>
    <row r="14" spans="1:3" x14ac:dyDescent="0.3">
      <c r="A14" s="174" t="s">
        <v>1517</v>
      </c>
      <c r="B14" s="97"/>
      <c r="C14" s="71">
        <v>0</v>
      </c>
    </row>
    <row r="15" spans="1:3" x14ac:dyDescent="0.3">
      <c r="A15" s="174" t="s">
        <v>1516</v>
      </c>
      <c r="B15" s="97"/>
      <c r="C15" s="71">
        <v>377061</v>
      </c>
    </row>
    <row r="16" spans="1:3" x14ac:dyDescent="0.3">
      <c r="A16" s="174" t="s">
        <v>1521</v>
      </c>
      <c r="B16" s="97"/>
      <c r="C16" s="71">
        <v>70273</v>
      </c>
    </row>
    <row r="17" spans="1:3" s="183" customFormat="1" x14ac:dyDescent="0.3">
      <c r="A17" s="175" t="s">
        <v>1448</v>
      </c>
      <c r="B17" s="176">
        <f>SUM(B5:B16)</f>
        <v>5617300</v>
      </c>
      <c r="C17" s="176">
        <f>SUM(C5:C16)</f>
        <v>4585934</v>
      </c>
    </row>
    <row r="18" spans="1:3" s="183" customFormat="1" x14ac:dyDescent="0.3">
      <c r="A18" s="182" t="s">
        <v>1745</v>
      </c>
      <c r="B18" s="176">
        <f>B17-C17</f>
        <v>1031366</v>
      </c>
      <c r="C18" s="177"/>
    </row>
  </sheetData>
  <printOptions horizontalCentere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59"/>
  <sheetViews>
    <sheetView workbookViewId="0">
      <pane ySplit="4" topLeftCell="A1335" activePane="bottomLeft" state="frozen"/>
      <selection pane="bottomLeft" activeCell="L1338" sqref="L1338"/>
    </sheetView>
  </sheetViews>
  <sheetFormatPr defaultRowHeight="14.4" x14ac:dyDescent="0.3"/>
  <cols>
    <col min="1" max="1" width="26.109375" bestFit="1" customWidth="1"/>
    <col min="2" max="2" width="16.33203125" customWidth="1"/>
    <col min="3" max="3" width="14.6640625" customWidth="1"/>
    <col min="4" max="4" width="16.5546875" bestFit="1" customWidth="1"/>
    <col min="5" max="5" width="13.88671875" bestFit="1" customWidth="1"/>
    <col min="6" max="6" width="16.33203125" bestFit="1" customWidth="1"/>
    <col min="7" max="7" width="12.33203125" bestFit="1" customWidth="1"/>
    <col min="8" max="8" width="10.6640625" bestFit="1" customWidth="1"/>
    <col min="9" max="9" width="14.44140625" bestFit="1" customWidth="1"/>
    <col min="10" max="10" width="13.109375" customWidth="1"/>
    <col min="11" max="11" width="7.88671875" bestFit="1" customWidth="1"/>
    <col min="12" max="12" width="8.6640625" bestFit="1" customWidth="1"/>
    <col min="13" max="13" width="10.33203125" bestFit="1" customWidth="1"/>
    <col min="14" max="14" width="11.33203125" bestFit="1" customWidth="1"/>
    <col min="15" max="15" width="8.6640625" bestFit="1" customWidth="1"/>
    <col min="16" max="16" width="17" bestFit="1" customWidth="1"/>
    <col min="17" max="18" width="11.33203125" bestFit="1" customWidth="1"/>
  </cols>
  <sheetData>
    <row r="1" spans="1:17" x14ac:dyDescent="0.3">
      <c r="A1" s="69" t="s">
        <v>1515</v>
      </c>
      <c r="B1" t="s">
        <v>269</v>
      </c>
    </row>
    <row r="3" spans="1:17" x14ac:dyDescent="0.3">
      <c r="A3" s="69" t="s">
        <v>1752</v>
      </c>
      <c r="B3" s="69" t="s">
        <v>1449</v>
      </c>
    </row>
    <row r="4" spans="1:17" x14ac:dyDescent="0.3">
      <c r="A4" s="163" t="s">
        <v>1447</v>
      </c>
      <c r="B4" s="11" t="s">
        <v>1520</v>
      </c>
      <c r="C4" s="11" t="s">
        <v>1527</v>
      </c>
      <c r="D4" s="11" t="s">
        <v>1523</v>
      </c>
      <c r="E4" s="11" t="s">
        <v>1526</v>
      </c>
      <c r="F4" s="11" t="s">
        <v>1524</v>
      </c>
      <c r="G4" s="11" t="s">
        <v>1521</v>
      </c>
      <c r="H4" s="11" t="s">
        <v>1519</v>
      </c>
      <c r="I4" s="11" t="s">
        <v>1533</v>
      </c>
      <c r="J4" s="11" t="s">
        <v>1529</v>
      </c>
      <c r="K4" s="11" t="s">
        <v>1530</v>
      </c>
      <c r="L4" s="11" t="s">
        <v>1517</v>
      </c>
      <c r="M4" s="11" t="s">
        <v>1471</v>
      </c>
      <c r="N4" s="11" t="s">
        <v>1522</v>
      </c>
      <c r="O4" s="11" t="s">
        <v>1516</v>
      </c>
      <c r="P4" s="11" t="s">
        <v>1807</v>
      </c>
      <c r="Q4" s="11" t="s">
        <v>1448</v>
      </c>
    </row>
    <row r="5" spans="1:17" x14ac:dyDescent="0.3">
      <c r="A5" s="72">
        <v>6</v>
      </c>
      <c r="B5" s="227"/>
      <c r="C5" s="227"/>
      <c r="D5" s="227"/>
      <c r="E5" s="227"/>
      <c r="F5" s="227"/>
      <c r="G5" s="227">
        <v>-2000</v>
      </c>
      <c r="H5" s="227"/>
      <c r="I5" s="227"/>
      <c r="J5" s="227"/>
      <c r="K5" s="227"/>
      <c r="L5" s="227"/>
      <c r="M5" s="227"/>
      <c r="N5" s="227"/>
      <c r="O5" s="227"/>
      <c r="P5" s="227"/>
      <c r="Q5" s="227">
        <v>-2000</v>
      </c>
    </row>
    <row r="6" spans="1:17" x14ac:dyDescent="0.3">
      <c r="A6" s="72">
        <v>53</v>
      </c>
      <c r="B6" s="227">
        <v>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>
        <v>0</v>
      </c>
    </row>
    <row r="7" spans="1:17" x14ac:dyDescent="0.3">
      <c r="A7" s="72">
        <v>96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>
        <v>-15000</v>
      </c>
      <c r="P7" s="227"/>
      <c r="Q7" s="227">
        <v>-15000</v>
      </c>
    </row>
    <row r="8" spans="1:17" x14ac:dyDescent="0.3">
      <c r="A8" s="72">
        <v>103</v>
      </c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>
        <v>0</v>
      </c>
      <c r="P8" s="227"/>
      <c r="Q8" s="227">
        <v>0</v>
      </c>
    </row>
    <row r="9" spans="1:17" x14ac:dyDescent="0.3">
      <c r="A9" s="72">
        <v>104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>
        <v>0</v>
      </c>
      <c r="P9" s="227"/>
      <c r="Q9" s="227">
        <v>0</v>
      </c>
    </row>
    <row r="10" spans="1:17" x14ac:dyDescent="0.3">
      <c r="A10" s="72">
        <v>105</v>
      </c>
      <c r="B10" s="227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>
        <v>0</v>
      </c>
      <c r="P10" s="227"/>
      <c r="Q10" s="227">
        <v>0</v>
      </c>
    </row>
    <row r="11" spans="1:17" x14ac:dyDescent="0.3">
      <c r="A11" s="72">
        <v>106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>
        <v>0</v>
      </c>
      <c r="P11" s="227"/>
      <c r="Q11" s="227">
        <v>0</v>
      </c>
    </row>
    <row r="12" spans="1:17" x14ac:dyDescent="0.3">
      <c r="A12" s="72">
        <v>107</v>
      </c>
      <c r="B12" s="227"/>
      <c r="C12" s="227"/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>
        <v>0</v>
      </c>
      <c r="P12" s="227"/>
      <c r="Q12" s="227">
        <v>0</v>
      </c>
    </row>
    <row r="13" spans="1:17" x14ac:dyDescent="0.3">
      <c r="A13" s="72">
        <v>108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>
        <v>0</v>
      </c>
      <c r="P13" s="227"/>
      <c r="Q13" s="227">
        <v>0</v>
      </c>
    </row>
    <row r="14" spans="1:17" x14ac:dyDescent="0.3">
      <c r="A14" s="72">
        <v>110</v>
      </c>
      <c r="B14" s="227"/>
      <c r="C14" s="227"/>
      <c r="D14" s="227"/>
      <c r="E14" s="227"/>
      <c r="F14" s="227"/>
      <c r="G14" s="227"/>
      <c r="H14" s="227"/>
      <c r="I14" s="227"/>
      <c r="J14" s="227"/>
      <c r="K14" s="227">
        <v>-2000</v>
      </c>
      <c r="L14" s="227"/>
      <c r="M14" s="227"/>
      <c r="N14" s="227"/>
      <c r="O14" s="227"/>
      <c r="P14" s="227"/>
      <c r="Q14" s="227">
        <v>-2000</v>
      </c>
    </row>
    <row r="15" spans="1:17" x14ac:dyDescent="0.3">
      <c r="A15" s="72">
        <v>111</v>
      </c>
      <c r="B15" s="227"/>
      <c r="C15" s="227"/>
      <c r="D15" s="227"/>
      <c r="E15" s="227"/>
      <c r="F15" s="227"/>
      <c r="G15" s="227">
        <v>-650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27">
        <v>-650</v>
      </c>
    </row>
    <row r="16" spans="1:17" x14ac:dyDescent="0.3">
      <c r="A16" s="72">
        <v>117</v>
      </c>
      <c r="B16" s="227"/>
      <c r="C16" s="227"/>
      <c r="D16" s="227"/>
      <c r="E16" s="227"/>
      <c r="F16" s="227"/>
      <c r="G16" s="227"/>
      <c r="H16" s="227">
        <v>-2500</v>
      </c>
      <c r="I16" s="227"/>
      <c r="J16" s="227"/>
      <c r="K16" s="227"/>
      <c r="L16" s="227"/>
      <c r="M16" s="227"/>
      <c r="N16" s="227"/>
      <c r="O16" s="227"/>
      <c r="P16" s="227"/>
      <c r="Q16" s="227">
        <v>-2500</v>
      </c>
    </row>
    <row r="17" spans="1:17" x14ac:dyDescent="0.3">
      <c r="A17" s="72">
        <v>135</v>
      </c>
      <c r="B17" s="227"/>
      <c r="C17" s="227"/>
      <c r="D17" s="227"/>
      <c r="E17" s="227"/>
      <c r="F17" s="227"/>
      <c r="G17" s="227">
        <v>-120</v>
      </c>
      <c r="H17" s="227"/>
      <c r="I17" s="227"/>
      <c r="J17" s="227"/>
      <c r="K17" s="227"/>
      <c r="L17" s="227"/>
      <c r="M17" s="227"/>
      <c r="N17" s="227"/>
      <c r="O17" s="227"/>
      <c r="P17" s="227"/>
      <c r="Q17" s="227">
        <v>-120</v>
      </c>
    </row>
    <row r="18" spans="1:17" x14ac:dyDescent="0.3">
      <c r="A18" s="72">
        <v>143</v>
      </c>
      <c r="B18" s="227"/>
      <c r="C18" s="227"/>
      <c r="D18" s="227"/>
      <c r="E18" s="227"/>
      <c r="F18" s="227"/>
      <c r="G18" s="227">
        <v>-240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>
        <v>-240</v>
      </c>
    </row>
    <row r="19" spans="1:17" x14ac:dyDescent="0.3">
      <c r="A19" s="72">
        <v>151</v>
      </c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>
        <v>-13800</v>
      </c>
      <c r="P19" s="227"/>
      <c r="Q19" s="227">
        <v>-13800</v>
      </c>
    </row>
    <row r="20" spans="1:17" x14ac:dyDescent="0.3">
      <c r="A20" s="72">
        <v>155</v>
      </c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>
        <v>0</v>
      </c>
      <c r="M20" s="227"/>
      <c r="N20" s="227"/>
      <c r="O20" s="227"/>
      <c r="P20" s="227"/>
      <c r="Q20" s="227">
        <v>0</v>
      </c>
    </row>
    <row r="21" spans="1:17" x14ac:dyDescent="0.3">
      <c r="A21" s="72">
        <v>158</v>
      </c>
      <c r="B21" s="227"/>
      <c r="C21" s="227"/>
      <c r="D21" s="227">
        <v>-50000</v>
      </c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>
        <v>-50000</v>
      </c>
    </row>
    <row r="22" spans="1:17" x14ac:dyDescent="0.3">
      <c r="A22" s="72">
        <v>159</v>
      </c>
      <c r="B22" s="227"/>
      <c r="C22" s="227"/>
      <c r="D22" s="227"/>
      <c r="E22" s="227"/>
      <c r="F22" s="227"/>
      <c r="G22" s="227"/>
      <c r="H22" s="227"/>
      <c r="I22" s="227"/>
      <c r="J22" s="227"/>
      <c r="K22" s="227">
        <v>-38000</v>
      </c>
      <c r="L22" s="227"/>
      <c r="M22" s="227"/>
      <c r="N22" s="227"/>
      <c r="O22" s="227"/>
      <c r="P22" s="227"/>
      <c r="Q22" s="227">
        <v>-38000</v>
      </c>
    </row>
    <row r="23" spans="1:17" x14ac:dyDescent="0.3">
      <c r="A23" s="72">
        <v>160</v>
      </c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>
        <v>0</v>
      </c>
      <c r="P23" s="227"/>
      <c r="Q23" s="227">
        <v>0</v>
      </c>
    </row>
    <row r="24" spans="1:17" x14ac:dyDescent="0.3">
      <c r="A24" s="72">
        <v>161</v>
      </c>
      <c r="B24" s="227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>
        <v>0</v>
      </c>
      <c r="P24" s="227"/>
      <c r="Q24" s="227">
        <v>0</v>
      </c>
    </row>
    <row r="25" spans="1:17" x14ac:dyDescent="0.3">
      <c r="A25" s="72">
        <v>162</v>
      </c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>
        <v>0</v>
      </c>
      <c r="P25" s="227"/>
      <c r="Q25" s="227">
        <v>0</v>
      </c>
    </row>
    <row r="26" spans="1:17" x14ac:dyDescent="0.3">
      <c r="A26" s="72">
        <v>164</v>
      </c>
      <c r="B26" s="227"/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>
        <v>-100000</v>
      </c>
      <c r="N26" s="227"/>
      <c r="O26" s="227"/>
      <c r="P26" s="227"/>
      <c r="Q26" s="227">
        <v>-100000</v>
      </c>
    </row>
    <row r="27" spans="1:17" x14ac:dyDescent="0.3">
      <c r="A27" s="72">
        <v>165</v>
      </c>
      <c r="B27" s="227"/>
      <c r="C27" s="227"/>
      <c r="D27" s="227"/>
      <c r="E27" s="227"/>
      <c r="F27" s="227"/>
      <c r="G27" s="227">
        <v>-490</v>
      </c>
      <c r="H27" s="227"/>
      <c r="I27" s="227"/>
      <c r="J27" s="227"/>
      <c r="K27" s="227"/>
      <c r="L27" s="227"/>
      <c r="M27" s="227"/>
      <c r="N27" s="227"/>
      <c r="O27" s="227"/>
      <c r="P27" s="227"/>
      <c r="Q27" s="227">
        <v>-490</v>
      </c>
    </row>
    <row r="28" spans="1:17" x14ac:dyDescent="0.3">
      <c r="A28" s="72">
        <v>166</v>
      </c>
      <c r="B28" s="227"/>
      <c r="C28" s="227"/>
      <c r="D28" s="227"/>
      <c r="E28" s="227"/>
      <c r="F28" s="227"/>
      <c r="G28" s="227">
        <v>-1000</v>
      </c>
      <c r="H28" s="227"/>
      <c r="I28" s="227"/>
      <c r="J28" s="227"/>
      <c r="K28" s="227"/>
      <c r="L28" s="227"/>
      <c r="M28" s="227"/>
      <c r="N28" s="227"/>
      <c r="O28" s="227"/>
      <c r="P28" s="227"/>
      <c r="Q28" s="227">
        <v>-1000</v>
      </c>
    </row>
    <row r="29" spans="1:17" x14ac:dyDescent="0.3">
      <c r="A29" s="72">
        <v>167</v>
      </c>
      <c r="B29" s="227"/>
      <c r="C29" s="227"/>
      <c r="D29" s="227"/>
      <c r="E29" s="227"/>
      <c r="F29" s="227"/>
      <c r="G29" s="227"/>
      <c r="H29" s="227"/>
      <c r="I29" s="227"/>
      <c r="J29" s="227"/>
      <c r="K29" s="227">
        <v>-21000</v>
      </c>
      <c r="L29" s="227"/>
      <c r="M29" s="227"/>
      <c r="N29" s="227"/>
      <c r="O29" s="227"/>
      <c r="P29" s="227"/>
      <c r="Q29" s="227">
        <v>-21000</v>
      </c>
    </row>
    <row r="30" spans="1:17" x14ac:dyDescent="0.3">
      <c r="A30" s="72">
        <v>168</v>
      </c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>
        <v>-25000</v>
      </c>
      <c r="N30" s="227"/>
      <c r="O30" s="227"/>
      <c r="P30" s="227"/>
      <c r="Q30" s="227">
        <v>-25000</v>
      </c>
    </row>
    <row r="31" spans="1:17" x14ac:dyDescent="0.3">
      <c r="A31" s="72">
        <v>169</v>
      </c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>
        <v>-2000</v>
      </c>
      <c r="N31" s="227"/>
      <c r="O31" s="227"/>
      <c r="P31" s="227"/>
      <c r="Q31" s="227">
        <v>-2000</v>
      </c>
    </row>
    <row r="32" spans="1:17" x14ac:dyDescent="0.3">
      <c r="A32" s="72">
        <v>170</v>
      </c>
      <c r="B32" s="227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>
        <v>-2000</v>
      </c>
      <c r="N32" s="227"/>
      <c r="O32" s="227"/>
      <c r="P32" s="227"/>
      <c r="Q32" s="227">
        <v>-2000</v>
      </c>
    </row>
    <row r="33" spans="1:17" x14ac:dyDescent="0.3">
      <c r="A33" s="72">
        <v>189</v>
      </c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>
        <v>-83700</v>
      </c>
      <c r="P33" s="227"/>
      <c r="Q33" s="227">
        <v>-83700</v>
      </c>
    </row>
    <row r="34" spans="1:17" x14ac:dyDescent="0.3">
      <c r="A34" s="72">
        <v>190</v>
      </c>
      <c r="B34" s="227"/>
      <c r="C34" s="227"/>
      <c r="D34" s="227"/>
      <c r="E34" s="227"/>
      <c r="F34" s="227"/>
      <c r="G34" s="227">
        <v>-120</v>
      </c>
      <c r="H34" s="227"/>
      <c r="I34" s="227"/>
      <c r="J34" s="227"/>
      <c r="K34" s="227"/>
      <c r="L34" s="227"/>
      <c r="M34" s="227"/>
      <c r="N34" s="227"/>
      <c r="O34" s="227"/>
      <c r="P34" s="227"/>
      <c r="Q34" s="227">
        <v>-120</v>
      </c>
    </row>
    <row r="35" spans="1:17" x14ac:dyDescent="0.3">
      <c r="A35" s="72">
        <v>191</v>
      </c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27">
        <v>-100000</v>
      </c>
      <c r="N35" s="227"/>
      <c r="O35" s="227"/>
      <c r="P35" s="227"/>
      <c r="Q35" s="227">
        <v>-100000</v>
      </c>
    </row>
    <row r="36" spans="1:17" x14ac:dyDescent="0.3">
      <c r="A36" s="72">
        <v>192</v>
      </c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>
        <v>0</v>
      </c>
      <c r="P36" s="227"/>
      <c r="Q36" s="227">
        <v>0</v>
      </c>
    </row>
    <row r="37" spans="1:17" x14ac:dyDescent="0.3">
      <c r="A37" s="72">
        <v>193</v>
      </c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>
        <v>0</v>
      </c>
      <c r="P37" s="227"/>
      <c r="Q37" s="227">
        <v>0</v>
      </c>
    </row>
    <row r="38" spans="1:17" x14ac:dyDescent="0.3">
      <c r="A38" s="72">
        <v>194</v>
      </c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>
        <v>0</v>
      </c>
      <c r="P38" s="227"/>
      <c r="Q38" s="227">
        <v>0</v>
      </c>
    </row>
    <row r="39" spans="1:17" x14ac:dyDescent="0.3">
      <c r="A39" s="72">
        <v>195</v>
      </c>
      <c r="B39" s="227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>
        <v>0</v>
      </c>
      <c r="P39" s="227"/>
      <c r="Q39" s="227">
        <v>0</v>
      </c>
    </row>
    <row r="40" spans="1:17" x14ac:dyDescent="0.3">
      <c r="A40" s="72">
        <v>196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>
        <v>0</v>
      </c>
      <c r="P40" s="227"/>
      <c r="Q40" s="227">
        <v>0</v>
      </c>
    </row>
    <row r="41" spans="1:17" x14ac:dyDescent="0.3">
      <c r="A41" s="72">
        <v>197</v>
      </c>
      <c r="B41" s="227"/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>
        <v>0</v>
      </c>
      <c r="P41" s="227"/>
      <c r="Q41" s="227">
        <v>0</v>
      </c>
    </row>
    <row r="42" spans="1:17" x14ac:dyDescent="0.3">
      <c r="A42" s="72">
        <v>198</v>
      </c>
      <c r="B42" s="227"/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>
        <v>-20000</v>
      </c>
      <c r="O42" s="227"/>
      <c r="P42" s="227"/>
      <c r="Q42" s="227">
        <v>-20000</v>
      </c>
    </row>
    <row r="43" spans="1:17" x14ac:dyDescent="0.3">
      <c r="A43" s="72">
        <v>199</v>
      </c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>
        <v>-118000</v>
      </c>
      <c r="N43" s="227"/>
      <c r="O43" s="227"/>
      <c r="P43" s="227"/>
      <c r="Q43" s="227">
        <v>-118000</v>
      </c>
    </row>
    <row r="44" spans="1:17" x14ac:dyDescent="0.3">
      <c r="A44" s="72">
        <v>200</v>
      </c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>
        <v>-30000</v>
      </c>
      <c r="O44" s="227"/>
      <c r="P44" s="227"/>
      <c r="Q44" s="227">
        <v>-30000</v>
      </c>
    </row>
    <row r="45" spans="1:17" x14ac:dyDescent="0.3">
      <c r="A45" s="72">
        <v>201</v>
      </c>
      <c r="B45" s="227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>
        <v>0</v>
      </c>
      <c r="P45" s="227"/>
      <c r="Q45" s="227">
        <v>0</v>
      </c>
    </row>
    <row r="46" spans="1:17" x14ac:dyDescent="0.3">
      <c r="A46" s="72">
        <v>202</v>
      </c>
      <c r="B46" s="227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>
        <v>0</v>
      </c>
      <c r="P46" s="227"/>
      <c r="Q46" s="227">
        <v>0</v>
      </c>
    </row>
    <row r="47" spans="1:17" x14ac:dyDescent="0.3">
      <c r="A47" s="72">
        <v>203</v>
      </c>
      <c r="B47" s="227"/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>
        <v>0</v>
      </c>
      <c r="P47" s="227"/>
      <c r="Q47" s="227">
        <v>0</v>
      </c>
    </row>
    <row r="48" spans="1:17" x14ac:dyDescent="0.3">
      <c r="A48" s="72">
        <v>204</v>
      </c>
      <c r="B48" s="227"/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>
        <v>0</v>
      </c>
      <c r="P48" s="227"/>
      <c r="Q48" s="227">
        <v>0</v>
      </c>
    </row>
    <row r="49" spans="1:17" x14ac:dyDescent="0.3">
      <c r="A49" s="72">
        <v>210</v>
      </c>
      <c r="B49" s="227"/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>
        <v>0</v>
      </c>
      <c r="P49" s="227"/>
      <c r="Q49" s="227">
        <v>0</v>
      </c>
    </row>
    <row r="50" spans="1:17" x14ac:dyDescent="0.3">
      <c r="A50" s="72">
        <v>211</v>
      </c>
      <c r="B50" s="227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>
        <v>0</v>
      </c>
      <c r="P50" s="227"/>
      <c r="Q50" s="227">
        <v>0</v>
      </c>
    </row>
    <row r="51" spans="1:17" x14ac:dyDescent="0.3">
      <c r="A51" s="72">
        <v>244</v>
      </c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>
        <v>-1000</v>
      </c>
      <c r="P51" s="227"/>
      <c r="Q51" s="227">
        <v>-1000</v>
      </c>
    </row>
    <row r="52" spans="1:17" x14ac:dyDescent="0.3">
      <c r="A52" s="72">
        <v>245</v>
      </c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>
        <v>-800</v>
      </c>
      <c r="N52" s="227"/>
      <c r="O52" s="227"/>
      <c r="P52" s="227"/>
      <c r="Q52" s="227">
        <v>-800</v>
      </c>
    </row>
    <row r="53" spans="1:17" x14ac:dyDescent="0.3">
      <c r="A53" s="72">
        <v>246</v>
      </c>
      <c r="B53" s="227"/>
      <c r="C53" s="227"/>
      <c r="D53" s="227"/>
      <c r="E53" s="227">
        <v>-10000</v>
      </c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>
        <v>-10000</v>
      </c>
    </row>
    <row r="54" spans="1:17" x14ac:dyDescent="0.3">
      <c r="A54" s="72">
        <v>248</v>
      </c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>
        <v>0</v>
      </c>
      <c r="M54" s="227"/>
      <c r="N54" s="227"/>
      <c r="O54" s="227"/>
      <c r="P54" s="227"/>
      <c r="Q54" s="227">
        <v>0</v>
      </c>
    </row>
    <row r="55" spans="1:17" x14ac:dyDescent="0.3">
      <c r="A55" s="72">
        <v>254</v>
      </c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>
        <v>-1000</v>
      </c>
      <c r="P55" s="227"/>
      <c r="Q55" s="227">
        <v>-1000</v>
      </c>
    </row>
    <row r="56" spans="1:17" x14ac:dyDescent="0.3">
      <c r="A56" s="72">
        <v>255</v>
      </c>
      <c r="B56" s="227"/>
      <c r="C56" s="227"/>
      <c r="D56" s="227"/>
      <c r="E56" s="227">
        <v>-10000</v>
      </c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>
        <v>-10000</v>
      </c>
    </row>
    <row r="57" spans="1:17" x14ac:dyDescent="0.3">
      <c r="A57" s="72">
        <v>256</v>
      </c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>
        <v>-2000</v>
      </c>
      <c r="P57" s="227"/>
      <c r="Q57" s="227">
        <v>-2000</v>
      </c>
    </row>
    <row r="58" spans="1:17" x14ac:dyDescent="0.3">
      <c r="A58" s="72">
        <v>259</v>
      </c>
      <c r="B58" s="227"/>
      <c r="C58" s="227"/>
      <c r="D58" s="227"/>
      <c r="E58" s="227">
        <v>-15000</v>
      </c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>
        <v>-15000</v>
      </c>
    </row>
    <row r="59" spans="1:17" x14ac:dyDescent="0.3">
      <c r="A59" s="72">
        <v>260</v>
      </c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>
        <v>-1000</v>
      </c>
      <c r="P59" s="227"/>
      <c r="Q59" s="227">
        <v>-1000</v>
      </c>
    </row>
    <row r="60" spans="1:17" x14ac:dyDescent="0.3">
      <c r="A60" s="72">
        <v>262</v>
      </c>
      <c r="B60" s="227"/>
      <c r="C60" s="227"/>
      <c r="D60" s="227"/>
      <c r="E60" s="227"/>
      <c r="F60" s="227"/>
      <c r="G60" s="227">
        <v>-540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>
        <v>-540</v>
      </c>
    </row>
    <row r="61" spans="1:17" x14ac:dyDescent="0.3">
      <c r="A61" s="72">
        <v>263</v>
      </c>
      <c r="B61" s="227"/>
      <c r="C61" s="227"/>
      <c r="D61" s="227"/>
      <c r="E61" s="227"/>
      <c r="F61" s="227"/>
      <c r="G61" s="227">
        <v>-100</v>
      </c>
      <c r="H61" s="227"/>
      <c r="I61" s="227"/>
      <c r="J61" s="227"/>
      <c r="K61" s="227"/>
      <c r="L61" s="227"/>
      <c r="M61" s="227"/>
      <c r="N61" s="227"/>
      <c r="O61" s="227"/>
      <c r="P61" s="227"/>
      <c r="Q61" s="227">
        <v>-100</v>
      </c>
    </row>
    <row r="62" spans="1:17" x14ac:dyDescent="0.3">
      <c r="A62" s="72">
        <v>264</v>
      </c>
      <c r="B62" s="227"/>
      <c r="C62" s="227"/>
      <c r="D62" s="227"/>
      <c r="E62" s="227">
        <v>-50000</v>
      </c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>
        <v>-50000</v>
      </c>
    </row>
    <row r="63" spans="1:17" x14ac:dyDescent="0.3">
      <c r="A63" s="72">
        <v>265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>
        <v>-1000</v>
      </c>
      <c r="P63" s="227"/>
      <c r="Q63" s="227">
        <v>-1000</v>
      </c>
    </row>
    <row r="64" spans="1:17" x14ac:dyDescent="0.3">
      <c r="A64" s="72">
        <v>266</v>
      </c>
      <c r="B64" s="227">
        <v>100000</v>
      </c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>
        <v>100000</v>
      </c>
    </row>
    <row r="65" spans="1:17" x14ac:dyDescent="0.3">
      <c r="A65" s="72">
        <v>267</v>
      </c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>
        <v>-10000</v>
      </c>
      <c r="N65" s="227"/>
      <c r="O65" s="227"/>
      <c r="P65" s="227"/>
      <c r="Q65" s="227">
        <v>-10000</v>
      </c>
    </row>
    <row r="66" spans="1:17" x14ac:dyDescent="0.3">
      <c r="A66" s="72">
        <v>268</v>
      </c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>
        <v>-1000</v>
      </c>
      <c r="P66" s="227"/>
      <c r="Q66" s="227">
        <v>-1000</v>
      </c>
    </row>
    <row r="67" spans="1:17" x14ac:dyDescent="0.3">
      <c r="A67" s="72">
        <v>269</v>
      </c>
      <c r="B67" s="227">
        <v>50000</v>
      </c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>
        <v>50000</v>
      </c>
    </row>
    <row r="68" spans="1:17" x14ac:dyDescent="0.3">
      <c r="A68" s="72">
        <v>270</v>
      </c>
      <c r="B68" s="227"/>
      <c r="C68" s="227"/>
      <c r="D68" s="227">
        <v>-200000</v>
      </c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>
        <v>-200000</v>
      </c>
    </row>
    <row r="69" spans="1:17" x14ac:dyDescent="0.3">
      <c r="A69" s="72">
        <v>271</v>
      </c>
      <c r="B69" s="227"/>
      <c r="C69" s="227"/>
      <c r="D69" s="227"/>
      <c r="E69" s="227">
        <v>-20000</v>
      </c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>
        <v>-20000</v>
      </c>
    </row>
    <row r="70" spans="1:17" x14ac:dyDescent="0.3">
      <c r="A70" s="72">
        <v>272</v>
      </c>
      <c r="B70" s="227"/>
      <c r="C70" s="227"/>
      <c r="D70" s="227"/>
      <c r="E70" s="227"/>
      <c r="F70" s="227"/>
      <c r="G70" s="227">
        <v>-4000</v>
      </c>
      <c r="H70" s="227"/>
      <c r="I70" s="227"/>
      <c r="J70" s="227"/>
      <c r="K70" s="227"/>
      <c r="L70" s="227"/>
      <c r="M70" s="227"/>
      <c r="N70" s="227"/>
      <c r="O70" s="227"/>
      <c r="P70" s="227"/>
      <c r="Q70" s="227">
        <v>-4000</v>
      </c>
    </row>
    <row r="71" spans="1:17" x14ac:dyDescent="0.3">
      <c r="A71" s="72">
        <v>273</v>
      </c>
      <c r="B71" s="227"/>
      <c r="C71" s="227"/>
      <c r="D71" s="227"/>
      <c r="E71" s="227"/>
      <c r="F71" s="227"/>
      <c r="G71" s="227">
        <v>-2000</v>
      </c>
      <c r="H71" s="227"/>
      <c r="I71" s="227"/>
      <c r="J71" s="227"/>
      <c r="K71" s="227"/>
      <c r="L71" s="227"/>
      <c r="M71" s="227"/>
      <c r="N71" s="227"/>
      <c r="O71" s="227"/>
      <c r="P71" s="227"/>
      <c r="Q71" s="227">
        <v>-2000</v>
      </c>
    </row>
    <row r="72" spans="1:17" x14ac:dyDescent="0.3">
      <c r="A72" s="72">
        <v>274</v>
      </c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>
        <v>-60000</v>
      </c>
      <c r="M72" s="227"/>
      <c r="N72" s="227"/>
      <c r="O72" s="227"/>
      <c r="P72" s="227"/>
      <c r="Q72" s="227">
        <v>-60000</v>
      </c>
    </row>
    <row r="73" spans="1:17" x14ac:dyDescent="0.3">
      <c r="A73" s="72">
        <v>275</v>
      </c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>
        <v>-4900</v>
      </c>
      <c r="P73" s="227"/>
      <c r="Q73" s="227">
        <v>-4900</v>
      </c>
    </row>
    <row r="74" spans="1:17" x14ac:dyDescent="0.3">
      <c r="A74" s="72">
        <v>276</v>
      </c>
      <c r="B74" s="227"/>
      <c r="C74" s="227"/>
      <c r="D74" s="227"/>
      <c r="E74" s="227"/>
      <c r="F74" s="227"/>
      <c r="G74" s="227">
        <v>-520</v>
      </c>
      <c r="H74" s="227"/>
      <c r="I74" s="227"/>
      <c r="J74" s="227"/>
      <c r="K74" s="227"/>
      <c r="L74" s="227"/>
      <c r="M74" s="227"/>
      <c r="N74" s="227"/>
      <c r="O74" s="227"/>
      <c r="P74" s="227"/>
      <c r="Q74" s="227">
        <v>-520</v>
      </c>
    </row>
    <row r="75" spans="1:17" x14ac:dyDescent="0.3">
      <c r="A75" s="72">
        <v>277</v>
      </c>
      <c r="B75" s="227"/>
      <c r="C75" s="227"/>
      <c r="D75" s="227"/>
      <c r="E75" s="227"/>
      <c r="F75" s="227"/>
      <c r="G75" s="227">
        <v>-550</v>
      </c>
      <c r="H75" s="227"/>
      <c r="I75" s="227"/>
      <c r="J75" s="227"/>
      <c r="K75" s="227"/>
      <c r="L75" s="227"/>
      <c r="M75" s="227"/>
      <c r="N75" s="227"/>
      <c r="O75" s="227"/>
      <c r="P75" s="227"/>
      <c r="Q75" s="227">
        <v>-550</v>
      </c>
    </row>
    <row r="76" spans="1:17" x14ac:dyDescent="0.3">
      <c r="A76" s="72">
        <v>278</v>
      </c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>
        <v>-1000</v>
      </c>
      <c r="P76" s="227"/>
      <c r="Q76" s="227">
        <v>-1000</v>
      </c>
    </row>
    <row r="77" spans="1:17" x14ac:dyDescent="0.3">
      <c r="A77" s="72">
        <v>279</v>
      </c>
      <c r="B77" s="227"/>
      <c r="C77" s="227"/>
      <c r="D77" s="227"/>
      <c r="E77" s="227"/>
      <c r="F77" s="227"/>
      <c r="G77" s="227">
        <v>-20</v>
      </c>
      <c r="H77" s="227"/>
      <c r="I77" s="227"/>
      <c r="J77" s="227"/>
      <c r="K77" s="227"/>
      <c r="L77" s="227"/>
      <c r="M77" s="227"/>
      <c r="N77" s="227"/>
      <c r="O77" s="227"/>
      <c r="P77" s="227"/>
      <c r="Q77" s="227">
        <v>-20</v>
      </c>
    </row>
    <row r="78" spans="1:17" x14ac:dyDescent="0.3">
      <c r="A78" s="72">
        <v>280</v>
      </c>
      <c r="B78" s="227"/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>
        <v>-15000</v>
      </c>
      <c r="O78" s="227"/>
      <c r="P78" s="227"/>
      <c r="Q78" s="227">
        <v>-15000</v>
      </c>
    </row>
    <row r="79" spans="1:17" x14ac:dyDescent="0.3">
      <c r="A79" s="72">
        <v>281</v>
      </c>
      <c r="B79" s="227"/>
      <c r="C79" s="227"/>
      <c r="D79" s="227"/>
      <c r="E79" s="227"/>
      <c r="F79" s="227"/>
      <c r="G79" s="227">
        <v>-220</v>
      </c>
      <c r="H79" s="227"/>
      <c r="I79" s="227"/>
      <c r="J79" s="227"/>
      <c r="K79" s="227"/>
      <c r="L79" s="227"/>
      <c r="M79" s="227"/>
      <c r="N79" s="227"/>
      <c r="O79" s="227"/>
      <c r="P79" s="227"/>
      <c r="Q79" s="227">
        <v>-220</v>
      </c>
    </row>
    <row r="80" spans="1:17" x14ac:dyDescent="0.3">
      <c r="A80" s="72">
        <v>282</v>
      </c>
      <c r="B80" s="227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>
        <v>-9850</v>
      </c>
      <c r="P80" s="227"/>
      <c r="Q80" s="227">
        <v>-9850</v>
      </c>
    </row>
    <row r="81" spans="1:17" x14ac:dyDescent="0.3">
      <c r="A81" s="72">
        <v>283</v>
      </c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>
        <v>-3000</v>
      </c>
      <c r="N81" s="227"/>
      <c r="O81" s="227"/>
      <c r="P81" s="227"/>
      <c r="Q81" s="227">
        <v>-3000</v>
      </c>
    </row>
    <row r="82" spans="1:17" x14ac:dyDescent="0.3">
      <c r="A82" s="72">
        <v>284</v>
      </c>
      <c r="B82" s="227"/>
      <c r="C82" s="227"/>
      <c r="D82" s="227"/>
      <c r="E82" s="227"/>
      <c r="F82" s="227"/>
      <c r="G82" s="227">
        <v>-150</v>
      </c>
      <c r="H82" s="227"/>
      <c r="I82" s="227"/>
      <c r="J82" s="227"/>
      <c r="K82" s="227"/>
      <c r="L82" s="227"/>
      <c r="M82" s="227"/>
      <c r="N82" s="227"/>
      <c r="O82" s="227"/>
      <c r="P82" s="227"/>
      <c r="Q82" s="227">
        <v>-150</v>
      </c>
    </row>
    <row r="83" spans="1:17" x14ac:dyDescent="0.3">
      <c r="A83" s="72">
        <v>285</v>
      </c>
      <c r="B83" s="227"/>
      <c r="C83" s="227"/>
      <c r="D83" s="227"/>
      <c r="E83" s="227"/>
      <c r="F83" s="227"/>
      <c r="G83" s="227"/>
      <c r="H83" s="227"/>
      <c r="I83" s="227"/>
      <c r="J83" s="227"/>
      <c r="K83" s="227"/>
      <c r="L83" s="227"/>
      <c r="M83" s="227">
        <v>-7000</v>
      </c>
      <c r="N83" s="227"/>
      <c r="O83" s="227"/>
      <c r="P83" s="227"/>
      <c r="Q83" s="227">
        <v>-7000</v>
      </c>
    </row>
    <row r="84" spans="1:17" x14ac:dyDescent="0.3">
      <c r="A84" s="72">
        <v>286</v>
      </c>
      <c r="B84" s="227"/>
      <c r="C84" s="227"/>
      <c r="D84" s="227"/>
      <c r="E84" s="227">
        <v>-20000</v>
      </c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>
        <v>-20000</v>
      </c>
    </row>
    <row r="85" spans="1:17" x14ac:dyDescent="0.3">
      <c r="A85" s="72">
        <v>287</v>
      </c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>
        <v>-1000</v>
      </c>
      <c r="P85" s="227"/>
      <c r="Q85" s="227">
        <v>-1000</v>
      </c>
    </row>
    <row r="86" spans="1:17" x14ac:dyDescent="0.3">
      <c r="A86" s="72">
        <v>288</v>
      </c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>
        <v>-10000</v>
      </c>
      <c r="O86" s="227"/>
      <c r="P86" s="227"/>
      <c r="Q86" s="227">
        <v>-10000</v>
      </c>
    </row>
    <row r="87" spans="1:17" x14ac:dyDescent="0.3">
      <c r="A87" s="72">
        <v>289</v>
      </c>
      <c r="B87" s="227"/>
      <c r="C87" s="227"/>
      <c r="D87" s="227"/>
      <c r="E87" s="227">
        <v>-5000</v>
      </c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>
        <v>-5000</v>
      </c>
    </row>
    <row r="88" spans="1:17" x14ac:dyDescent="0.3">
      <c r="A88" s="72">
        <v>290</v>
      </c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>
        <v>-1000</v>
      </c>
      <c r="P88" s="227"/>
      <c r="Q88" s="227">
        <v>-1000</v>
      </c>
    </row>
    <row r="89" spans="1:17" x14ac:dyDescent="0.3">
      <c r="A89" s="72">
        <v>291</v>
      </c>
      <c r="B89" s="227"/>
      <c r="C89" s="227"/>
      <c r="D89" s="227"/>
      <c r="E89" s="227"/>
      <c r="F89" s="227"/>
      <c r="G89" s="227">
        <v>-100</v>
      </c>
      <c r="H89" s="227"/>
      <c r="I89" s="227"/>
      <c r="J89" s="227"/>
      <c r="K89" s="227"/>
      <c r="L89" s="227"/>
      <c r="M89" s="227"/>
      <c r="N89" s="227"/>
      <c r="O89" s="227"/>
      <c r="P89" s="227"/>
      <c r="Q89" s="227">
        <v>-100</v>
      </c>
    </row>
    <row r="90" spans="1:17" x14ac:dyDescent="0.3">
      <c r="A90" s="72">
        <v>292</v>
      </c>
      <c r="B90" s="227"/>
      <c r="C90" s="227">
        <v>-2960</v>
      </c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>
        <v>-2960</v>
      </c>
    </row>
    <row r="91" spans="1:17" x14ac:dyDescent="0.3">
      <c r="A91" s="72">
        <v>293</v>
      </c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>
        <v>-1000</v>
      </c>
      <c r="P91" s="227"/>
      <c r="Q91" s="227">
        <v>-1000</v>
      </c>
    </row>
    <row r="92" spans="1:17" x14ac:dyDescent="0.3">
      <c r="A92" s="72">
        <v>294</v>
      </c>
      <c r="B92" s="227">
        <v>60000</v>
      </c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>
        <v>60000</v>
      </c>
    </row>
    <row r="93" spans="1:17" x14ac:dyDescent="0.3">
      <c r="A93" s="72">
        <v>295</v>
      </c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>
        <v>-10000</v>
      </c>
      <c r="O93" s="227"/>
      <c r="P93" s="227"/>
      <c r="Q93" s="227">
        <v>-10000</v>
      </c>
    </row>
    <row r="94" spans="1:17" x14ac:dyDescent="0.3">
      <c r="A94" s="72">
        <v>296</v>
      </c>
      <c r="B94" s="227"/>
      <c r="C94" s="227"/>
      <c r="D94" s="227"/>
      <c r="E94" s="227">
        <v>-87000</v>
      </c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>
        <v>-87000</v>
      </c>
    </row>
    <row r="95" spans="1:17" x14ac:dyDescent="0.3">
      <c r="A95" s="72">
        <v>297</v>
      </c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>
        <v>-3200</v>
      </c>
      <c r="P95" s="227"/>
      <c r="Q95" s="227">
        <v>-3200</v>
      </c>
    </row>
    <row r="96" spans="1:17" x14ac:dyDescent="0.3">
      <c r="A96" s="72">
        <v>298</v>
      </c>
      <c r="B96" s="227">
        <v>50000</v>
      </c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>
        <v>50000</v>
      </c>
    </row>
    <row r="97" spans="1:17" x14ac:dyDescent="0.3">
      <c r="A97" s="72">
        <v>299</v>
      </c>
      <c r="B97" s="227">
        <v>50000</v>
      </c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>
        <v>50000</v>
      </c>
    </row>
    <row r="98" spans="1:17" x14ac:dyDescent="0.3">
      <c r="A98" s="72">
        <v>300</v>
      </c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>
        <v>-15000</v>
      </c>
      <c r="N98" s="227"/>
      <c r="O98" s="227"/>
      <c r="P98" s="227"/>
      <c r="Q98" s="227">
        <v>-15000</v>
      </c>
    </row>
    <row r="99" spans="1:17" x14ac:dyDescent="0.3">
      <c r="A99" s="72">
        <v>301</v>
      </c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>
        <v>-1000</v>
      </c>
      <c r="P99" s="227"/>
      <c r="Q99" s="227">
        <v>-1000</v>
      </c>
    </row>
    <row r="100" spans="1:17" x14ac:dyDescent="0.3">
      <c r="A100" s="72">
        <v>302</v>
      </c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>
        <v>-1000</v>
      </c>
      <c r="P100" s="227"/>
      <c r="Q100" s="227">
        <v>-1000</v>
      </c>
    </row>
    <row r="101" spans="1:17" x14ac:dyDescent="0.3">
      <c r="A101" s="72">
        <v>303</v>
      </c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>
        <v>-1000</v>
      </c>
      <c r="P101" s="227"/>
      <c r="Q101" s="227">
        <v>-1000</v>
      </c>
    </row>
    <row r="102" spans="1:17" x14ac:dyDescent="0.3">
      <c r="A102" s="72">
        <v>304</v>
      </c>
      <c r="B102" s="227"/>
      <c r="C102" s="227"/>
      <c r="D102" s="227"/>
      <c r="E102" s="227"/>
      <c r="F102" s="227"/>
      <c r="G102" s="227">
        <v>-110</v>
      </c>
      <c r="H102" s="227"/>
      <c r="I102" s="227"/>
      <c r="J102" s="227"/>
      <c r="K102" s="227"/>
      <c r="L102" s="227"/>
      <c r="M102" s="227"/>
      <c r="N102" s="227"/>
      <c r="O102" s="227"/>
      <c r="P102" s="227"/>
      <c r="Q102" s="227">
        <v>-110</v>
      </c>
    </row>
    <row r="103" spans="1:17" x14ac:dyDescent="0.3">
      <c r="A103" s="72">
        <v>305</v>
      </c>
      <c r="B103" s="227"/>
      <c r="C103" s="227"/>
      <c r="D103" s="227"/>
      <c r="E103" s="227"/>
      <c r="F103" s="227"/>
      <c r="G103" s="227">
        <v>-1100</v>
      </c>
      <c r="H103" s="227"/>
      <c r="I103" s="227"/>
      <c r="J103" s="227"/>
      <c r="K103" s="227"/>
      <c r="L103" s="227"/>
      <c r="M103" s="227"/>
      <c r="N103" s="227"/>
      <c r="O103" s="227"/>
      <c r="P103" s="227"/>
      <c r="Q103" s="227">
        <v>-1100</v>
      </c>
    </row>
    <row r="104" spans="1:17" x14ac:dyDescent="0.3">
      <c r="A104" s="72">
        <v>306</v>
      </c>
      <c r="B104" s="227"/>
      <c r="C104" s="227"/>
      <c r="D104" s="227"/>
      <c r="E104" s="227">
        <v>-3000</v>
      </c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>
        <v>-3000</v>
      </c>
    </row>
    <row r="105" spans="1:17" x14ac:dyDescent="0.3">
      <c r="A105" s="72">
        <v>307</v>
      </c>
      <c r="B105" s="227"/>
      <c r="C105" s="227"/>
      <c r="D105" s="227"/>
      <c r="E105" s="227"/>
      <c r="F105" s="227"/>
      <c r="G105" s="227">
        <v>-450</v>
      </c>
      <c r="H105" s="227"/>
      <c r="I105" s="227"/>
      <c r="J105" s="227"/>
      <c r="K105" s="227"/>
      <c r="L105" s="227"/>
      <c r="M105" s="227"/>
      <c r="N105" s="227"/>
      <c r="O105" s="227"/>
      <c r="P105" s="227"/>
      <c r="Q105" s="227">
        <v>-450</v>
      </c>
    </row>
    <row r="106" spans="1:17" x14ac:dyDescent="0.3">
      <c r="A106" s="72">
        <v>308</v>
      </c>
      <c r="B106" s="227">
        <v>200000</v>
      </c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>
        <v>200000</v>
      </c>
    </row>
    <row r="107" spans="1:17" x14ac:dyDescent="0.3">
      <c r="A107" s="72">
        <v>309</v>
      </c>
      <c r="B107" s="227"/>
      <c r="C107" s="227"/>
      <c r="D107" s="227">
        <v>-50000</v>
      </c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>
        <v>-50000</v>
      </c>
    </row>
    <row r="108" spans="1:17" x14ac:dyDescent="0.3">
      <c r="A108" s="72">
        <v>310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>
        <v>-68000</v>
      </c>
      <c r="L108" s="227"/>
      <c r="M108" s="227"/>
      <c r="N108" s="227"/>
      <c r="O108" s="227"/>
      <c r="P108" s="227"/>
      <c r="Q108" s="227">
        <v>-68000</v>
      </c>
    </row>
    <row r="109" spans="1:17" x14ac:dyDescent="0.3">
      <c r="A109" s="72">
        <v>311</v>
      </c>
      <c r="B109" s="227"/>
      <c r="C109" s="227"/>
      <c r="D109" s="227"/>
      <c r="E109" s="227">
        <v>-10000</v>
      </c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>
        <v>-10000</v>
      </c>
    </row>
    <row r="110" spans="1:17" x14ac:dyDescent="0.3">
      <c r="A110" s="72">
        <v>312</v>
      </c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>
        <v>-850</v>
      </c>
      <c r="P110" s="227"/>
      <c r="Q110" s="227">
        <v>-850</v>
      </c>
    </row>
    <row r="111" spans="1:17" x14ac:dyDescent="0.3">
      <c r="A111" s="72">
        <v>313</v>
      </c>
      <c r="B111" s="227"/>
      <c r="C111" s="227"/>
      <c r="D111" s="227"/>
      <c r="E111" s="227"/>
      <c r="F111" s="227"/>
      <c r="G111" s="227">
        <v>-300</v>
      </c>
      <c r="H111" s="227"/>
      <c r="I111" s="227"/>
      <c r="J111" s="227"/>
      <c r="K111" s="227"/>
      <c r="L111" s="227"/>
      <c r="M111" s="227"/>
      <c r="N111" s="227"/>
      <c r="O111" s="227"/>
      <c r="P111" s="227"/>
      <c r="Q111" s="227">
        <v>-300</v>
      </c>
    </row>
    <row r="112" spans="1:17" x14ac:dyDescent="0.3">
      <c r="A112" s="72">
        <v>314</v>
      </c>
      <c r="B112" s="227"/>
      <c r="C112" s="227"/>
      <c r="D112" s="227"/>
      <c r="E112" s="227"/>
      <c r="F112" s="227"/>
      <c r="G112" s="227">
        <v>-200</v>
      </c>
      <c r="H112" s="227"/>
      <c r="I112" s="227"/>
      <c r="J112" s="227"/>
      <c r="K112" s="227"/>
      <c r="L112" s="227"/>
      <c r="M112" s="227"/>
      <c r="N112" s="227"/>
      <c r="O112" s="227"/>
      <c r="P112" s="227"/>
      <c r="Q112" s="227">
        <v>-200</v>
      </c>
    </row>
    <row r="113" spans="1:17" x14ac:dyDescent="0.3">
      <c r="A113" s="72">
        <v>315</v>
      </c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>
        <v>-10000</v>
      </c>
      <c r="P113" s="227"/>
      <c r="Q113" s="227">
        <v>-10000</v>
      </c>
    </row>
    <row r="114" spans="1:17" x14ac:dyDescent="0.3">
      <c r="A114" s="72">
        <v>316</v>
      </c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>
        <v>-50000</v>
      </c>
      <c r="O114" s="227"/>
      <c r="P114" s="227"/>
      <c r="Q114" s="227">
        <v>-50000</v>
      </c>
    </row>
    <row r="115" spans="1:17" x14ac:dyDescent="0.3">
      <c r="A115" s="72">
        <v>317</v>
      </c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>
        <v>-850</v>
      </c>
      <c r="P115" s="227"/>
      <c r="Q115" s="227">
        <v>-850</v>
      </c>
    </row>
    <row r="116" spans="1:17" x14ac:dyDescent="0.3">
      <c r="A116" s="72">
        <v>318</v>
      </c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>
        <v>-1150</v>
      </c>
      <c r="P116" s="227"/>
      <c r="Q116" s="227">
        <v>-1150</v>
      </c>
    </row>
    <row r="117" spans="1:17" x14ac:dyDescent="0.3">
      <c r="A117" s="72">
        <v>319</v>
      </c>
      <c r="B117" s="227"/>
      <c r="C117" s="227"/>
      <c r="D117" s="227"/>
      <c r="E117" s="227"/>
      <c r="F117" s="227"/>
      <c r="G117" s="227">
        <v>-200</v>
      </c>
      <c r="H117" s="227"/>
      <c r="I117" s="227"/>
      <c r="J117" s="227"/>
      <c r="K117" s="227"/>
      <c r="L117" s="227"/>
      <c r="M117" s="227"/>
      <c r="N117" s="227"/>
      <c r="O117" s="227"/>
      <c r="P117" s="227"/>
      <c r="Q117" s="227">
        <v>-200</v>
      </c>
    </row>
    <row r="118" spans="1:17" x14ac:dyDescent="0.3">
      <c r="A118" s="72">
        <v>322</v>
      </c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>
        <v>-5000</v>
      </c>
      <c r="N118" s="227"/>
      <c r="O118" s="227"/>
      <c r="P118" s="227"/>
      <c r="Q118" s="227">
        <v>-5000</v>
      </c>
    </row>
    <row r="119" spans="1:17" x14ac:dyDescent="0.3">
      <c r="A119" s="72">
        <v>323</v>
      </c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>
        <v>-1850</v>
      </c>
      <c r="P119" s="227"/>
      <c r="Q119" s="227">
        <v>-1850</v>
      </c>
    </row>
    <row r="120" spans="1:17" x14ac:dyDescent="0.3">
      <c r="A120" s="72">
        <v>324</v>
      </c>
      <c r="B120" s="227"/>
      <c r="C120" s="227"/>
      <c r="D120" s="227"/>
      <c r="E120" s="227"/>
      <c r="F120" s="227"/>
      <c r="G120" s="227">
        <v>-150</v>
      </c>
      <c r="H120" s="227"/>
      <c r="I120" s="227"/>
      <c r="J120" s="227"/>
      <c r="K120" s="227"/>
      <c r="L120" s="227"/>
      <c r="M120" s="227"/>
      <c r="N120" s="227"/>
      <c r="O120" s="227"/>
      <c r="P120" s="227"/>
      <c r="Q120" s="227">
        <v>-150</v>
      </c>
    </row>
    <row r="121" spans="1:17" x14ac:dyDescent="0.3">
      <c r="A121" s="72">
        <v>325</v>
      </c>
      <c r="B121" s="227"/>
      <c r="C121" s="227"/>
      <c r="D121" s="227"/>
      <c r="E121" s="227"/>
      <c r="F121" s="227"/>
      <c r="G121" s="227">
        <v>-320</v>
      </c>
      <c r="H121" s="227"/>
      <c r="I121" s="227"/>
      <c r="J121" s="227"/>
      <c r="K121" s="227"/>
      <c r="L121" s="227"/>
      <c r="M121" s="227"/>
      <c r="N121" s="227"/>
      <c r="O121" s="227"/>
      <c r="P121" s="227"/>
      <c r="Q121" s="227">
        <v>-320</v>
      </c>
    </row>
    <row r="122" spans="1:17" x14ac:dyDescent="0.3">
      <c r="A122" s="72">
        <v>326</v>
      </c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>
        <v>-1000</v>
      </c>
      <c r="P122" s="227"/>
      <c r="Q122" s="227">
        <v>-1000</v>
      </c>
    </row>
    <row r="123" spans="1:17" x14ac:dyDescent="0.3">
      <c r="A123" s="72">
        <v>327</v>
      </c>
      <c r="B123" s="227"/>
      <c r="C123" s="227"/>
      <c r="D123" s="227"/>
      <c r="E123" s="227"/>
      <c r="F123" s="227">
        <v>-50115</v>
      </c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>
        <v>-50115</v>
      </c>
    </row>
    <row r="124" spans="1:17" x14ac:dyDescent="0.3">
      <c r="A124" s="72">
        <v>329</v>
      </c>
      <c r="B124" s="227">
        <v>50000</v>
      </c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>
        <v>50000</v>
      </c>
    </row>
    <row r="125" spans="1:17" x14ac:dyDescent="0.3">
      <c r="A125" s="72">
        <v>330</v>
      </c>
      <c r="B125" s="227"/>
      <c r="C125" s="227"/>
      <c r="D125" s="227"/>
      <c r="E125" s="227">
        <v>-30000</v>
      </c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>
        <v>-30000</v>
      </c>
    </row>
    <row r="126" spans="1:17" x14ac:dyDescent="0.3">
      <c r="A126" s="72">
        <v>331</v>
      </c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>
        <v>-20000</v>
      </c>
      <c r="N126" s="227"/>
      <c r="O126" s="227"/>
      <c r="P126" s="227"/>
      <c r="Q126" s="227">
        <v>-20000</v>
      </c>
    </row>
    <row r="127" spans="1:17" x14ac:dyDescent="0.3">
      <c r="A127" s="72">
        <v>332</v>
      </c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>
        <v>-60000</v>
      </c>
      <c r="M127" s="227"/>
      <c r="N127" s="227"/>
      <c r="O127" s="227"/>
      <c r="P127" s="227"/>
      <c r="Q127" s="227">
        <v>-60000</v>
      </c>
    </row>
    <row r="128" spans="1:17" x14ac:dyDescent="0.3">
      <c r="A128" s="72">
        <v>333</v>
      </c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>
        <v>-7450</v>
      </c>
      <c r="P128" s="227"/>
      <c r="Q128" s="227">
        <v>-7450</v>
      </c>
    </row>
    <row r="129" spans="1:17" x14ac:dyDescent="0.3">
      <c r="A129" s="72">
        <v>334</v>
      </c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>
        <v>-12600</v>
      </c>
      <c r="P129" s="227"/>
      <c r="Q129" s="227">
        <v>-12600</v>
      </c>
    </row>
    <row r="130" spans="1:17" x14ac:dyDescent="0.3">
      <c r="A130" s="72">
        <v>335</v>
      </c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>
        <v>-12800</v>
      </c>
      <c r="P130" s="227"/>
      <c r="Q130" s="227">
        <v>-12800</v>
      </c>
    </row>
    <row r="131" spans="1:17" x14ac:dyDescent="0.3">
      <c r="A131" s="72">
        <v>336</v>
      </c>
      <c r="B131" s="227">
        <v>50000</v>
      </c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>
        <v>50000</v>
      </c>
    </row>
    <row r="132" spans="1:17" x14ac:dyDescent="0.3">
      <c r="A132" s="72">
        <v>337</v>
      </c>
      <c r="B132" s="227"/>
      <c r="C132" s="227"/>
      <c r="D132" s="227">
        <v>-100000</v>
      </c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>
        <v>-100000</v>
      </c>
    </row>
    <row r="133" spans="1:17" x14ac:dyDescent="0.3">
      <c r="A133" s="72">
        <v>338</v>
      </c>
      <c r="B133" s="227">
        <v>65000</v>
      </c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>
        <v>-25000</v>
      </c>
      <c r="O133" s="227"/>
      <c r="P133" s="227"/>
      <c r="Q133" s="227">
        <v>40000</v>
      </c>
    </row>
    <row r="134" spans="1:17" x14ac:dyDescent="0.3">
      <c r="A134" s="72">
        <v>339</v>
      </c>
      <c r="B134" s="227"/>
      <c r="C134" s="227"/>
      <c r="D134" s="227">
        <v>-100000</v>
      </c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>
        <v>-100000</v>
      </c>
    </row>
    <row r="135" spans="1:17" x14ac:dyDescent="0.3">
      <c r="A135" s="72">
        <v>340</v>
      </c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>
        <v>-25000</v>
      </c>
      <c r="N135" s="227"/>
      <c r="O135" s="227"/>
      <c r="P135" s="227"/>
      <c r="Q135" s="227">
        <v>-25000</v>
      </c>
    </row>
    <row r="136" spans="1:17" x14ac:dyDescent="0.3">
      <c r="A136" s="72">
        <v>341</v>
      </c>
      <c r="B136" s="227"/>
      <c r="C136" s="227"/>
      <c r="D136" s="227"/>
      <c r="E136" s="227">
        <v>-10000</v>
      </c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>
        <v>-10000</v>
      </c>
    </row>
    <row r="137" spans="1:17" x14ac:dyDescent="0.3">
      <c r="A137" s="72">
        <v>342</v>
      </c>
      <c r="B137" s="227">
        <v>35000</v>
      </c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>
        <v>35000</v>
      </c>
    </row>
    <row r="138" spans="1:17" x14ac:dyDescent="0.3">
      <c r="A138" s="72">
        <v>343</v>
      </c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>
        <v>-50000</v>
      </c>
      <c r="N138" s="227"/>
      <c r="O138" s="227"/>
      <c r="P138" s="227"/>
      <c r="Q138" s="227">
        <v>-50000</v>
      </c>
    </row>
    <row r="139" spans="1:17" x14ac:dyDescent="0.3">
      <c r="A139" s="72">
        <v>344</v>
      </c>
      <c r="B139" s="227"/>
      <c r="C139" s="227"/>
      <c r="D139" s="227"/>
      <c r="E139" s="227"/>
      <c r="F139" s="227"/>
      <c r="G139" s="227"/>
      <c r="H139" s="227"/>
      <c r="I139" s="227"/>
      <c r="J139" s="227"/>
      <c r="K139" s="227">
        <v>-23000</v>
      </c>
      <c r="L139" s="227"/>
      <c r="M139" s="227"/>
      <c r="N139" s="227"/>
      <c r="O139" s="227"/>
      <c r="P139" s="227"/>
      <c r="Q139" s="227">
        <v>-23000</v>
      </c>
    </row>
    <row r="140" spans="1:17" x14ac:dyDescent="0.3">
      <c r="A140" s="72">
        <v>345</v>
      </c>
      <c r="B140" s="227"/>
      <c r="C140" s="227"/>
      <c r="D140" s="227"/>
      <c r="E140" s="227"/>
      <c r="F140" s="227"/>
      <c r="G140" s="227">
        <v>-100</v>
      </c>
      <c r="H140" s="227"/>
      <c r="I140" s="227"/>
      <c r="J140" s="227"/>
      <c r="K140" s="227"/>
      <c r="L140" s="227"/>
      <c r="M140" s="227"/>
      <c r="N140" s="227"/>
      <c r="O140" s="227"/>
      <c r="P140" s="227"/>
      <c r="Q140" s="227">
        <v>-100</v>
      </c>
    </row>
    <row r="141" spans="1:17" x14ac:dyDescent="0.3">
      <c r="A141" s="72">
        <v>346</v>
      </c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>
        <v>-2000</v>
      </c>
      <c r="P141" s="227"/>
      <c r="Q141" s="227">
        <v>-2000</v>
      </c>
    </row>
    <row r="142" spans="1:17" x14ac:dyDescent="0.3">
      <c r="A142" s="72">
        <v>347</v>
      </c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>
        <v>-1000</v>
      </c>
      <c r="P142" s="227"/>
      <c r="Q142" s="227">
        <v>-1000</v>
      </c>
    </row>
    <row r="143" spans="1:17" x14ac:dyDescent="0.3">
      <c r="A143" s="72">
        <v>348</v>
      </c>
      <c r="B143" s="227"/>
      <c r="C143" s="227"/>
      <c r="D143" s="227"/>
      <c r="E143" s="227"/>
      <c r="F143" s="227"/>
      <c r="G143" s="227">
        <v>-200</v>
      </c>
      <c r="H143" s="227"/>
      <c r="I143" s="227"/>
      <c r="J143" s="227"/>
      <c r="K143" s="227"/>
      <c r="L143" s="227"/>
      <c r="M143" s="227"/>
      <c r="N143" s="227"/>
      <c r="O143" s="227"/>
      <c r="P143" s="227"/>
      <c r="Q143" s="227">
        <v>-200</v>
      </c>
    </row>
    <row r="144" spans="1:17" x14ac:dyDescent="0.3">
      <c r="A144" s="72">
        <v>349</v>
      </c>
      <c r="B144" s="227">
        <v>50000</v>
      </c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>
        <v>50000</v>
      </c>
    </row>
    <row r="145" spans="1:17" x14ac:dyDescent="0.3">
      <c r="A145" s="72">
        <v>350</v>
      </c>
      <c r="B145" s="227">
        <v>50000</v>
      </c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>
        <v>50000</v>
      </c>
    </row>
    <row r="146" spans="1:17" x14ac:dyDescent="0.3">
      <c r="A146" s="72">
        <v>351</v>
      </c>
      <c r="B146" s="227"/>
      <c r="C146" s="227"/>
      <c r="D146" s="227"/>
      <c r="E146" s="227">
        <v>-100000</v>
      </c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>
        <v>-100000</v>
      </c>
    </row>
    <row r="147" spans="1:17" x14ac:dyDescent="0.3">
      <c r="A147" s="72">
        <v>352</v>
      </c>
      <c r="B147" s="227"/>
      <c r="C147" s="227"/>
      <c r="D147" s="227"/>
      <c r="E147" s="227"/>
      <c r="F147" s="227"/>
      <c r="G147" s="227">
        <v>-50</v>
      </c>
      <c r="H147" s="227"/>
      <c r="I147" s="227"/>
      <c r="J147" s="227"/>
      <c r="K147" s="227"/>
      <c r="L147" s="227"/>
      <c r="M147" s="227"/>
      <c r="N147" s="227"/>
      <c r="O147" s="227"/>
      <c r="P147" s="227"/>
      <c r="Q147" s="227">
        <v>-50</v>
      </c>
    </row>
    <row r="148" spans="1:17" x14ac:dyDescent="0.3">
      <c r="A148" s="72">
        <v>353</v>
      </c>
      <c r="B148" s="227"/>
      <c r="C148" s="227"/>
      <c r="D148" s="227"/>
      <c r="E148" s="227"/>
      <c r="F148" s="227"/>
      <c r="G148" s="227">
        <v>-9100</v>
      </c>
      <c r="H148" s="227"/>
      <c r="I148" s="227"/>
      <c r="J148" s="227"/>
      <c r="K148" s="227"/>
      <c r="L148" s="227"/>
      <c r="M148" s="227"/>
      <c r="N148" s="227"/>
      <c r="O148" s="227"/>
      <c r="P148" s="227"/>
      <c r="Q148" s="227">
        <v>-9100</v>
      </c>
    </row>
    <row r="149" spans="1:17" x14ac:dyDescent="0.3">
      <c r="A149" s="72">
        <v>354</v>
      </c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>
        <v>-1000</v>
      </c>
      <c r="P149" s="227"/>
      <c r="Q149" s="227">
        <v>-1000</v>
      </c>
    </row>
    <row r="150" spans="1:17" x14ac:dyDescent="0.3">
      <c r="A150" s="72">
        <v>355</v>
      </c>
      <c r="B150" s="227"/>
      <c r="C150" s="227"/>
      <c r="D150" s="227"/>
      <c r="E150" s="227">
        <v>-10000</v>
      </c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>
        <v>-10000</v>
      </c>
    </row>
    <row r="151" spans="1:17" x14ac:dyDescent="0.3">
      <c r="A151" s="72">
        <v>356</v>
      </c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>
        <v>-50000</v>
      </c>
      <c r="N151" s="227"/>
      <c r="O151" s="227"/>
      <c r="P151" s="227"/>
      <c r="Q151" s="227">
        <v>-50000</v>
      </c>
    </row>
    <row r="152" spans="1:17" x14ac:dyDescent="0.3">
      <c r="A152" s="72">
        <v>357</v>
      </c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>
        <v>-1000</v>
      </c>
      <c r="P152" s="227"/>
      <c r="Q152" s="227">
        <v>-1000</v>
      </c>
    </row>
    <row r="153" spans="1:17" x14ac:dyDescent="0.3">
      <c r="A153" s="72">
        <v>358</v>
      </c>
      <c r="B153" s="227"/>
      <c r="C153" s="227"/>
      <c r="D153" s="227"/>
      <c r="E153" s="227"/>
      <c r="F153" s="227"/>
      <c r="G153" s="227"/>
      <c r="H153" s="227"/>
      <c r="I153" s="227">
        <v>-3000</v>
      </c>
      <c r="J153" s="227"/>
      <c r="K153" s="227"/>
      <c r="L153" s="227"/>
      <c r="M153" s="227"/>
      <c r="N153" s="227"/>
      <c r="O153" s="227"/>
      <c r="P153" s="227"/>
      <c r="Q153" s="227">
        <v>-3000</v>
      </c>
    </row>
    <row r="154" spans="1:17" x14ac:dyDescent="0.3">
      <c r="A154" s="72">
        <v>359</v>
      </c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>
        <v>-1000</v>
      </c>
      <c r="P154" s="227"/>
      <c r="Q154" s="227">
        <v>-1000</v>
      </c>
    </row>
    <row r="155" spans="1:17" x14ac:dyDescent="0.3">
      <c r="A155" s="72">
        <v>360</v>
      </c>
      <c r="B155" s="227"/>
      <c r="C155" s="227"/>
      <c r="D155" s="227"/>
      <c r="E155" s="227"/>
      <c r="F155" s="227"/>
      <c r="G155" s="227"/>
      <c r="H155" s="227"/>
      <c r="I155" s="227">
        <v>-1000</v>
      </c>
      <c r="J155" s="227"/>
      <c r="K155" s="227"/>
      <c r="L155" s="227"/>
      <c r="M155" s="227"/>
      <c r="N155" s="227"/>
      <c r="O155" s="227"/>
      <c r="P155" s="227"/>
      <c r="Q155" s="227">
        <v>-1000</v>
      </c>
    </row>
    <row r="156" spans="1:17" x14ac:dyDescent="0.3">
      <c r="A156" s="72">
        <v>361</v>
      </c>
      <c r="B156" s="227"/>
      <c r="C156" s="227"/>
      <c r="D156" s="227"/>
      <c r="E156" s="227"/>
      <c r="F156" s="227"/>
      <c r="G156" s="227">
        <v>-95</v>
      </c>
      <c r="H156" s="227"/>
      <c r="I156" s="227"/>
      <c r="J156" s="227"/>
      <c r="K156" s="227"/>
      <c r="L156" s="227"/>
      <c r="M156" s="227"/>
      <c r="N156" s="227"/>
      <c r="O156" s="227"/>
      <c r="P156" s="227"/>
      <c r="Q156" s="227">
        <v>-95</v>
      </c>
    </row>
    <row r="157" spans="1:17" x14ac:dyDescent="0.3">
      <c r="A157" s="72">
        <v>362</v>
      </c>
      <c r="B157" s="227"/>
      <c r="C157" s="227"/>
      <c r="D157" s="227"/>
      <c r="E157" s="227">
        <v>-10000</v>
      </c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>
        <v>-10000</v>
      </c>
    </row>
    <row r="158" spans="1:17" x14ac:dyDescent="0.3">
      <c r="A158" s="72">
        <v>363</v>
      </c>
      <c r="B158" s="227"/>
      <c r="C158" s="227"/>
      <c r="D158" s="227"/>
      <c r="E158" s="227"/>
      <c r="F158" s="227"/>
      <c r="G158" s="227">
        <v>-100</v>
      </c>
      <c r="H158" s="227"/>
      <c r="I158" s="227"/>
      <c r="J158" s="227"/>
      <c r="K158" s="227"/>
      <c r="L158" s="227"/>
      <c r="M158" s="227"/>
      <c r="N158" s="227"/>
      <c r="O158" s="227"/>
      <c r="P158" s="227"/>
      <c r="Q158" s="227">
        <v>-100</v>
      </c>
    </row>
    <row r="159" spans="1:17" x14ac:dyDescent="0.3">
      <c r="A159" s="72">
        <v>364</v>
      </c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>
        <v>-500</v>
      </c>
      <c r="P159" s="227"/>
      <c r="Q159" s="227">
        <v>-500</v>
      </c>
    </row>
    <row r="160" spans="1:17" x14ac:dyDescent="0.3">
      <c r="A160" s="72">
        <v>365</v>
      </c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>
        <v>-1000</v>
      </c>
      <c r="P160" s="227"/>
      <c r="Q160" s="227">
        <v>-1000</v>
      </c>
    </row>
    <row r="161" spans="1:17" x14ac:dyDescent="0.3">
      <c r="A161" s="72">
        <v>366</v>
      </c>
      <c r="B161" s="227">
        <v>50000</v>
      </c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>
        <v>50000</v>
      </c>
    </row>
    <row r="162" spans="1:17" x14ac:dyDescent="0.3">
      <c r="A162" s="72">
        <v>367</v>
      </c>
      <c r="B162" s="227"/>
      <c r="C162" s="227"/>
      <c r="D162" s="227"/>
      <c r="E162" s="227">
        <v>-25000</v>
      </c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>
        <v>-25000</v>
      </c>
    </row>
    <row r="163" spans="1:17" x14ac:dyDescent="0.3">
      <c r="A163" s="72">
        <v>368</v>
      </c>
      <c r="B163" s="227"/>
      <c r="C163" s="227"/>
      <c r="D163" s="227"/>
      <c r="E163" s="227"/>
      <c r="F163" s="227"/>
      <c r="G163" s="227"/>
      <c r="H163" s="227"/>
      <c r="I163" s="227"/>
      <c r="J163" s="227">
        <v>-20000</v>
      </c>
      <c r="K163" s="227"/>
      <c r="L163" s="227"/>
      <c r="M163" s="227"/>
      <c r="N163" s="227"/>
      <c r="O163" s="227"/>
      <c r="P163" s="227"/>
      <c r="Q163" s="227">
        <v>-20000</v>
      </c>
    </row>
    <row r="164" spans="1:17" x14ac:dyDescent="0.3">
      <c r="A164" s="72">
        <v>369</v>
      </c>
      <c r="B164" s="227"/>
      <c r="C164" s="227"/>
      <c r="D164" s="227"/>
      <c r="E164" s="227"/>
      <c r="F164" s="227"/>
      <c r="G164" s="227"/>
      <c r="H164" s="227"/>
      <c r="I164" s="227">
        <v>-5000</v>
      </c>
      <c r="J164" s="227"/>
      <c r="K164" s="227"/>
      <c r="L164" s="227"/>
      <c r="M164" s="227"/>
      <c r="N164" s="227"/>
      <c r="O164" s="227"/>
      <c r="P164" s="227"/>
      <c r="Q164" s="227">
        <v>-5000</v>
      </c>
    </row>
    <row r="165" spans="1:17" x14ac:dyDescent="0.3">
      <c r="A165" s="72">
        <v>370</v>
      </c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>
        <v>-3000</v>
      </c>
      <c r="P165" s="227"/>
      <c r="Q165" s="227">
        <v>-3000</v>
      </c>
    </row>
    <row r="166" spans="1:17" x14ac:dyDescent="0.3">
      <c r="A166" s="72">
        <v>372</v>
      </c>
      <c r="B166" s="227"/>
      <c r="C166" s="227"/>
      <c r="D166" s="227"/>
      <c r="E166" s="227"/>
      <c r="F166" s="227"/>
      <c r="G166" s="227">
        <v>-700</v>
      </c>
      <c r="H166" s="227"/>
      <c r="I166" s="227"/>
      <c r="J166" s="227"/>
      <c r="K166" s="227"/>
      <c r="L166" s="227"/>
      <c r="M166" s="227"/>
      <c r="N166" s="227"/>
      <c r="O166" s="227"/>
      <c r="P166" s="227"/>
      <c r="Q166" s="227">
        <v>-700</v>
      </c>
    </row>
    <row r="167" spans="1:17" x14ac:dyDescent="0.3">
      <c r="A167" s="72">
        <v>373</v>
      </c>
      <c r="B167" s="227"/>
      <c r="C167" s="227"/>
      <c r="D167" s="227"/>
      <c r="E167" s="227">
        <v>-50</v>
      </c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>
        <v>-50</v>
      </c>
    </row>
    <row r="168" spans="1:17" x14ac:dyDescent="0.3">
      <c r="A168" s="72">
        <v>374</v>
      </c>
      <c r="B168" s="227"/>
      <c r="C168" s="227"/>
      <c r="D168" s="227"/>
      <c r="E168" s="227"/>
      <c r="F168" s="227">
        <v>-8000</v>
      </c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>
        <v>-8000</v>
      </c>
    </row>
    <row r="169" spans="1:17" x14ac:dyDescent="0.3">
      <c r="A169" s="72">
        <v>375</v>
      </c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>
        <v>-10000</v>
      </c>
      <c r="N169" s="227"/>
      <c r="O169" s="227"/>
      <c r="P169" s="227"/>
      <c r="Q169" s="227">
        <v>-10000</v>
      </c>
    </row>
    <row r="170" spans="1:17" x14ac:dyDescent="0.3">
      <c r="A170" s="72">
        <v>376</v>
      </c>
      <c r="B170" s="227"/>
      <c r="C170" s="227"/>
      <c r="D170" s="227"/>
      <c r="E170" s="227"/>
      <c r="F170" s="227"/>
      <c r="G170" s="227"/>
      <c r="H170" s="227"/>
      <c r="I170" s="227">
        <v>-3000</v>
      </c>
      <c r="J170" s="227"/>
      <c r="K170" s="227"/>
      <c r="L170" s="227"/>
      <c r="M170" s="227"/>
      <c r="N170" s="227"/>
      <c r="O170" s="227"/>
      <c r="P170" s="227"/>
      <c r="Q170" s="227">
        <v>-3000</v>
      </c>
    </row>
    <row r="171" spans="1:17" x14ac:dyDescent="0.3">
      <c r="A171" s="72">
        <v>377</v>
      </c>
      <c r="B171" s="227">
        <v>50000</v>
      </c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>
        <v>50000</v>
      </c>
    </row>
    <row r="172" spans="1:17" x14ac:dyDescent="0.3">
      <c r="A172" s="72">
        <v>378</v>
      </c>
      <c r="B172" s="227"/>
      <c r="C172" s="227"/>
      <c r="D172" s="227"/>
      <c r="E172" s="227">
        <v>-10000</v>
      </c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>
        <v>-10000</v>
      </c>
    </row>
    <row r="173" spans="1:17" x14ac:dyDescent="0.3">
      <c r="A173" s="72">
        <v>379</v>
      </c>
      <c r="B173" s="227"/>
      <c r="C173" s="227"/>
      <c r="D173" s="227"/>
      <c r="E173" s="227"/>
      <c r="F173" s="227"/>
      <c r="G173" s="227">
        <v>-100</v>
      </c>
      <c r="H173" s="227"/>
      <c r="I173" s="227"/>
      <c r="J173" s="227"/>
      <c r="K173" s="227"/>
      <c r="L173" s="227"/>
      <c r="M173" s="227"/>
      <c r="N173" s="227"/>
      <c r="O173" s="227"/>
      <c r="P173" s="227"/>
      <c r="Q173" s="227">
        <v>-100</v>
      </c>
    </row>
    <row r="174" spans="1:17" x14ac:dyDescent="0.3">
      <c r="A174" s="72">
        <v>380</v>
      </c>
      <c r="B174" s="227"/>
      <c r="C174" s="227"/>
      <c r="D174" s="227"/>
      <c r="E174" s="227">
        <v>-5000</v>
      </c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>
        <v>-5000</v>
      </c>
    </row>
    <row r="175" spans="1:17" x14ac:dyDescent="0.3">
      <c r="A175" s="72">
        <v>381</v>
      </c>
      <c r="B175" s="227"/>
      <c r="C175" s="227"/>
      <c r="D175" s="227"/>
      <c r="E175" s="227"/>
      <c r="F175" s="227"/>
      <c r="G175" s="227">
        <v>-15560</v>
      </c>
      <c r="H175" s="227"/>
      <c r="I175" s="227"/>
      <c r="J175" s="227"/>
      <c r="K175" s="227"/>
      <c r="L175" s="227"/>
      <c r="M175" s="227"/>
      <c r="N175" s="227"/>
      <c r="O175" s="227"/>
      <c r="P175" s="227"/>
      <c r="Q175" s="227">
        <v>-15560</v>
      </c>
    </row>
    <row r="176" spans="1:17" x14ac:dyDescent="0.3">
      <c r="A176" s="72">
        <v>382</v>
      </c>
      <c r="B176" s="227"/>
      <c r="C176" s="227"/>
      <c r="D176" s="227"/>
      <c r="E176" s="227">
        <v>-5000</v>
      </c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>
        <v>-5000</v>
      </c>
    </row>
    <row r="177" spans="1:17" x14ac:dyDescent="0.3">
      <c r="A177" s="72">
        <v>383</v>
      </c>
      <c r="B177" s="227"/>
      <c r="C177" s="227"/>
      <c r="D177" s="227"/>
      <c r="E177" s="227"/>
      <c r="F177" s="227"/>
      <c r="G177" s="227">
        <v>-500</v>
      </c>
      <c r="H177" s="227"/>
      <c r="I177" s="227"/>
      <c r="J177" s="227"/>
      <c r="K177" s="227"/>
      <c r="L177" s="227"/>
      <c r="M177" s="227"/>
      <c r="N177" s="227"/>
      <c r="O177" s="227"/>
      <c r="P177" s="227"/>
      <c r="Q177" s="227">
        <v>-500</v>
      </c>
    </row>
    <row r="178" spans="1:17" x14ac:dyDescent="0.3">
      <c r="A178" s="72">
        <v>384</v>
      </c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>
        <v>-100</v>
      </c>
      <c r="P178" s="227"/>
      <c r="Q178" s="227">
        <v>-100</v>
      </c>
    </row>
    <row r="179" spans="1:17" x14ac:dyDescent="0.3">
      <c r="A179" s="72">
        <v>385</v>
      </c>
      <c r="B179" s="227"/>
      <c r="C179" s="227"/>
      <c r="D179" s="227"/>
      <c r="E179" s="227"/>
      <c r="F179" s="227"/>
      <c r="G179" s="227">
        <v>-100</v>
      </c>
      <c r="H179" s="227"/>
      <c r="I179" s="227"/>
      <c r="J179" s="227"/>
      <c r="K179" s="227"/>
      <c r="L179" s="227"/>
      <c r="M179" s="227"/>
      <c r="N179" s="227"/>
      <c r="O179" s="227"/>
      <c r="P179" s="227"/>
      <c r="Q179" s="227">
        <v>-100</v>
      </c>
    </row>
    <row r="180" spans="1:17" x14ac:dyDescent="0.3">
      <c r="A180" s="72">
        <v>386</v>
      </c>
      <c r="B180" s="227"/>
      <c r="C180" s="227"/>
      <c r="D180" s="227"/>
      <c r="E180" s="227"/>
      <c r="F180" s="227"/>
      <c r="G180" s="227"/>
      <c r="H180" s="227"/>
      <c r="I180" s="227">
        <v>-3000</v>
      </c>
      <c r="J180" s="227"/>
      <c r="K180" s="227"/>
      <c r="L180" s="227"/>
      <c r="M180" s="227"/>
      <c r="N180" s="227"/>
      <c r="O180" s="227"/>
      <c r="P180" s="227"/>
      <c r="Q180" s="227">
        <v>-3000</v>
      </c>
    </row>
    <row r="181" spans="1:17" x14ac:dyDescent="0.3">
      <c r="A181" s="72">
        <v>387</v>
      </c>
      <c r="B181" s="227"/>
      <c r="C181" s="227"/>
      <c r="D181" s="227"/>
      <c r="E181" s="227"/>
      <c r="F181" s="227"/>
      <c r="G181" s="227">
        <v>-200</v>
      </c>
      <c r="H181" s="227"/>
      <c r="I181" s="227"/>
      <c r="J181" s="227"/>
      <c r="K181" s="227"/>
      <c r="L181" s="227"/>
      <c r="M181" s="227"/>
      <c r="N181" s="227"/>
      <c r="O181" s="227"/>
      <c r="P181" s="227"/>
      <c r="Q181" s="227">
        <v>-200</v>
      </c>
    </row>
    <row r="182" spans="1:17" x14ac:dyDescent="0.3">
      <c r="A182" s="72">
        <v>388</v>
      </c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>
        <v>-1000</v>
      </c>
      <c r="P182" s="227"/>
      <c r="Q182" s="227">
        <v>-1000</v>
      </c>
    </row>
    <row r="183" spans="1:17" x14ac:dyDescent="0.3">
      <c r="A183" s="72">
        <v>389</v>
      </c>
      <c r="B183" s="227">
        <v>75000</v>
      </c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>
        <v>75000</v>
      </c>
    </row>
    <row r="184" spans="1:17" x14ac:dyDescent="0.3">
      <c r="A184" s="72">
        <v>390</v>
      </c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>
        <v>-50000</v>
      </c>
      <c r="N184" s="227"/>
      <c r="O184" s="227"/>
      <c r="P184" s="227"/>
      <c r="Q184" s="227">
        <v>-50000</v>
      </c>
    </row>
    <row r="185" spans="1:17" x14ac:dyDescent="0.3">
      <c r="A185" s="72">
        <v>391</v>
      </c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>
        <v>-13300</v>
      </c>
      <c r="P185" s="227"/>
      <c r="Q185" s="227">
        <v>-13300</v>
      </c>
    </row>
    <row r="186" spans="1:17" x14ac:dyDescent="0.3">
      <c r="A186" s="72">
        <v>392</v>
      </c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>
        <v>-16100</v>
      </c>
      <c r="P186" s="227"/>
      <c r="Q186" s="227">
        <v>-16100</v>
      </c>
    </row>
    <row r="187" spans="1:17" x14ac:dyDescent="0.3">
      <c r="A187" s="72">
        <v>393</v>
      </c>
      <c r="B187" s="227"/>
      <c r="C187" s="227"/>
      <c r="D187" s="227"/>
      <c r="E187" s="227"/>
      <c r="F187" s="227"/>
      <c r="G187" s="227"/>
      <c r="H187" s="227"/>
      <c r="I187" s="227">
        <v>-3000</v>
      </c>
      <c r="J187" s="227"/>
      <c r="K187" s="227"/>
      <c r="L187" s="227"/>
      <c r="M187" s="227"/>
      <c r="N187" s="227"/>
      <c r="O187" s="227"/>
      <c r="P187" s="227"/>
      <c r="Q187" s="227">
        <v>-3000</v>
      </c>
    </row>
    <row r="188" spans="1:17" x14ac:dyDescent="0.3">
      <c r="A188" s="72">
        <v>394</v>
      </c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>
        <v>-2000</v>
      </c>
      <c r="O188" s="227"/>
      <c r="P188" s="227"/>
      <c r="Q188" s="227">
        <v>-2000</v>
      </c>
    </row>
    <row r="189" spans="1:17" x14ac:dyDescent="0.3">
      <c r="A189" s="72">
        <v>395</v>
      </c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>
        <v>-5000</v>
      </c>
      <c r="O189" s="227"/>
      <c r="P189" s="227"/>
      <c r="Q189" s="227">
        <v>-5000</v>
      </c>
    </row>
    <row r="190" spans="1:17" x14ac:dyDescent="0.3">
      <c r="A190" s="72">
        <v>396</v>
      </c>
      <c r="B190" s="227">
        <v>50000</v>
      </c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>
        <v>50000</v>
      </c>
    </row>
    <row r="191" spans="1:17" x14ac:dyDescent="0.3">
      <c r="A191" s="72">
        <v>397</v>
      </c>
      <c r="B191" s="227"/>
      <c r="C191" s="227"/>
      <c r="D191" s="227"/>
      <c r="E191" s="227">
        <v>-15000</v>
      </c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>
        <v>-15000</v>
      </c>
    </row>
    <row r="192" spans="1:17" x14ac:dyDescent="0.3">
      <c r="A192" s="72">
        <v>398</v>
      </c>
      <c r="B192" s="227"/>
      <c r="C192" s="227"/>
      <c r="D192" s="227"/>
      <c r="E192" s="227"/>
      <c r="F192" s="227"/>
      <c r="G192" s="227"/>
      <c r="H192" s="227"/>
      <c r="I192" s="227">
        <v>-5050</v>
      </c>
      <c r="J192" s="227"/>
      <c r="K192" s="227"/>
      <c r="L192" s="227"/>
      <c r="M192" s="227"/>
      <c r="N192" s="227"/>
      <c r="O192" s="227"/>
      <c r="P192" s="227"/>
      <c r="Q192" s="227">
        <v>-5050</v>
      </c>
    </row>
    <row r="193" spans="1:17" x14ac:dyDescent="0.3">
      <c r="A193" s="72">
        <v>399</v>
      </c>
      <c r="B193" s="227"/>
      <c r="C193" s="227"/>
      <c r="D193" s="227"/>
      <c r="E193" s="227"/>
      <c r="F193" s="227"/>
      <c r="G193" s="227">
        <v>-170</v>
      </c>
      <c r="H193" s="227"/>
      <c r="I193" s="227"/>
      <c r="J193" s="227"/>
      <c r="K193" s="227"/>
      <c r="L193" s="227"/>
      <c r="M193" s="227"/>
      <c r="N193" s="227"/>
      <c r="O193" s="227"/>
      <c r="P193" s="227"/>
      <c r="Q193" s="227">
        <v>-170</v>
      </c>
    </row>
    <row r="194" spans="1:17" x14ac:dyDescent="0.3">
      <c r="A194" s="72">
        <v>400</v>
      </c>
      <c r="B194" s="227"/>
      <c r="C194" s="227"/>
      <c r="D194" s="227"/>
      <c r="E194" s="227"/>
      <c r="F194" s="227"/>
      <c r="G194" s="227"/>
      <c r="H194" s="227"/>
      <c r="I194" s="227"/>
      <c r="J194" s="227">
        <v>-30000</v>
      </c>
      <c r="K194" s="227"/>
      <c r="L194" s="227"/>
      <c r="M194" s="227"/>
      <c r="N194" s="227"/>
      <c r="O194" s="227"/>
      <c r="P194" s="227"/>
      <c r="Q194" s="227">
        <v>-30000</v>
      </c>
    </row>
    <row r="195" spans="1:17" x14ac:dyDescent="0.3">
      <c r="A195" s="72">
        <v>401</v>
      </c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>
        <v>-5000</v>
      </c>
      <c r="O195" s="227"/>
      <c r="P195" s="227"/>
      <c r="Q195" s="227">
        <v>-5000</v>
      </c>
    </row>
    <row r="196" spans="1:17" x14ac:dyDescent="0.3">
      <c r="A196" s="72">
        <v>402</v>
      </c>
      <c r="B196" s="227"/>
      <c r="C196" s="227"/>
      <c r="D196" s="227"/>
      <c r="E196" s="227"/>
      <c r="F196" s="227"/>
      <c r="G196" s="227">
        <v>-100</v>
      </c>
      <c r="H196" s="227"/>
      <c r="I196" s="227"/>
      <c r="J196" s="227"/>
      <c r="K196" s="227"/>
      <c r="L196" s="227"/>
      <c r="M196" s="227"/>
      <c r="N196" s="227"/>
      <c r="O196" s="227"/>
      <c r="P196" s="227"/>
      <c r="Q196" s="227">
        <v>-100</v>
      </c>
    </row>
    <row r="197" spans="1:17" x14ac:dyDescent="0.3">
      <c r="A197" s="72">
        <v>403</v>
      </c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>
        <v>-5650</v>
      </c>
      <c r="P197" s="227"/>
      <c r="Q197" s="227">
        <v>-5650</v>
      </c>
    </row>
    <row r="198" spans="1:17" x14ac:dyDescent="0.3">
      <c r="A198" s="72">
        <v>404</v>
      </c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>
        <v>-850</v>
      </c>
      <c r="P198" s="227"/>
      <c r="Q198" s="227">
        <v>-850</v>
      </c>
    </row>
    <row r="199" spans="1:17" x14ac:dyDescent="0.3">
      <c r="A199" s="72">
        <v>405</v>
      </c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>
        <v>-850</v>
      </c>
      <c r="P199" s="227"/>
      <c r="Q199" s="227">
        <v>-850</v>
      </c>
    </row>
    <row r="200" spans="1:17" x14ac:dyDescent="0.3">
      <c r="A200" s="72">
        <v>406</v>
      </c>
      <c r="B200" s="227">
        <v>60000</v>
      </c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>
        <v>60000</v>
      </c>
    </row>
    <row r="201" spans="1:17" x14ac:dyDescent="0.3">
      <c r="A201" s="72">
        <v>407</v>
      </c>
      <c r="B201" s="227"/>
      <c r="C201" s="227"/>
      <c r="D201" s="227"/>
      <c r="E201" s="227">
        <v>-10000</v>
      </c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>
        <v>-10000</v>
      </c>
    </row>
    <row r="202" spans="1:17" x14ac:dyDescent="0.3">
      <c r="A202" s="72">
        <v>408</v>
      </c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>
        <v>-5000</v>
      </c>
      <c r="O202" s="227"/>
      <c r="P202" s="227"/>
      <c r="Q202" s="227">
        <v>-5000</v>
      </c>
    </row>
    <row r="203" spans="1:17" x14ac:dyDescent="0.3">
      <c r="A203" s="72">
        <v>409</v>
      </c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>
        <v>-10000</v>
      </c>
      <c r="O203" s="227"/>
      <c r="P203" s="227"/>
      <c r="Q203" s="227">
        <v>-10000</v>
      </c>
    </row>
    <row r="204" spans="1:17" x14ac:dyDescent="0.3">
      <c r="A204" s="72">
        <v>410</v>
      </c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>
        <v>-10000</v>
      </c>
      <c r="O204" s="227"/>
      <c r="P204" s="227"/>
      <c r="Q204" s="227">
        <v>-10000</v>
      </c>
    </row>
    <row r="205" spans="1:17" x14ac:dyDescent="0.3">
      <c r="A205" s="72">
        <v>411</v>
      </c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>
        <v>-1000</v>
      </c>
      <c r="P205" s="227"/>
      <c r="Q205" s="227">
        <v>-1000</v>
      </c>
    </row>
    <row r="206" spans="1:17" x14ac:dyDescent="0.3">
      <c r="A206" s="72">
        <v>412</v>
      </c>
      <c r="B206" s="227"/>
      <c r="C206" s="227"/>
      <c r="D206" s="227"/>
      <c r="E206" s="227"/>
      <c r="F206" s="227"/>
      <c r="G206" s="227">
        <v>-350</v>
      </c>
      <c r="H206" s="227"/>
      <c r="I206" s="227"/>
      <c r="J206" s="227"/>
      <c r="K206" s="227"/>
      <c r="L206" s="227"/>
      <c r="M206" s="227"/>
      <c r="N206" s="227"/>
      <c r="O206" s="227"/>
      <c r="P206" s="227"/>
      <c r="Q206" s="227">
        <v>-350</v>
      </c>
    </row>
    <row r="207" spans="1:17" x14ac:dyDescent="0.3">
      <c r="A207" s="72">
        <v>413</v>
      </c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>
        <v>-5000</v>
      </c>
      <c r="O207" s="227"/>
      <c r="P207" s="227"/>
      <c r="Q207" s="227">
        <v>-5000</v>
      </c>
    </row>
    <row r="208" spans="1:17" x14ac:dyDescent="0.3">
      <c r="A208" s="72">
        <v>414</v>
      </c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>
        <v>-1000</v>
      </c>
      <c r="P208" s="227"/>
      <c r="Q208" s="227">
        <v>-1000</v>
      </c>
    </row>
    <row r="209" spans="1:17" x14ac:dyDescent="0.3">
      <c r="A209" s="72">
        <v>415</v>
      </c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>
        <v>-4000</v>
      </c>
      <c r="O209" s="227"/>
      <c r="P209" s="227"/>
      <c r="Q209" s="227">
        <v>-4000</v>
      </c>
    </row>
    <row r="210" spans="1:17" x14ac:dyDescent="0.3">
      <c r="A210" s="72">
        <v>416</v>
      </c>
      <c r="B210" s="227"/>
      <c r="C210" s="227"/>
      <c r="D210" s="227"/>
      <c r="E210" s="227"/>
      <c r="F210" s="227"/>
      <c r="G210" s="227">
        <v>-150</v>
      </c>
      <c r="H210" s="227"/>
      <c r="I210" s="227"/>
      <c r="J210" s="227"/>
      <c r="K210" s="227"/>
      <c r="L210" s="227"/>
      <c r="M210" s="227"/>
      <c r="N210" s="227"/>
      <c r="O210" s="227"/>
      <c r="P210" s="227"/>
      <c r="Q210" s="227">
        <v>-150</v>
      </c>
    </row>
    <row r="211" spans="1:17" x14ac:dyDescent="0.3">
      <c r="A211" s="72">
        <v>417</v>
      </c>
      <c r="B211" s="227">
        <v>20000</v>
      </c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>
        <v>20000</v>
      </c>
    </row>
    <row r="212" spans="1:17" x14ac:dyDescent="0.3">
      <c r="A212" s="72">
        <v>418</v>
      </c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>
        <v>-6000</v>
      </c>
      <c r="O212" s="227"/>
      <c r="P212" s="227"/>
      <c r="Q212" s="227">
        <v>-6000</v>
      </c>
    </row>
    <row r="213" spans="1:17" x14ac:dyDescent="0.3">
      <c r="A213" s="72">
        <v>419</v>
      </c>
      <c r="B213" s="227"/>
      <c r="C213" s="227"/>
      <c r="D213" s="227"/>
      <c r="E213" s="227">
        <v>-5000</v>
      </c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>
        <v>-5000</v>
      </c>
    </row>
    <row r="214" spans="1:17" x14ac:dyDescent="0.3">
      <c r="A214" s="72">
        <v>420</v>
      </c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>
        <v>-5000</v>
      </c>
      <c r="N214" s="227"/>
      <c r="O214" s="227"/>
      <c r="P214" s="227"/>
      <c r="Q214" s="227">
        <v>-5000</v>
      </c>
    </row>
    <row r="215" spans="1:17" x14ac:dyDescent="0.3">
      <c r="A215" s="72">
        <v>421</v>
      </c>
      <c r="B215" s="227"/>
      <c r="C215" s="227"/>
      <c r="D215" s="227"/>
      <c r="E215" s="227"/>
      <c r="F215" s="227"/>
      <c r="G215" s="227">
        <v>-260</v>
      </c>
      <c r="H215" s="227"/>
      <c r="I215" s="227"/>
      <c r="J215" s="227"/>
      <c r="K215" s="227"/>
      <c r="L215" s="227"/>
      <c r="M215" s="227"/>
      <c r="N215" s="227"/>
      <c r="O215" s="227"/>
      <c r="P215" s="227"/>
      <c r="Q215" s="227">
        <v>-260</v>
      </c>
    </row>
    <row r="216" spans="1:17" x14ac:dyDescent="0.3">
      <c r="A216" s="72">
        <v>422</v>
      </c>
      <c r="B216" s="227"/>
      <c r="C216" s="227"/>
      <c r="D216" s="227"/>
      <c r="E216" s="227"/>
      <c r="F216" s="227"/>
      <c r="G216" s="227">
        <v>-100</v>
      </c>
      <c r="H216" s="227"/>
      <c r="I216" s="227"/>
      <c r="J216" s="227"/>
      <c r="K216" s="227"/>
      <c r="L216" s="227"/>
      <c r="M216" s="227"/>
      <c r="N216" s="227"/>
      <c r="O216" s="227"/>
      <c r="P216" s="227"/>
      <c r="Q216" s="227">
        <v>-100</v>
      </c>
    </row>
    <row r="217" spans="1:17" x14ac:dyDescent="0.3">
      <c r="A217" s="72">
        <v>423</v>
      </c>
      <c r="B217" s="227">
        <v>30000</v>
      </c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>
        <v>30000</v>
      </c>
    </row>
    <row r="218" spans="1:17" x14ac:dyDescent="0.3">
      <c r="A218" s="72">
        <v>424</v>
      </c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>
        <v>-1000</v>
      </c>
      <c r="P218" s="227"/>
      <c r="Q218" s="227">
        <v>-1000</v>
      </c>
    </row>
    <row r="219" spans="1:17" x14ac:dyDescent="0.3">
      <c r="A219" s="72">
        <v>425</v>
      </c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>
        <v>-1000</v>
      </c>
      <c r="P219" s="227"/>
      <c r="Q219" s="227">
        <v>-1000</v>
      </c>
    </row>
    <row r="220" spans="1:17" x14ac:dyDescent="0.3">
      <c r="A220" s="72">
        <v>426</v>
      </c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>
        <v>-5000</v>
      </c>
      <c r="O220" s="227"/>
      <c r="P220" s="227"/>
      <c r="Q220" s="227">
        <v>-5000</v>
      </c>
    </row>
    <row r="221" spans="1:17" x14ac:dyDescent="0.3">
      <c r="A221" s="72">
        <v>427</v>
      </c>
      <c r="B221" s="227"/>
      <c r="C221" s="227"/>
      <c r="D221" s="227"/>
      <c r="E221" s="227"/>
      <c r="F221" s="227"/>
      <c r="G221" s="227">
        <v>-150</v>
      </c>
      <c r="H221" s="227"/>
      <c r="I221" s="227"/>
      <c r="J221" s="227"/>
      <c r="K221" s="227"/>
      <c r="L221" s="227"/>
      <c r="M221" s="227"/>
      <c r="N221" s="227"/>
      <c r="O221" s="227"/>
      <c r="P221" s="227"/>
      <c r="Q221" s="227">
        <v>-150</v>
      </c>
    </row>
    <row r="222" spans="1:17" x14ac:dyDescent="0.3">
      <c r="A222" s="72">
        <v>428</v>
      </c>
      <c r="B222" s="227"/>
      <c r="C222" s="227"/>
      <c r="D222" s="227"/>
      <c r="E222" s="227"/>
      <c r="F222" s="227"/>
      <c r="G222" s="227">
        <v>-50</v>
      </c>
      <c r="H222" s="227"/>
      <c r="I222" s="227"/>
      <c r="J222" s="227"/>
      <c r="K222" s="227"/>
      <c r="L222" s="227"/>
      <c r="M222" s="227"/>
      <c r="N222" s="227"/>
      <c r="O222" s="227"/>
      <c r="P222" s="227"/>
      <c r="Q222" s="227">
        <v>-50</v>
      </c>
    </row>
    <row r="223" spans="1:17" x14ac:dyDescent="0.3">
      <c r="A223" s="72">
        <v>429</v>
      </c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>
        <v>-5000</v>
      </c>
      <c r="O223" s="227"/>
      <c r="P223" s="227"/>
      <c r="Q223" s="227">
        <v>-5000</v>
      </c>
    </row>
    <row r="224" spans="1:17" x14ac:dyDescent="0.3">
      <c r="A224" s="72">
        <v>430</v>
      </c>
      <c r="B224" s="227">
        <v>300000</v>
      </c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>
        <v>300000</v>
      </c>
    </row>
    <row r="225" spans="1:17" x14ac:dyDescent="0.3">
      <c r="A225" s="72">
        <v>431</v>
      </c>
      <c r="B225" s="227"/>
      <c r="C225" s="227"/>
      <c r="D225" s="227"/>
      <c r="E225" s="227">
        <v>-12000</v>
      </c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>
        <v>-12000</v>
      </c>
    </row>
    <row r="226" spans="1:17" x14ac:dyDescent="0.3">
      <c r="A226" s="72">
        <v>432</v>
      </c>
      <c r="B226" s="227"/>
      <c r="C226" s="227"/>
      <c r="D226" s="227"/>
      <c r="E226" s="227"/>
      <c r="F226" s="227"/>
      <c r="G226" s="227">
        <v>-350</v>
      </c>
      <c r="H226" s="227"/>
      <c r="I226" s="227"/>
      <c r="J226" s="227"/>
      <c r="K226" s="227"/>
      <c r="L226" s="227"/>
      <c r="M226" s="227"/>
      <c r="N226" s="227"/>
      <c r="O226" s="227"/>
      <c r="P226" s="227"/>
      <c r="Q226" s="227">
        <v>-350</v>
      </c>
    </row>
    <row r="227" spans="1:17" x14ac:dyDescent="0.3">
      <c r="A227" s="72">
        <v>433</v>
      </c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>
        <v>-2000</v>
      </c>
      <c r="P227" s="227"/>
      <c r="Q227" s="227">
        <v>-2000</v>
      </c>
    </row>
    <row r="228" spans="1:17" x14ac:dyDescent="0.3">
      <c r="A228" s="72">
        <v>434</v>
      </c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>
        <v>-2000</v>
      </c>
      <c r="P228" s="227"/>
      <c r="Q228" s="227">
        <v>-2000</v>
      </c>
    </row>
    <row r="229" spans="1:17" x14ac:dyDescent="0.3">
      <c r="A229" s="72">
        <v>435</v>
      </c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>
        <v>-2000</v>
      </c>
      <c r="P229" s="227"/>
      <c r="Q229" s="227">
        <v>-2000</v>
      </c>
    </row>
    <row r="230" spans="1:17" x14ac:dyDescent="0.3">
      <c r="A230" s="72">
        <v>436</v>
      </c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>
        <v>-1000</v>
      </c>
      <c r="P230" s="227"/>
      <c r="Q230" s="227">
        <v>-1000</v>
      </c>
    </row>
    <row r="231" spans="1:17" x14ac:dyDescent="0.3">
      <c r="A231" s="72">
        <v>437</v>
      </c>
      <c r="B231" s="227"/>
      <c r="C231" s="227"/>
      <c r="D231" s="227"/>
      <c r="E231" s="227"/>
      <c r="F231" s="227"/>
      <c r="G231" s="227"/>
      <c r="H231" s="227"/>
      <c r="I231" s="227"/>
      <c r="J231" s="227"/>
      <c r="K231" s="227">
        <v>-66000</v>
      </c>
      <c r="L231" s="227"/>
      <c r="M231" s="227"/>
      <c r="N231" s="227"/>
      <c r="O231" s="227"/>
      <c r="P231" s="227"/>
      <c r="Q231" s="227">
        <v>-66000</v>
      </c>
    </row>
    <row r="232" spans="1:17" x14ac:dyDescent="0.3">
      <c r="A232" s="72">
        <v>438</v>
      </c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>
        <v>-30000</v>
      </c>
      <c r="N232" s="227"/>
      <c r="O232" s="227"/>
      <c r="P232" s="227"/>
      <c r="Q232" s="227">
        <v>-30000</v>
      </c>
    </row>
    <row r="233" spans="1:17" x14ac:dyDescent="0.3">
      <c r="A233" s="72">
        <v>439</v>
      </c>
      <c r="B233" s="227"/>
      <c r="C233" s="227"/>
      <c r="D233" s="227">
        <v>-100000</v>
      </c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>
        <v>-100000</v>
      </c>
    </row>
    <row r="234" spans="1:17" x14ac:dyDescent="0.3">
      <c r="A234" s="72">
        <v>440</v>
      </c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>
        <v>-60000</v>
      </c>
      <c r="M234" s="227"/>
      <c r="N234" s="227"/>
      <c r="O234" s="227"/>
      <c r="P234" s="227"/>
      <c r="Q234" s="227">
        <v>-60000</v>
      </c>
    </row>
    <row r="235" spans="1:17" x14ac:dyDescent="0.3">
      <c r="A235" s="72">
        <v>441</v>
      </c>
      <c r="B235" s="227"/>
      <c r="C235" s="227"/>
      <c r="D235" s="227"/>
      <c r="E235" s="227"/>
      <c r="F235" s="227"/>
      <c r="G235" s="227">
        <v>-100</v>
      </c>
      <c r="H235" s="227"/>
      <c r="I235" s="227"/>
      <c r="J235" s="227"/>
      <c r="K235" s="227"/>
      <c r="L235" s="227"/>
      <c r="M235" s="227"/>
      <c r="N235" s="227"/>
      <c r="O235" s="227"/>
      <c r="P235" s="227"/>
      <c r="Q235" s="227">
        <v>-100</v>
      </c>
    </row>
    <row r="236" spans="1:17" x14ac:dyDescent="0.3">
      <c r="A236" s="72">
        <v>442</v>
      </c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>
        <v>-2000</v>
      </c>
      <c r="O236" s="227"/>
      <c r="P236" s="227"/>
      <c r="Q236" s="227">
        <v>-2000</v>
      </c>
    </row>
    <row r="237" spans="1:17" x14ac:dyDescent="0.3">
      <c r="A237" s="72">
        <v>443</v>
      </c>
      <c r="B237" s="227"/>
      <c r="C237" s="227"/>
      <c r="D237" s="227"/>
      <c r="E237" s="227">
        <v>-2000</v>
      </c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>
        <v>-2000</v>
      </c>
    </row>
    <row r="238" spans="1:17" x14ac:dyDescent="0.3">
      <c r="A238" s="72">
        <v>444</v>
      </c>
      <c r="B238" s="227"/>
      <c r="C238" s="227"/>
      <c r="D238" s="227"/>
      <c r="E238" s="227"/>
      <c r="F238" s="227"/>
      <c r="G238" s="227">
        <v>-240</v>
      </c>
      <c r="H238" s="227"/>
      <c r="I238" s="227"/>
      <c r="J238" s="227"/>
      <c r="K238" s="227"/>
      <c r="L238" s="227"/>
      <c r="M238" s="227"/>
      <c r="N238" s="227"/>
      <c r="O238" s="227"/>
      <c r="P238" s="227"/>
      <c r="Q238" s="227">
        <v>-240</v>
      </c>
    </row>
    <row r="239" spans="1:17" x14ac:dyDescent="0.3">
      <c r="A239" s="72">
        <v>445</v>
      </c>
      <c r="B239" s="227"/>
      <c r="C239" s="227"/>
      <c r="D239" s="227"/>
      <c r="E239" s="227"/>
      <c r="F239" s="227"/>
      <c r="G239" s="227"/>
      <c r="H239" s="227"/>
      <c r="I239" s="227">
        <v>-3750</v>
      </c>
      <c r="J239" s="227"/>
      <c r="K239" s="227"/>
      <c r="L239" s="227"/>
      <c r="M239" s="227"/>
      <c r="N239" s="227"/>
      <c r="O239" s="227"/>
      <c r="P239" s="227"/>
      <c r="Q239" s="227">
        <v>-3750</v>
      </c>
    </row>
    <row r="240" spans="1:17" x14ac:dyDescent="0.3">
      <c r="A240" s="72">
        <v>446</v>
      </c>
      <c r="B240" s="227"/>
      <c r="C240" s="227"/>
      <c r="D240" s="227"/>
      <c r="E240" s="227"/>
      <c r="F240" s="227"/>
      <c r="G240" s="227">
        <v>-240</v>
      </c>
      <c r="H240" s="227"/>
      <c r="I240" s="227"/>
      <c r="J240" s="227"/>
      <c r="K240" s="227"/>
      <c r="L240" s="227"/>
      <c r="M240" s="227"/>
      <c r="N240" s="227"/>
      <c r="O240" s="227"/>
      <c r="P240" s="227"/>
      <c r="Q240" s="227">
        <v>-240</v>
      </c>
    </row>
    <row r="241" spans="1:17" x14ac:dyDescent="0.3">
      <c r="A241" s="72">
        <v>447</v>
      </c>
      <c r="B241" s="227"/>
      <c r="C241" s="227"/>
      <c r="D241" s="227"/>
      <c r="E241" s="227">
        <v>-10000</v>
      </c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>
        <v>-10000</v>
      </c>
    </row>
    <row r="242" spans="1:17" x14ac:dyDescent="0.3">
      <c r="A242" s="72">
        <v>448</v>
      </c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>
        <v>-6000</v>
      </c>
      <c r="O242" s="227"/>
      <c r="P242" s="227"/>
      <c r="Q242" s="227">
        <v>-6000</v>
      </c>
    </row>
    <row r="243" spans="1:17" x14ac:dyDescent="0.3">
      <c r="A243" s="72">
        <v>449</v>
      </c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>
        <v>-500</v>
      </c>
      <c r="P243" s="227"/>
      <c r="Q243" s="227">
        <v>-500</v>
      </c>
    </row>
    <row r="244" spans="1:17" x14ac:dyDescent="0.3">
      <c r="A244" s="72">
        <v>450</v>
      </c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>
        <v>-3000</v>
      </c>
      <c r="O244" s="227"/>
      <c r="P244" s="227"/>
      <c r="Q244" s="227">
        <v>-3000</v>
      </c>
    </row>
    <row r="245" spans="1:17" x14ac:dyDescent="0.3">
      <c r="A245" s="72">
        <v>451</v>
      </c>
      <c r="B245" s="227"/>
      <c r="C245" s="227"/>
      <c r="D245" s="227"/>
      <c r="E245" s="227"/>
      <c r="F245" s="227"/>
      <c r="G245" s="227">
        <v>-70</v>
      </c>
      <c r="H245" s="227"/>
      <c r="I245" s="227"/>
      <c r="J245" s="227"/>
      <c r="K245" s="227"/>
      <c r="L245" s="227"/>
      <c r="M245" s="227"/>
      <c r="N245" s="227"/>
      <c r="O245" s="227"/>
      <c r="P245" s="227"/>
      <c r="Q245" s="227">
        <v>-70</v>
      </c>
    </row>
    <row r="246" spans="1:17" x14ac:dyDescent="0.3">
      <c r="A246" s="72">
        <v>452</v>
      </c>
      <c r="B246" s="227"/>
      <c r="C246" s="227"/>
      <c r="D246" s="227"/>
      <c r="E246" s="227"/>
      <c r="F246" s="227"/>
      <c r="G246" s="227">
        <v>-75</v>
      </c>
      <c r="H246" s="227"/>
      <c r="I246" s="227"/>
      <c r="J246" s="227"/>
      <c r="K246" s="227"/>
      <c r="L246" s="227"/>
      <c r="M246" s="227"/>
      <c r="N246" s="227"/>
      <c r="O246" s="227"/>
      <c r="P246" s="227"/>
      <c r="Q246" s="227">
        <v>-75</v>
      </c>
    </row>
    <row r="247" spans="1:17" x14ac:dyDescent="0.3">
      <c r="A247" s="72">
        <v>453</v>
      </c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>
        <v>-1000</v>
      </c>
      <c r="P247" s="227"/>
      <c r="Q247" s="227">
        <v>-1000</v>
      </c>
    </row>
    <row r="248" spans="1:17" x14ac:dyDescent="0.3">
      <c r="A248" s="72">
        <v>454</v>
      </c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>
        <v>-1000</v>
      </c>
      <c r="P248" s="227"/>
      <c r="Q248" s="227">
        <v>-1000</v>
      </c>
    </row>
    <row r="249" spans="1:17" x14ac:dyDescent="0.3">
      <c r="A249" s="72">
        <v>455</v>
      </c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>
        <v>-7000</v>
      </c>
      <c r="O249" s="227"/>
      <c r="P249" s="227"/>
      <c r="Q249" s="227">
        <v>-7000</v>
      </c>
    </row>
    <row r="250" spans="1:17" x14ac:dyDescent="0.3">
      <c r="A250" s="72">
        <v>456</v>
      </c>
      <c r="B250" s="227"/>
      <c r="C250" s="227"/>
      <c r="D250" s="227"/>
      <c r="E250" s="227">
        <v>-4000</v>
      </c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>
        <v>-4000</v>
      </c>
    </row>
    <row r="251" spans="1:17" x14ac:dyDescent="0.3">
      <c r="A251" s="72">
        <v>457</v>
      </c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>
        <v>-3000</v>
      </c>
      <c r="O251" s="227"/>
      <c r="P251" s="227"/>
      <c r="Q251" s="227">
        <v>-3000</v>
      </c>
    </row>
    <row r="252" spans="1:17" x14ac:dyDescent="0.3">
      <c r="A252" s="72">
        <v>458</v>
      </c>
      <c r="B252" s="227"/>
      <c r="C252" s="227"/>
      <c r="D252" s="227"/>
      <c r="E252" s="227"/>
      <c r="F252" s="227"/>
      <c r="G252" s="227">
        <v>-100</v>
      </c>
      <c r="H252" s="227"/>
      <c r="I252" s="227"/>
      <c r="J252" s="227"/>
      <c r="K252" s="227"/>
      <c r="L252" s="227"/>
      <c r="M252" s="227"/>
      <c r="N252" s="227"/>
      <c r="O252" s="227"/>
      <c r="P252" s="227"/>
      <c r="Q252" s="227">
        <v>-100</v>
      </c>
    </row>
    <row r="253" spans="1:17" x14ac:dyDescent="0.3">
      <c r="A253" s="72">
        <v>459</v>
      </c>
      <c r="B253" s="227">
        <v>49000</v>
      </c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>
        <v>49000</v>
      </c>
    </row>
    <row r="254" spans="1:17" x14ac:dyDescent="0.3">
      <c r="A254" s="72">
        <v>460</v>
      </c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>
        <v>-850</v>
      </c>
      <c r="N254" s="227"/>
      <c r="O254" s="227"/>
      <c r="P254" s="227"/>
      <c r="Q254" s="227">
        <v>-850</v>
      </c>
    </row>
    <row r="255" spans="1:17" x14ac:dyDescent="0.3">
      <c r="A255" s="72">
        <v>461</v>
      </c>
      <c r="B255" s="227"/>
      <c r="C255" s="227"/>
      <c r="D255" s="227"/>
      <c r="E255" s="227"/>
      <c r="F255" s="227"/>
      <c r="G255" s="227">
        <v>-60</v>
      </c>
      <c r="H255" s="227"/>
      <c r="I255" s="227"/>
      <c r="J255" s="227"/>
      <c r="K255" s="227"/>
      <c r="L255" s="227"/>
      <c r="M255" s="227"/>
      <c r="N255" s="227"/>
      <c r="O255" s="227"/>
      <c r="P255" s="227"/>
      <c r="Q255" s="227">
        <v>-60</v>
      </c>
    </row>
    <row r="256" spans="1:17" x14ac:dyDescent="0.3">
      <c r="A256" s="72">
        <v>462</v>
      </c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>
        <v>-1000</v>
      </c>
      <c r="O256" s="227"/>
      <c r="P256" s="227"/>
      <c r="Q256" s="227">
        <v>-1000</v>
      </c>
    </row>
    <row r="257" spans="1:17" x14ac:dyDescent="0.3">
      <c r="A257" s="72">
        <v>463</v>
      </c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>
        <v>-30000</v>
      </c>
      <c r="N257" s="227"/>
      <c r="O257" s="227"/>
      <c r="P257" s="227"/>
      <c r="Q257" s="227">
        <v>-30000</v>
      </c>
    </row>
    <row r="258" spans="1:17" x14ac:dyDescent="0.3">
      <c r="A258" s="72">
        <v>464</v>
      </c>
      <c r="B258" s="227"/>
      <c r="C258" s="227"/>
      <c r="D258" s="227"/>
      <c r="E258" s="227">
        <v>-10000</v>
      </c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>
        <v>-10000</v>
      </c>
    </row>
    <row r="259" spans="1:17" x14ac:dyDescent="0.3">
      <c r="A259" s="72">
        <v>465</v>
      </c>
      <c r="B259" s="227"/>
      <c r="C259" s="227"/>
      <c r="D259" s="227"/>
      <c r="E259" s="227">
        <v>-5000</v>
      </c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>
        <v>-5000</v>
      </c>
    </row>
    <row r="260" spans="1:17" x14ac:dyDescent="0.3">
      <c r="A260" s="72">
        <v>466</v>
      </c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>
        <v>-1000</v>
      </c>
      <c r="P260" s="227"/>
      <c r="Q260" s="227">
        <v>-1000</v>
      </c>
    </row>
    <row r="261" spans="1:17" x14ac:dyDescent="0.3">
      <c r="A261" s="72">
        <v>467</v>
      </c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>
        <v>-1000</v>
      </c>
      <c r="P261" s="227"/>
      <c r="Q261" s="227">
        <v>-1000</v>
      </c>
    </row>
    <row r="262" spans="1:17" x14ac:dyDescent="0.3">
      <c r="A262" s="72">
        <v>468</v>
      </c>
      <c r="B262" s="227"/>
      <c r="C262" s="227"/>
      <c r="D262" s="227"/>
      <c r="E262" s="227"/>
      <c r="F262" s="227"/>
      <c r="G262" s="227">
        <v>-50</v>
      </c>
      <c r="H262" s="227"/>
      <c r="I262" s="227"/>
      <c r="J262" s="227"/>
      <c r="K262" s="227"/>
      <c r="L262" s="227"/>
      <c r="M262" s="227"/>
      <c r="N262" s="227"/>
      <c r="O262" s="227"/>
      <c r="P262" s="227"/>
      <c r="Q262" s="227">
        <v>-50</v>
      </c>
    </row>
    <row r="263" spans="1:17" x14ac:dyDescent="0.3">
      <c r="A263" s="72">
        <v>469</v>
      </c>
      <c r="B263" s="227">
        <v>50000</v>
      </c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>
        <v>50000</v>
      </c>
    </row>
    <row r="264" spans="1:17" x14ac:dyDescent="0.3">
      <c r="A264" s="72">
        <v>470</v>
      </c>
      <c r="B264" s="227"/>
      <c r="C264" s="227"/>
      <c r="D264" s="227"/>
      <c r="E264" s="227">
        <v>-20000</v>
      </c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>
        <v>-20000</v>
      </c>
    </row>
    <row r="265" spans="1:17" x14ac:dyDescent="0.3">
      <c r="A265" s="72">
        <v>471</v>
      </c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>
        <v>-1000</v>
      </c>
      <c r="P265" s="227"/>
      <c r="Q265" s="227">
        <v>-1000</v>
      </c>
    </row>
    <row r="266" spans="1:17" x14ac:dyDescent="0.3">
      <c r="A266" s="72">
        <v>472</v>
      </c>
      <c r="B266" s="227"/>
      <c r="C266" s="227"/>
      <c r="D266" s="227"/>
      <c r="E266" s="227"/>
      <c r="F266" s="227"/>
      <c r="G266" s="227">
        <v>-40</v>
      </c>
      <c r="H266" s="227"/>
      <c r="I266" s="227"/>
      <c r="J266" s="227"/>
      <c r="K266" s="227"/>
      <c r="L266" s="227"/>
      <c r="M266" s="227"/>
      <c r="N266" s="227"/>
      <c r="O266" s="227"/>
      <c r="P266" s="227"/>
      <c r="Q266" s="227">
        <v>-40</v>
      </c>
    </row>
    <row r="267" spans="1:17" x14ac:dyDescent="0.3">
      <c r="A267" s="72">
        <v>473</v>
      </c>
      <c r="B267" s="227"/>
      <c r="C267" s="227"/>
      <c r="D267" s="227"/>
      <c r="E267" s="227"/>
      <c r="F267" s="227"/>
      <c r="G267" s="227">
        <v>-50</v>
      </c>
      <c r="H267" s="227"/>
      <c r="I267" s="227"/>
      <c r="J267" s="227"/>
      <c r="K267" s="227"/>
      <c r="L267" s="227"/>
      <c r="M267" s="227"/>
      <c r="N267" s="227"/>
      <c r="O267" s="227"/>
      <c r="P267" s="227"/>
      <c r="Q267" s="227">
        <v>-50</v>
      </c>
    </row>
    <row r="268" spans="1:17" x14ac:dyDescent="0.3">
      <c r="A268" s="72">
        <v>474</v>
      </c>
      <c r="B268" s="227">
        <v>100000</v>
      </c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>
        <v>100000</v>
      </c>
    </row>
    <row r="269" spans="1:17" x14ac:dyDescent="0.3">
      <c r="A269" s="72">
        <v>475</v>
      </c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>
        <v>-30000</v>
      </c>
      <c r="N269" s="227"/>
      <c r="O269" s="227"/>
      <c r="P269" s="227"/>
      <c r="Q269" s="227">
        <v>-30000</v>
      </c>
    </row>
    <row r="270" spans="1:17" x14ac:dyDescent="0.3">
      <c r="A270" s="72">
        <v>476</v>
      </c>
      <c r="B270" s="227"/>
      <c r="C270" s="227"/>
      <c r="D270" s="227"/>
      <c r="E270" s="227"/>
      <c r="F270" s="227"/>
      <c r="G270" s="227"/>
      <c r="H270" s="227"/>
      <c r="I270" s="227"/>
      <c r="J270" s="227"/>
      <c r="K270" s="227">
        <v>-22000</v>
      </c>
      <c r="L270" s="227"/>
      <c r="M270" s="227"/>
      <c r="N270" s="227"/>
      <c r="O270" s="227"/>
      <c r="P270" s="227"/>
      <c r="Q270" s="227">
        <v>-22000</v>
      </c>
    </row>
    <row r="271" spans="1:17" x14ac:dyDescent="0.3">
      <c r="A271" s="72">
        <v>477</v>
      </c>
      <c r="B271" s="227"/>
      <c r="C271" s="227"/>
      <c r="D271" s="227"/>
      <c r="E271" s="227"/>
      <c r="F271" s="227"/>
      <c r="G271" s="227">
        <v>-2000</v>
      </c>
      <c r="H271" s="227"/>
      <c r="I271" s="227"/>
      <c r="J271" s="227"/>
      <c r="K271" s="227"/>
      <c r="L271" s="227"/>
      <c r="M271" s="227"/>
      <c r="N271" s="227"/>
      <c r="O271" s="227"/>
      <c r="P271" s="227"/>
      <c r="Q271" s="227">
        <v>-2000</v>
      </c>
    </row>
    <row r="272" spans="1:17" x14ac:dyDescent="0.3">
      <c r="A272" s="72">
        <v>478</v>
      </c>
      <c r="B272" s="227"/>
      <c r="C272" s="227"/>
      <c r="D272" s="227"/>
      <c r="E272" s="227"/>
      <c r="F272" s="227"/>
      <c r="G272" s="227">
        <v>-150</v>
      </c>
      <c r="H272" s="227"/>
      <c r="I272" s="227"/>
      <c r="J272" s="227"/>
      <c r="K272" s="227"/>
      <c r="L272" s="227"/>
      <c r="M272" s="227"/>
      <c r="N272" s="227"/>
      <c r="O272" s="227"/>
      <c r="P272" s="227"/>
      <c r="Q272" s="227">
        <v>-150</v>
      </c>
    </row>
    <row r="273" spans="1:17" x14ac:dyDescent="0.3">
      <c r="A273" s="72">
        <v>479</v>
      </c>
      <c r="B273" s="227"/>
      <c r="C273" s="227"/>
      <c r="D273" s="227"/>
      <c r="E273" s="227">
        <v>-20000</v>
      </c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>
        <v>-20000</v>
      </c>
    </row>
    <row r="274" spans="1:17" x14ac:dyDescent="0.3">
      <c r="A274" s="72">
        <v>480</v>
      </c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>
        <v>-1000</v>
      </c>
      <c r="P274" s="227"/>
      <c r="Q274" s="227">
        <v>-1000</v>
      </c>
    </row>
    <row r="275" spans="1:17" x14ac:dyDescent="0.3">
      <c r="A275" s="72">
        <v>481</v>
      </c>
      <c r="B275" s="227"/>
      <c r="C275" s="227"/>
      <c r="D275" s="227"/>
      <c r="E275" s="227"/>
      <c r="F275" s="227">
        <v>-30000</v>
      </c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>
        <v>-30000</v>
      </c>
    </row>
    <row r="276" spans="1:17" x14ac:dyDescent="0.3">
      <c r="A276" s="72">
        <v>482</v>
      </c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>
        <v>-1000</v>
      </c>
      <c r="P276" s="227"/>
      <c r="Q276" s="227">
        <v>-1000</v>
      </c>
    </row>
    <row r="277" spans="1:17" x14ac:dyDescent="0.3">
      <c r="A277" s="72">
        <v>483</v>
      </c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>
        <v>-1000</v>
      </c>
      <c r="P277" s="227"/>
      <c r="Q277" s="227">
        <v>-1000</v>
      </c>
    </row>
    <row r="278" spans="1:17" x14ac:dyDescent="0.3">
      <c r="A278" s="72">
        <v>484</v>
      </c>
      <c r="B278" s="227"/>
      <c r="C278" s="227"/>
      <c r="D278" s="227"/>
      <c r="E278" s="227"/>
      <c r="F278" s="227"/>
      <c r="G278" s="227">
        <v>-200</v>
      </c>
      <c r="H278" s="227"/>
      <c r="I278" s="227"/>
      <c r="J278" s="227"/>
      <c r="K278" s="227"/>
      <c r="L278" s="227"/>
      <c r="M278" s="227"/>
      <c r="N278" s="227"/>
      <c r="O278" s="227"/>
      <c r="P278" s="227"/>
      <c r="Q278" s="227">
        <v>-200</v>
      </c>
    </row>
    <row r="279" spans="1:17" x14ac:dyDescent="0.3">
      <c r="A279" s="72">
        <v>485</v>
      </c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>
        <v>-1000</v>
      </c>
      <c r="P279" s="227"/>
      <c r="Q279" s="227">
        <v>-1000</v>
      </c>
    </row>
    <row r="280" spans="1:17" x14ac:dyDescent="0.3">
      <c r="A280" s="72">
        <v>486</v>
      </c>
      <c r="B280" s="227"/>
      <c r="C280" s="227"/>
      <c r="D280" s="227"/>
      <c r="E280" s="227">
        <v>-13000</v>
      </c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>
        <v>-13000</v>
      </c>
    </row>
    <row r="281" spans="1:17" x14ac:dyDescent="0.3">
      <c r="A281" s="72">
        <v>487</v>
      </c>
      <c r="B281" s="227"/>
      <c r="C281" s="227"/>
      <c r="D281" s="227"/>
      <c r="E281" s="227"/>
      <c r="F281" s="227"/>
      <c r="G281" s="227">
        <v>-75</v>
      </c>
      <c r="H281" s="227"/>
      <c r="I281" s="227"/>
      <c r="J281" s="227"/>
      <c r="K281" s="227"/>
      <c r="L281" s="227"/>
      <c r="M281" s="227"/>
      <c r="N281" s="227"/>
      <c r="O281" s="227"/>
      <c r="P281" s="227"/>
      <c r="Q281" s="227">
        <v>-75</v>
      </c>
    </row>
    <row r="282" spans="1:17" x14ac:dyDescent="0.3">
      <c r="A282" s="72">
        <v>488</v>
      </c>
      <c r="B282" s="227"/>
      <c r="C282" s="227"/>
      <c r="D282" s="227"/>
      <c r="E282" s="227">
        <v>-3000</v>
      </c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>
        <v>-3000</v>
      </c>
    </row>
    <row r="283" spans="1:17" x14ac:dyDescent="0.3">
      <c r="A283" s="72">
        <v>489</v>
      </c>
      <c r="B283" s="227"/>
      <c r="C283" s="227"/>
      <c r="D283" s="227"/>
      <c r="E283" s="227"/>
      <c r="F283" s="227"/>
      <c r="G283" s="227">
        <v>-50</v>
      </c>
      <c r="H283" s="227"/>
      <c r="I283" s="227"/>
      <c r="J283" s="227"/>
      <c r="K283" s="227"/>
      <c r="L283" s="227"/>
      <c r="M283" s="227"/>
      <c r="N283" s="227"/>
      <c r="O283" s="227"/>
      <c r="P283" s="227"/>
      <c r="Q283" s="227">
        <v>-50</v>
      </c>
    </row>
    <row r="284" spans="1:17" x14ac:dyDescent="0.3">
      <c r="A284" s="72">
        <v>490</v>
      </c>
      <c r="B284" s="227"/>
      <c r="C284" s="227"/>
      <c r="D284" s="227"/>
      <c r="E284" s="227">
        <v>-10000</v>
      </c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>
        <v>-10000</v>
      </c>
    </row>
    <row r="285" spans="1:17" x14ac:dyDescent="0.3">
      <c r="A285" s="72">
        <v>491</v>
      </c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>
        <v>-560</v>
      </c>
      <c r="N285" s="227"/>
      <c r="O285" s="227"/>
      <c r="P285" s="227"/>
      <c r="Q285" s="227">
        <v>-560</v>
      </c>
    </row>
    <row r="286" spans="1:17" x14ac:dyDescent="0.3">
      <c r="A286" s="72">
        <v>492</v>
      </c>
      <c r="B286" s="227">
        <v>250000</v>
      </c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>
        <v>250000</v>
      </c>
    </row>
    <row r="287" spans="1:17" x14ac:dyDescent="0.3">
      <c r="A287" s="72">
        <v>493</v>
      </c>
      <c r="B287" s="227"/>
      <c r="C287" s="227"/>
      <c r="D287" s="227"/>
      <c r="E287" s="227">
        <v>-100000</v>
      </c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>
        <v>-100000</v>
      </c>
    </row>
    <row r="288" spans="1:17" x14ac:dyDescent="0.3">
      <c r="A288" s="72">
        <v>494</v>
      </c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>
        <v>-20000</v>
      </c>
      <c r="O288" s="227"/>
      <c r="P288" s="227"/>
      <c r="Q288" s="227">
        <v>-20000</v>
      </c>
    </row>
    <row r="289" spans="1:17" x14ac:dyDescent="0.3">
      <c r="A289" s="72">
        <v>495</v>
      </c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>
        <v>-40000</v>
      </c>
      <c r="N289" s="227"/>
      <c r="O289" s="227"/>
      <c r="P289" s="227"/>
      <c r="Q289" s="227">
        <v>-40000</v>
      </c>
    </row>
    <row r="290" spans="1:17" x14ac:dyDescent="0.3">
      <c r="A290" s="72">
        <v>496</v>
      </c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>
        <v>-15800</v>
      </c>
      <c r="P290" s="227"/>
      <c r="Q290" s="227">
        <v>-15800</v>
      </c>
    </row>
    <row r="291" spans="1:17" x14ac:dyDescent="0.3">
      <c r="A291" s="72">
        <v>497</v>
      </c>
      <c r="B291" s="227"/>
      <c r="C291" s="227"/>
      <c r="D291" s="227"/>
      <c r="E291" s="227"/>
      <c r="F291" s="227">
        <v>-30000</v>
      </c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>
        <v>-30000</v>
      </c>
    </row>
    <row r="292" spans="1:17" x14ac:dyDescent="0.3">
      <c r="A292" s="72">
        <v>498</v>
      </c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>
        <v>-22650</v>
      </c>
      <c r="P292" s="227"/>
      <c r="Q292" s="227">
        <v>-22650</v>
      </c>
    </row>
    <row r="293" spans="1:17" x14ac:dyDescent="0.3">
      <c r="A293" s="72">
        <v>499</v>
      </c>
      <c r="B293" s="227"/>
      <c r="C293" s="227"/>
      <c r="D293" s="227"/>
      <c r="E293" s="227"/>
      <c r="F293" s="227"/>
      <c r="G293" s="227"/>
      <c r="H293" s="227"/>
      <c r="I293" s="227"/>
      <c r="J293" s="227">
        <v>-20000</v>
      </c>
      <c r="K293" s="227"/>
      <c r="L293" s="227"/>
      <c r="M293" s="227"/>
      <c r="N293" s="227"/>
      <c r="O293" s="227"/>
      <c r="P293" s="227"/>
      <c r="Q293" s="227">
        <v>-20000</v>
      </c>
    </row>
    <row r="294" spans="1:17" x14ac:dyDescent="0.3">
      <c r="A294" s="72">
        <v>500</v>
      </c>
      <c r="B294" s="227"/>
      <c r="C294" s="227"/>
      <c r="D294" s="227"/>
      <c r="E294" s="227"/>
      <c r="F294" s="227"/>
      <c r="G294" s="227">
        <v>-50</v>
      </c>
      <c r="H294" s="227"/>
      <c r="I294" s="227"/>
      <c r="J294" s="227"/>
      <c r="K294" s="227"/>
      <c r="L294" s="227"/>
      <c r="M294" s="227"/>
      <c r="N294" s="227"/>
      <c r="O294" s="227"/>
      <c r="P294" s="227"/>
      <c r="Q294" s="227">
        <v>-50</v>
      </c>
    </row>
    <row r="295" spans="1:17" x14ac:dyDescent="0.3">
      <c r="A295" s="72">
        <v>501</v>
      </c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>
        <v>-9600</v>
      </c>
      <c r="P295" s="227"/>
      <c r="Q295" s="227">
        <v>-9600</v>
      </c>
    </row>
    <row r="296" spans="1:17" x14ac:dyDescent="0.3">
      <c r="A296" s="72">
        <v>502</v>
      </c>
      <c r="B296" s="227">
        <v>200000</v>
      </c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>
        <v>200000</v>
      </c>
    </row>
    <row r="297" spans="1:17" x14ac:dyDescent="0.3">
      <c r="A297" s="72">
        <v>503</v>
      </c>
      <c r="B297" s="227"/>
      <c r="C297" s="227"/>
      <c r="D297" s="227">
        <v>-100000</v>
      </c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>
        <v>-100000</v>
      </c>
    </row>
    <row r="298" spans="1:17" x14ac:dyDescent="0.3">
      <c r="A298" s="72">
        <v>504</v>
      </c>
      <c r="B298" s="227"/>
      <c r="C298" s="227"/>
      <c r="D298" s="227"/>
      <c r="E298" s="227"/>
      <c r="F298" s="227"/>
      <c r="G298" s="227">
        <v>-50</v>
      </c>
      <c r="H298" s="227"/>
      <c r="I298" s="227"/>
      <c r="J298" s="227"/>
      <c r="K298" s="227"/>
      <c r="L298" s="227"/>
      <c r="M298" s="227"/>
      <c r="N298" s="227"/>
      <c r="O298" s="227"/>
      <c r="P298" s="227"/>
      <c r="Q298" s="227">
        <v>-50</v>
      </c>
    </row>
    <row r="299" spans="1:17" x14ac:dyDescent="0.3">
      <c r="A299" s="72">
        <v>505</v>
      </c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>
        <v>-6615</v>
      </c>
      <c r="N299" s="227"/>
      <c r="O299" s="227"/>
      <c r="P299" s="227"/>
      <c r="Q299" s="227">
        <v>-6615</v>
      </c>
    </row>
    <row r="300" spans="1:17" x14ac:dyDescent="0.3">
      <c r="A300" s="72">
        <v>506</v>
      </c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>
        <v>-400</v>
      </c>
      <c r="P300" s="227"/>
      <c r="Q300" s="227">
        <v>-400</v>
      </c>
    </row>
    <row r="301" spans="1:17" x14ac:dyDescent="0.3">
      <c r="A301" s="72">
        <v>507</v>
      </c>
      <c r="B301" s="227"/>
      <c r="C301" s="227"/>
      <c r="D301" s="227"/>
      <c r="E301" s="227"/>
      <c r="F301" s="227"/>
      <c r="G301" s="227">
        <v>-100</v>
      </c>
      <c r="H301" s="227"/>
      <c r="I301" s="227"/>
      <c r="J301" s="227"/>
      <c r="K301" s="227"/>
      <c r="L301" s="227"/>
      <c r="M301" s="227"/>
      <c r="N301" s="227"/>
      <c r="O301" s="227"/>
      <c r="P301" s="227"/>
      <c r="Q301" s="227">
        <v>-100</v>
      </c>
    </row>
    <row r="302" spans="1:17" x14ac:dyDescent="0.3">
      <c r="A302" s="72">
        <v>508</v>
      </c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>
        <v>-60000</v>
      </c>
      <c r="M302" s="227"/>
      <c r="N302" s="227"/>
      <c r="O302" s="227"/>
      <c r="P302" s="227"/>
      <c r="Q302" s="227">
        <v>-60000</v>
      </c>
    </row>
    <row r="303" spans="1:17" x14ac:dyDescent="0.3">
      <c r="A303" s="72">
        <v>509</v>
      </c>
      <c r="B303" s="227"/>
      <c r="C303" s="227"/>
      <c r="D303" s="227"/>
      <c r="E303" s="227"/>
      <c r="F303" s="227">
        <v>-2000</v>
      </c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>
        <v>-2000</v>
      </c>
    </row>
    <row r="304" spans="1:17" x14ac:dyDescent="0.3">
      <c r="A304" s="72">
        <v>510</v>
      </c>
      <c r="B304" s="227">
        <v>100000</v>
      </c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>
        <v>100000</v>
      </c>
    </row>
    <row r="305" spans="1:17" x14ac:dyDescent="0.3">
      <c r="A305" s="72">
        <v>511</v>
      </c>
      <c r="B305" s="227"/>
      <c r="C305" s="227"/>
      <c r="D305" s="227"/>
      <c r="E305" s="227">
        <v>-30000</v>
      </c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>
        <v>-30000</v>
      </c>
    </row>
    <row r="306" spans="1:17" x14ac:dyDescent="0.3">
      <c r="A306" s="72">
        <v>512</v>
      </c>
      <c r="B306" s="227">
        <v>130000</v>
      </c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>
        <v>130000</v>
      </c>
    </row>
    <row r="307" spans="1:17" x14ac:dyDescent="0.3">
      <c r="A307" s="72">
        <v>513</v>
      </c>
      <c r="B307" s="227">
        <v>70000</v>
      </c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>
        <v>70000</v>
      </c>
    </row>
    <row r="308" spans="1:17" x14ac:dyDescent="0.3">
      <c r="A308" s="72">
        <v>514</v>
      </c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>
        <v>-2000</v>
      </c>
      <c r="P308" s="227"/>
      <c r="Q308" s="227">
        <v>-2000</v>
      </c>
    </row>
    <row r="309" spans="1:17" x14ac:dyDescent="0.3">
      <c r="A309" s="72">
        <v>515</v>
      </c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>
        <v>-1600</v>
      </c>
      <c r="P309" s="227"/>
      <c r="Q309" s="227">
        <v>-1600</v>
      </c>
    </row>
    <row r="310" spans="1:17" x14ac:dyDescent="0.3">
      <c r="A310" s="72">
        <v>516</v>
      </c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>
        <v>-2950</v>
      </c>
      <c r="P310" s="227"/>
      <c r="Q310" s="227">
        <v>-2950</v>
      </c>
    </row>
    <row r="311" spans="1:17" x14ac:dyDescent="0.3">
      <c r="A311" s="72">
        <v>517</v>
      </c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>
        <v>-1250</v>
      </c>
      <c r="P311" s="227"/>
      <c r="Q311" s="227">
        <v>-1250</v>
      </c>
    </row>
    <row r="312" spans="1:17" x14ac:dyDescent="0.3">
      <c r="A312" s="72">
        <v>518</v>
      </c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>
        <v>-20000</v>
      </c>
      <c r="N312" s="227"/>
      <c r="O312" s="227"/>
      <c r="P312" s="227"/>
      <c r="Q312" s="227">
        <v>-20000</v>
      </c>
    </row>
    <row r="313" spans="1:17" x14ac:dyDescent="0.3">
      <c r="A313" s="72">
        <v>519</v>
      </c>
      <c r="B313" s="227"/>
      <c r="C313" s="227"/>
      <c r="D313" s="227"/>
      <c r="E313" s="227">
        <v>-100000</v>
      </c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>
        <v>-100000</v>
      </c>
    </row>
    <row r="314" spans="1:17" x14ac:dyDescent="0.3">
      <c r="A314" s="72">
        <v>520</v>
      </c>
      <c r="B314" s="227"/>
      <c r="C314" s="227"/>
      <c r="D314" s="227">
        <v>-50000</v>
      </c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>
        <v>-50000</v>
      </c>
    </row>
    <row r="315" spans="1:17" x14ac:dyDescent="0.3">
      <c r="A315" s="72">
        <v>521</v>
      </c>
      <c r="B315" s="227"/>
      <c r="C315" s="227"/>
      <c r="D315" s="227"/>
      <c r="E315" s="227">
        <v>-25000</v>
      </c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>
        <v>-25000</v>
      </c>
    </row>
    <row r="316" spans="1:17" x14ac:dyDescent="0.3">
      <c r="A316" s="72">
        <v>522</v>
      </c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>
        <v>-3150</v>
      </c>
      <c r="N316" s="227"/>
      <c r="O316" s="227"/>
      <c r="P316" s="227"/>
      <c r="Q316" s="227">
        <v>-3150</v>
      </c>
    </row>
    <row r="317" spans="1:17" x14ac:dyDescent="0.3">
      <c r="A317" s="72">
        <v>523</v>
      </c>
      <c r="B317" s="227"/>
      <c r="C317" s="227"/>
      <c r="D317" s="227"/>
      <c r="E317" s="227"/>
      <c r="F317" s="227"/>
      <c r="G317" s="227">
        <v>-580</v>
      </c>
      <c r="H317" s="227"/>
      <c r="I317" s="227"/>
      <c r="J317" s="227"/>
      <c r="K317" s="227"/>
      <c r="L317" s="227"/>
      <c r="M317" s="227"/>
      <c r="N317" s="227"/>
      <c r="O317" s="227"/>
      <c r="P317" s="227"/>
      <c r="Q317" s="227">
        <v>-580</v>
      </c>
    </row>
    <row r="318" spans="1:17" x14ac:dyDescent="0.3">
      <c r="A318" s="72">
        <v>524</v>
      </c>
      <c r="B318" s="227"/>
      <c r="C318" s="227"/>
      <c r="D318" s="227"/>
      <c r="E318" s="227"/>
      <c r="F318" s="227"/>
      <c r="G318" s="227">
        <v>-50</v>
      </c>
      <c r="H318" s="227"/>
      <c r="I318" s="227"/>
      <c r="J318" s="227"/>
      <c r="K318" s="227"/>
      <c r="L318" s="227"/>
      <c r="M318" s="227"/>
      <c r="N318" s="227"/>
      <c r="O318" s="227"/>
      <c r="P318" s="227"/>
      <c r="Q318" s="227">
        <v>-50</v>
      </c>
    </row>
    <row r="319" spans="1:17" x14ac:dyDescent="0.3">
      <c r="A319" s="72">
        <v>525</v>
      </c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>
        <v>-6540</v>
      </c>
      <c r="N319" s="227"/>
      <c r="O319" s="227"/>
      <c r="P319" s="227"/>
      <c r="Q319" s="227">
        <v>-6540</v>
      </c>
    </row>
    <row r="320" spans="1:17" x14ac:dyDescent="0.3">
      <c r="A320" s="72">
        <v>526</v>
      </c>
      <c r="B320" s="227"/>
      <c r="C320" s="227"/>
      <c r="D320" s="227"/>
      <c r="E320" s="227"/>
      <c r="F320" s="227"/>
      <c r="G320" s="227">
        <v>-700</v>
      </c>
      <c r="H320" s="227"/>
      <c r="I320" s="227"/>
      <c r="J320" s="227"/>
      <c r="K320" s="227"/>
      <c r="L320" s="227"/>
      <c r="M320" s="227"/>
      <c r="N320" s="227"/>
      <c r="O320" s="227"/>
      <c r="P320" s="227"/>
      <c r="Q320" s="227">
        <v>-700</v>
      </c>
    </row>
    <row r="321" spans="1:17" x14ac:dyDescent="0.3">
      <c r="A321" s="72">
        <v>527</v>
      </c>
      <c r="B321" s="227"/>
      <c r="C321" s="227"/>
      <c r="D321" s="227"/>
      <c r="E321" s="227"/>
      <c r="F321" s="227"/>
      <c r="G321" s="227">
        <v>-2600</v>
      </c>
      <c r="H321" s="227"/>
      <c r="I321" s="227"/>
      <c r="J321" s="227"/>
      <c r="K321" s="227"/>
      <c r="L321" s="227"/>
      <c r="M321" s="227"/>
      <c r="N321" s="227"/>
      <c r="O321" s="227"/>
      <c r="P321" s="227"/>
      <c r="Q321" s="227">
        <v>-2600</v>
      </c>
    </row>
    <row r="322" spans="1:17" x14ac:dyDescent="0.3">
      <c r="A322" s="72">
        <v>528</v>
      </c>
      <c r="B322" s="227"/>
      <c r="C322" s="227"/>
      <c r="D322" s="227"/>
      <c r="E322" s="227">
        <v>-10000</v>
      </c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>
        <v>-10000</v>
      </c>
    </row>
    <row r="323" spans="1:17" x14ac:dyDescent="0.3">
      <c r="A323" s="72">
        <v>529</v>
      </c>
      <c r="B323" s="227"/>
      <c r="C323" s="227"/>
      <c r="D323" s="227"/>
      <c r="E323" s="227"/>
      <c r="F323" s="227"/>
      <c r="G323" s="227">
        <v>-100</v>
      </c>
      <c r="H323" s="227"/>
      <c r="I323" s="227"/>
      <c r="J323" s="227"/>
      <c r="K323" s="227"/>
      <c r="L323" s="227"/>
      <c r="M323" s="227"/>
      <c r="N323" s="227"/>
      <c r="O323" s="227"/>
      <c r="P323" s="227"/>
      <c r="Q323" s="227">
        <v>-100</v>
      </c>
    </row>
    <row r="324" spans="1:17" x14ac:dyDescent="0.3">
      <c r="A324" s="72">
        <v>530</v>
      </c>
      <c r="B324" s="227"/>
      <c r="C324" s="227"/>
      <c r="D324" s="227"/>
      <c r="E324" s="227"/>
      <c r="F324" s="227"/>
      <c r="G324" s="227">
        <v>-300</v>
      </c>
      <c r="H324" s="227"/>
      <c r="I324" s="227"/>
      <c r="J324" s="227"/>
      <c r="K324" s="227"/>
      <c r="L324" s="227"/>
      <c r="M324" s="227"/>
      <c r="N324" s="227"/>
      <c r="O324" s="227"/>
      <c r="P324" s="227"/>
      <c r="Q324" s="227">
        <v>-300</v>
      </c>
    </row>
    <row r="325" spans="1:17" x14ac:dyDescent="0.3">
      <c r="A325" s="72">
        <v>531</v>
      </c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>
        <v>-1000</v>
      </c>
      <c r="P325" s="227"/>
      <c r="Q325" s="227">
        <v>-1000</v>
      </c>
    </row>
    <row r="326" spans="1:17" x14ac:dyDescent="0.3">
      <c r="A326" s="72">
        <v>532</v>
      </c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>
        <v>-1000</v>
      </c>
      <c r="P326" s="227"/>
      <c r="Q326" s="227">
        <v>-1000</v>
      </c>
    </row>
    <row r="327" spans="1:17" x14ac:dyDescent="0.3">
      <c r="A327" s="72">
        <v>533</v>
      </c>
      <c r="B327" s="227"/>
      <c r="C327" s="227"/>
      <c r="D327" s="227"/>
      <c r="E327" s="227"/>
      <c r="F327" s="227"/>
      <c r="G327" s="227">
        <v>-100</v>
      </c>
      <c r="H327" s="227"/>
      <c r="I327" s="227"/>
      <c r="J327" s="227"/>
      <c r="K327" s="227"/>
      <c r="L327" s="227"/>
      <c r="M327" s="227"/>
      <c r="N327" s="227"/>
      <c r="O327" s="227"/>
      <c r="P327" s="227"/>
      <c r="Q327" s="227">
        <v>-100</v>
      </c>
    </row>
    <row r="328" spans="1:17" x14ac:dyDescent="0.3">
      <c r="A328" s="72">
        <v>534</v>
      </c>
      <c r="B328" s="227"/>
      <c r="C328" s="227"/>
      <c r="D328" s="227"/>
      <c r="E328" s="227"/>
      <c r="F328" s="227"/>
      <c r="G328" s="227">
        <v>-70</v>
      </c>
      <c r="H328" s="227"/>
      <c r="I328" s="227"/>
      <c r="J328" s="227"/>
      <c r="K328" s="227"/>
      <c r="L328" s="227"/>
      <c r="M328" s="227"/>
      <c r="N328" s="227"/>
      <c r="O328" s="227"/>
      <c r="P328" s="227"/>
      <c r="Q328" s="227">
        <v>-70</v>
      </c>
    </row>
    <row r="329" spans="1:17" x14ac:dyDescent="0.3">
      <c r="A329" s="72">
        <v>535</v>
      </c>
      <c r="B329" s="227"/>
      <c r="C329" s="227"/>
      <c r="D329" s="227"/>
      <c r="E329" s="227"/>
      <c r="F329" s="227"/>
      <c r="G329" s="227">
        <v>-40</v>
      </c>
      <c r="H329" s="227"/>
      <c r="I329" s="227"/>
      <c r="J329" s="227"/>
      <c r="K329" s="227"/>
      <c r="L329" s="227"/>
      <c r="M329" s="227"/>
      <c r="N329" s="227"/>
      <c r="O329" s="227"/>
      <c r="P329" s="227"/>
      <c r="Q329" s="227">
        <v>-40</v>
      </c>
    </row>
    <row r="330" spans="1:17" x14ac:dyDescent="0.3">
      <c r="A330" s="72">
        <v>536</v>
      </c>
      <c r="B330" s="227">
        <v>300000</v>
      </c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>
        <v>300000</v>
      </c>
    </row>
    <row r="331" spans="1:17" x14ac:dyDescent="0.3">
      <c r="A331" s="72">
        <v>537</v>
      </c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>
        <v>-10000</v>
      </c>
      <c r="N331" s="227"/>
      <c r="O331" s="227"/>
      <c r="P331" s="227"/>
      <c r="Q331" s="227">
        <v>-10000</v>
      </c>
    </row>
    <row r="332" spans="1:17" x14ac:dyDescent="0.3">
      <c r="A332" s="72">
        <v>538</v>
      </c>
      <c r="B332" s="227"/>
      <c r="C332" s="227"/>
      <c r="D332" s="227"/>
      <c r="E332" s="227"/>
      <c r="F332" s="227"/>
      <c r="G332" s="227">
        <v>-75</v>
      </c>
      <c r="H332" s="227"/>
      <c r="I332" s="227"/>
      <c r="J332" s="227"/>
      <c r="K332" s="227"/>
      <c r="L332" s="227"/>
      <c r="M332" s="227"/>
      <c r="N332" s="227"/>
      <c r="O332" s="227"/>
      <c r="P332" s="227"/>
      <c r="Q332" s="227">
        <v>-75</v>
      </c>
    </row>
    <row r="333" spans="1:17" x14ac:dyDescent="0.3">
      <c r="A333" s="72">
        <v>539</v>
      </c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>
        <v>-20000</v>
      </c>
      <c r="O333" s="227"/>
      <c r="P333" s="227"/>
      <c r="Q333" s="227">
        <v>-20000</v>
      </c>
    </row>
    <row r="334" spans="1:17" x14ac:dyDescent="0.3">
      <c r="A334" s="72">
        <v>540</v>
      </c>
      <c r="B334" s="227"/>
      <c r="C334" s="227"/>
      <c r="D334" s="227"/>
      <c r="E334" s="227">
        <v>-22000</v>
      </c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>
        <v>-22000</v>
      </c>
    </row>
    <row r="335" spans="1:17" x14ac:dyDescent="0.3">
      <c r="A335" s="72">
        <v>541</v>
      </c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>
        <v>-1000</v>
      </c>
      <c r="P335" s="227"/>
      <c r="Q335" s="227">
        <v>-1000</v>
      </c>
    </row>
    <row r="336" spans="1:17" x14ac:dyDescent="0.3">
      <c r="A336" s="72">
        <v>542</v>
      </c>
      <c r="B336" s="227"/>
      <c r="C336" s="227"/>
      <c r="D336" s="227"/>
      <c r="E336" s="227"/>
      <c r="F336" s="227"/>
      <c r="G336" s="227">
        <v>-100</v>
      </c>
      <c r="H336" s="227"/>
      <c r="I336" s="227"/>
      <c r="J336" s="227"/>
      <c r="K336" s="227"/>
      <c r="L336" s="227"/>
      <c r="M336" s="227"/>
      <c r="N336" s="227"/>
      <c r="O336" s="227"/>
      <c r="P336" s="227"/>
      <c r="Q336" s="227">
        <v>-100</v>
      </c>
    </row>
    <row r="337" spans="1:17" x14ac:dyDescent="0.3">
      <c r="A337" s="72">
        <v>543</v>
      </c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>
        <v>-3150</v>
      </c>
      <c r="N337" s="227"/>
      <c r="O337" s="227"/>
      <c r="P337" s="227"/>
      <c r="Q337" s="227">
        <v>-3150</v>
      </c>
    </row>
    <row r="338" spans="1:17" x14ac:dyDescent="0.3">
      <c r="A338" s="72">
        <v>544</v>
      </c>
      <c r="B338" s="227"/>
      <c r="C338" s="227"/>
      <c r="D338" s="227"/>
      <c r="E338" s="227">
        <v>-2000</v>
      </c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>
        <v>-2000</v>
      </c>
    </row>
    <row r="339" spans="1:17" x14ac:dyDescent="0.3">
      <c r="A339" s="72">
        <v>545</v>
      </c>
      <c r="B339" s="227"/>
      <c r="C339" s="227"/>
      <c r="D339" s="227"/>
      <c r="E339" s="227">
        <v>-50000</v>
      </c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>
        <v>-50000</v>
      </c>
    </row>
    <row r="340" spans="1:17" x14ac:dyDescent="0.3">
      <c r="A340" s="72">
        <v>546</v>
      </c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>
        <v>-30000</v>
      </c>
      <c r="O340" s="227"/>
      <c r="P340" s="227"/>
      <c r="Q340" s="227">
        <v>-30000</v>
      </c>
    </row>
    <row r="341" spans="1:17" x14ac:dyDescent="0.3">
      <c r="A341" s="72">
        <v>547</v>
      </c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>
        <v>-20000</v>
      </c>
      <c r="N341" s="227"/>
      <c r="O341" s="227"/>
      <c r="P341" s="227"/>
      <c r="Q341" s="227">
        <v>-20000</v>
      </c>
    </row>
    <row r="342" spans="1:17" x14ac:dyDescent="0.3">
      <c r="A342" s="72">
        <v>548</v>
      </c>
      <c r="B342" s="227"/>
      <c r="C342" s="227"/>
      <c r="D342" s="227"/>
      <c r="E342" s="227"/>
      <c r="F342" s="227"/>
      <c r="G342" s="227">
        <v>-50</v>
      </c>
      <c r="H342" s="227"/>
      <c r="I342" s="227"/>
      <c r="J342" s="227"/>
      <c r="K342" s="227"/>
      <c r="L342" s="227"/>
      <c r="M342" s="227"/>
      <c r="N342" s="227"/>
      <c r="O342" s="227"/>
      <c r="P342" s="227"/>
      <c r="Q342" s="227">
        <v>-50</v>
      </c>
    </row>
    <row r="343" spans="1:17" x14ac:dyDescent="0.3">
      <c r="A343" s="72">
        <v>549</v>
      </c>
      <c r="B343" s="227"/>
      <c r="C343" s="227"/>
      <c r="D343" s="227"/>
      <c r="E343" s="227"/>
      <c r="F343" s="227"/>
      <c r="G343" s="227">
        <v>-3000</v>
      </c>
      <c r="H343" s="227"/>
      <c r="I343" s="227"/>
      <c r="J343" s="227"/>
      <c r="K343" s="227"/>
      <c r="L343" s="227"/>
      <c r="M343" s="227"/>
      <c r="N343" s="227"/>
      <c r="O343" s="227"/>
      <c r="P343" s="227"/>
      <c r="Q343" s="227">
        <v>-3000</v>
      </c>
    </row>
    <row r="344" spans="1:17" x14ac:dyDescent="0.3">
      <c r="A344" s="72">
        <v>550</v>
      </c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>
        <v>-3000</v>
      </c>
      <c r="P344" s="227"/>
      <c r="Q344" s="227">
        <v>-3000</v>
      </c>
    </row>
    <row r="345" spans="1:17" x14ac:dyDescent="0.3">
      <c r="A345" s="72">
        <v>551</v>
      </c>
      <c r="B345" s="227"/>
      <c r="C345" s="227"/>
      <c r="D345" s="227"/>
      <c r="E345" s="227">
        <v>-30000</v>
      </c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>
        <v>-30000</v>
      </c>
    </row>
    <row r="346" spans="1:17" x14ac:dyDescent="0.3">
      <c r="A346" s="72">
        <v>552</v>
      </c>
      <c r="B346" s="227">
        <v>80000</v>
      </c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>
        <v>80000</v>
      </c>
    </row>
    <row r="347" spans="1:17" x14ac:dyDescent="0.3">
      <c r="A347" s="72">
        <v>553</v>
      </c>
      <c r="B347" s="227"/>
      <c r="C347" s="227"/>
      <c r="D347" s="227"/>
      <c r="E347" s="227">
        <v>-30000</v>
      </c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>
        <v>-30000</v>
      </c>
    </row>
    <row r="348" spans="1:17" x14ac:dyDescent="0.3">
      <c r="A348" s="72">
        <v>554</v>
      </c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>
        <v>-10000</v>
      </c>
      <c r="O348" s="227"/>
      <c r="P348" s="227"/>
      <c r="Q348" s="227">
        <v>-10000</v>
      </c>
    </row>
    <row r="349" spans="1:17" x14ac:dyDescent="0.3">
      <c r="A349" s="72">
        <v>555</v>
      </c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>
        <v>-525</v>
      </c>
      <c r="N349" s="227"/>
      <c r="O349" s="227"/>
      <c r="P349" s="227"/>
      <c r="Q349" s="227">
        <v>-525</v>
      </c>
    </row>
    <row r="350" spans="1:17" x14ac:dyDescent="0.3">
      <c r="A350" s="72">
        <v>556</v>
      </c>
      <c r="B350" s="227"/>
      <c r="C350" s="227"/>
      <c r="D350" s="227"/>
      <c r="E350" s="227"/>
      <c r="F350" s="227">
        <v>-15000</v>
      </c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>
        <v>-15000</v>
      </c>
    </row>
    <row r="351" spans="1:17" x14ac:dyDescent="0.3">
      <c r="A351" s="72">
        <v>557</v>
      </c>
      <c r="B351" s="227"/>
      <c r="C351" s="227"/>
      <c r="D351" s="227"/>
      <c r="E351" s="227"/>
      <c r="F351" s="227"/>
      <c r="G351" s="227">
        <v>-150</v>
      </c>
      <c r="H351" s="227"/>
      <c r="I351" s="227"/>
      <c r="J351" s="227"/>
      <c r="K351" s="227"/>
      <c r="L351" s="227"/>
      <c r="M351" s="227"/>
      <c r="N351" s="227"/>
      <c r="O351" s="227"/>
      <c r="P351" s="227"/>
      <c r="Q351" s="227">
        <v>-150</v>
      </c>
    </row>
    <row r="352" spans="1:17" x14ac:dyDescent="0.3">
      <c r="A352" s="72">
        <v>558</v>
      </c>
      <c r="B352" s="227">
        <v>250000</v>
      </c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>
        <v>250000</v>
      </c>
    </row>
    <row r="353" spans="1:17" x14ac:dyDescent="0.3">
      <c r="A353" s="72">
        <v>559</v>
      </c>
      <c r="B353" s="227"/>
      <c r="C353" s="227"/>
      <c r="D353" s="227"/>
      <c r="E353" s="227"/>
      <c r="F353" s="227"/>
      <c r="G353" s="227"/>
      <c r="H353" s="227"/>
      <c r="I353" s="227"/>
      <c r="J353" s="227"/>
      <c r="K353" s="227">
        <v>-66000</v>
      </c>
      <c r="L353" s="227"/>
      <c r="M353" s="227"/>
      <c r="N353" s="227"/>
      <c r="O353" s="227"/>
      <c r="P353" s="227"/>
      <c r="Q353" s="227">
        <v>-66000</v>
      </c>
    </row>
    <row r="354" spans="1:17" x14ac:dyDescent="0.3">
      <c r="A354" s="72">
        <v>560</v>
      </c>
      <c r="B354" s="227"/>
      <c r="C354" s="227"/>
      <c r="D354" s="227">
        <v>-75000</v>
      </c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>
        <v>-75000</v>
      </c>
    </row>
    <row r="355" spans="1:17" x14ac:dyDescent="0.3">
      <c r="A355" s="72">
        <v>561</v>
      </c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>
        <v>-50000</v>
      </c>
      <c r="N355" s="227"/>
      <c r="O355" s="227"/>
      <c r="P355" s="227"/>
      <c r="Q355" s="227">
        <v>-50000</v>
      </c>
    </row>
    <row r="356" spans="1:17" x14ac:dyDescent="0.3">
      <c r="A356" s="72">
        <v>562</v>
      </c>
      <c r="B356" s="227"/>
      <c r="C356" s="227"/>
      <c r="D356" s="227"/>
      <c r="E356" s="227">
        <v>-20000</v>
      </c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>
        <v>-20000</v>
      </c>
    </row>
    <row r="357" spans="1:17" x14ac:dyDescent="0.3">
      <c r="A357" s="72">
        <v>563</v>
      </c>
      <c r="B357" s="227"/>
      <c r="C357" s="227"/>
      <c r="D357" s="227"/>
      <c r="E357" s="227"/>
      <c r="F357" s="227">
        <v>-20000</v>
      </c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>
        <v>-20000</v>
      </c>
    </row>
    <row r="358" spans="1:17" x14ac:dyDescent="0.3">
      <c r="A358" s="72">
        <v>564</v>
      </c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>
        <v>-2000</v>
      </c>
      <c r="P358" s="227"/>
      <c r="Q358" s="227">
        <v>-2000</v>
      </c>
    </row>
    <row r="359" spans="1:17" x14ac:dyDescent="0.3">
      <c r="A359" s="72">
        <v>565</v>
      </c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>
        <v>-1500</v>
      </c>
      <c r="P359" s="227"/>
      <c r="Q359" s="227">
        <v>-1500</v>
      </c>
    </row>
    <row r="360" spans="1:17" x14ac:dyDescent="0.3">
      <c r="A360" s="72">
        <v>566</v>
      </c>
      <c r="B360" s="227"/>
      <c r="C360" s="227"/>
      <c r="D360" s="227"/>
      <c r="E360" s="227"/>
      <c r="F360" s="227"/>
      <c r="G360" s="227">
        <v>-200</v>
      </c>
      <c r="H360" s="227"/>
      <c r="I360" s="227"/>
      <c r="J360" s="227"/>
      <c r="K360" s="227"/>
      <c r="L360" s="227"/>
      <c r="M360" s="227"/>
      <c r="N360" s="227"/>
      <c r="O360" s="227"/>
      <c r="P360" s="227"/>
      <c r="Q360" s="227">
        <v>-200</v>
      </c>
    </row>
    <row r="361" spans="1:17" x14ac:dyDescent="0.3">
      <c r="A361" s="72">
        <v>567</v>
      </c>
      <c r="B361" s="227"/>
      <c r="C361" s="227"/>
      <c r="D361" s="227"/>
      <c r="E361" s="227"/>
      <c r="F361" s="227"/>
      <c r="G361" s="227">
        <v>-150</v>
      </c>
      <c r="H361" s="227"/>
      <c r="I361" s="227"/>
      <c r="J361" s="227"/>
      <c r="K361" s="227"/>
      <c r="L361" s="227"/>
      <c r="M361" s="227"/>
      <c r="N361" s="227"/>
      <c r="O361" s="227"/>
      <c r="P361" s="227"/>
      <c r="Q361" s="227">
        <v>-150</v>
      </c>
    </row>
    <row r="362" spans="1:17" x14ac:dyDescent="0.3">
      <c r="A362" s="72">
        <v>568</v>
      </c>
      <c r="B362" s="227"/>
      <c r="C362" s="227"/>
      <c r="D362" s="227"/>
      <c r="E362" s="227"/>
      <c r="F362" s="227"/>
      <c r="G362" s="227">
        <v>-200</v>
      </c>
      <c r="H362" s="227"/>
      <c r="I362" s="227"/>
      <c r="J362" s="227"/>
      <c r="K362" s="227"/>
      <c r="L362" s="227"/>
      <c r="M362" s="227"/>
      <c r="N362" s="227"/>
      <c r="O362" s="227"/>
      <c r="P362" s="227"/>
      <c r="Q362" s="227">
        <v>-200</v>
      </c>
    </row>
    <row r="363" spans="1:17" x14ac:dyDescent="0.3">
      <c r="A363" s="72">
        <v>569</v>
      </c>
      <c r="B363" s="227"/>
      <c r="C363" s="227"/>
      <c r="D363" s="227"/>
      <c r="E363" s="227"/>
      <c r="F363" s="227"/>
      <c r="G363" s="227">
        <v>-50</v>
      </c>
      <c r="H363" s="227"/>
      <c r="I363" s="227"/>
      <c r="J363" s="227"/>
      <c r="K363" s="227"/>
      <c r="L363" s="227"/>
      <c r="M363" s="227"/>
      <c r="N363" s="227"/>
      <c r="O363" s="227"/>
      <c r="P363" s="227"/>
      <c r="Q363" s="227">
        <v>-50</v>
      </c>
    </row>
    <row r="364" spans="1:17" x14ac:dyDescent="0.3">
      <c r="A364" s="72">
        <v>570</v>
      </c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>
        <v>-2500</v>
      </c>
      <c r="P364" s="227"/>
      <c r="Q364" s="227">
        <v>-2500</v>
      </c>
    </row>
    <row r="365" spans="1:17" x14ac:dyDescent="0.3">
      <c r="A365" s="72">
        <v>571</v>
      </c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>
        <v>-3000</v>
      </c>
      <c r="O365" s="227"/>
      <c r="P365" s="227"/>
      <c r="Q365" s="227">
        <v>-3000</v>
      </c>
    </row>
    <row r="366" spans="1:17" x14ac:dyDescent="0.3">
      <c r="A366" s="72">
        <v>572</v>
      </c>
      <c r="B366" s="227"/>
      <c r="C366" s="227"/>
      <c r="D366" s="227"/>
      <c r="E366" s="227"/>
      <c r="F366" s="227"/>
      <c r="G366" s="227"/>
      <c r="H366" s="227"/>
      <c r="I366" s="227"/>
      <c r="J366" s="227">
        <v>-5000</v>
      </c>
      <c r="K366" s="227"/>
      <c r="L366" s="227"/>
      <c r="M366" s="227"/>
      <c r="N366" s="227"/>
      <c r="O366" s="227"/>
      <c r="P366" s="227"/>
      <c r="Q366" s="227">
        <v>-5000</v>
      </c>
    </row>
    <row r="367" spans="1:17" x14ac:dyDescent="0.3">
      <c r="A367" s="72">
        <v>573</v>
      </c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>
        <v>-9500</v>
      </c>
      <c r="P367" s="227"/>
      <c r="Q367" s="227">
        <v>-9500</v>
      </c>
    </row>
    <row r="368" spans="1:17" x14ac:dyDescent="0.3">
      <c r="A368" s="72">
        <v>574</v>
      </c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>
        <v>-2530</v>
      </c>
      <c r="N368" s="227"/>
      <c r="O368" s="227"/>
      <c r="P368" s="227"/>
      <c r="Q368" s="227">
        <v>-2530</v>
      </c>
    </row>
    <row r="369" spans="1:17" x14ac:dyDescent="0.3">
      <c r="A369" s="72">
        <v>575</v>
      </c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>
        <v>-5000</v>
      </c>
      <c r="P369" s="227"/>
      <c r="Q369" s="227">
        <v>-5000</v>
      </c>
    </row>
    <row r="370" spans="1:17" x14ac:dyDescent="0.3">
      <c r="A370" s="72">
        <v>576</v>
      </c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>
        <v>-10000</v>
      </c>
      <c r="O370" s="227"/>
      <c r="P370" s="227"/>
      <c r="Q370" s="227">
        <v>-10000</v>
      </c>
    </row>
    <row r="371" spans="1:17" x14ac:dyDescent="0.3">
      <c r="A371" s="72">
        <v>577</v>
      </c>
      <c r="B371" s="227"/>
      <c r="C371" s="227"/>
      <c r="D371" s="227"/>
      <c r="E371" s="227">
        <v>-20000</v>
      </c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>
        <v>-20000</v>
      </c>
    </row>
    <row r="372" spans="1:17" x14ac:dyDescent="0.3">
      <c r="A372" s="72">
        <v>578</v>
      </c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>
        <v>-300</v>
      </c>
      <c r="P372" s="227"/>
      <c r="Q372" s="227">
        <v>-300</v>
      </c>
    </row>
    <row r="373" spans="1:17" x14ac:dyDescent="0.3">
      <c r="A373" s="72">
        <v>579</v>
      </c>
      <c r="B373" s="227">
        <v>200000</v>
      </c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>
        <v>200000</v>
      </c>
    </row>
    <row r="374" spans="1:17" x14ac:dyDescent="0.3">
      <c r="A374" s="72">
        <v>580</v>
      </c>
      <c r="B374" s="227">
        <v>50000</v>
      </c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>
        <v>50000</v>
      </c>
    </row>
    <row r="375" spans="1:17" x14ac:dyDescent="0.3">
      <c r="A375" s="72">
        <v>581</v>
      </c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>
        <v>-10000</v>
      </c>
      <c r="O375" s="227"/>
      <c r="P375" s="227"/>
      <c r="Q375" s="227">
        <v>-10000</v>
      </c>
    </row>
    <row r="376" spans="1:17" x14ac:dyDescent="0.3">
      <c r="A376" s="72">
        <v>582</v>
      </c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>
        <v>-40000</v>
      </c>
      <c r="N376" s="227"/>
      <c r="O376" s="227"/>
      <c r="P376" s="227"/>
      <c r="Q376" s="227">
        <v>-40000</v>
      </c>
    </row>
    <row r="377" spans="1:17" x14ac:dyDescent="0.3">
      <c r="A377" s="72">
        <v>583</v>
      </c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>
        <v>-1050</v>
      </c>
      <c r="N377" s="227"/>
      <c r="O377" s="227"/>
      <c r="P377" s="227"/>
      <c r="Q377" s="227">
        <v>-1050</v>
      </c>
    </row>
    <row r="378" spans="1:17" x14ac:dyDescent="0.3">
      <c r="A378" s="72">
        <v>584</v>
      </c>
      <c r="B378" s="227"/>
      <c r="C378" s="227"/>
      <c r="D378" s="227"/>
      <c r="E378" s="227">
        <v>-28000</v>
      </c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>
        <v>-28000</v>
      </c>
    </row>
    <row r="379" spans="1:17" x14ac:dyDescent="0.3">
      <c r="A379" s="72">
        <v>585</v>
      </c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>
        <v>-2000</v>
      </c>
      <c r="P379" s="227"/>
      <c r="Q379" s="227">
        <v>-2000</v>
      </c>
    </row>
    <row r="380" spans="1:17" x14ac:dyDescent="0.3">
      <c r="A380" s="72">
        <v>586</v>
      </c>
      <c r="B380" s="227"/>
      <c r="C380" s="227"/>
      <c r="D380" s="227"/>
      <c r="E380" s="227"/>
      <c r="F380" s="227">
        <v>-15000</v>
      </c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>
        <v>-15000</v>
      </c>
    </row>
    <row r="381" spans="1:17" x14ac:dyDescent="0.3">
      <c r="A381" s="72">
        <v>587</v>
      </c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>
        <v>-50000</v>
      </c>
      <c r="N381" s="227"/>
      <c r="O381" s="227"/>
      <c r="P381" s="227"/>
      <c r="Q381" s="227">
        <v>-50000</v>
      </c>
    </row>
    <row r="382" spans="1:17" x14ac:dyDescent="0.3">
      <c r="A382" s="72">
        <v>588</v>
      </c>
      <c r="B382" s="227"/>
      <c r="C382" s="227"/>
      <c r="D382" s="227"/>
      <c r="E382" s="227"/>
      <c r="F382" s="227"/>
      <c r="G382" s="227"/>
      <c r="H382" s="227"/>
      <c r="I382" s="227"/>
      <c r="J382" s="227"/>
      <c r="K382" s="227">
        <v>-22000</v>
      </c>
      <c r="L382" s="227"/>
      <c r="M382" s="227"/>
      <c r="N382" s="227"/>
      <c r="O382" s="227"/>
      <c r="P382" s="227"/>
      <c r="Q382" s="227">
        <v>-22000</v>
      </c>
    </row>
    <row r="383" spans="1:17" x14ac:dyDescent="0.3">
      <c r="A383" s="72">
        <v>589</v>
      </c>
      <c r="B383" s="227">
        <v>100000</v>
      </c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>
        <v>100000</v>
      </c>
    </row>
    <row r="384" spans="1:17" x14ac:dyDescent="0.3">
      <c r="A384" s="72">
        <v>590</v>
      </c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>
        <v>-850</v>
      </c>
      <c r="P384" s="227"/>
      <c r="Q384" s="227">
        <v>-850</v>
      </c>
    </row>
    <row r="385" spans="1:17" x14ac:dyDescent="0.3">
      <c r="A385" s="72">
        <v>591</v>
      </c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>
        <v>-850</v>
      </c>
      <c r="P385" s="227"/>
      <c r="Q385" s="227">
        <v>-850</v>
      </c>
    </row>
    <row r="386" spans="1:17" x14ac:dyDescent="0.3">
      <c r="A386" s="72">
        <v>592</v>
      </c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>
        <v>-850</v>
      </c>
      <c r="P386" s="227"/>
      <c r="Q386" s="227">
        <v>-850</v>
      </c>
    </row>
    <row r="387" spans="1:17" x14ac:dyDescent="0.3">
      <c r="A387" s="72">
        <v>593</v>
      </c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>
        <v>-500</v>
      </c>
      <c r="P387" s="227"/>
      <c r="Q387" s="227">
        <v>-500</v>
      </c>
    </row>
    <row r="388" spans="1:17" x14ac:dyDescent="0.3">
      <c r="A388" s="72">
        <v>594</v>
      </c>
      <c r="B388" s="227"/>
      <c r="C388" s="227"/>
      <c r="D388" s="227"/>
      <c r="E388" s="227">
        <v>-20000</v>
      </c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>
        <v>-20000</v>
      </c>
    </row>
    <row r="389" spans="1:17" x14ac:dyDescent="0.3">
      <c r="A389" s="72">
        <v>595</v>
      </c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>
        <v>-4600</v>
      </c>
      <c r="P389" s="227"/>
      <c r="Q389" s="227">
        <v>-4600</v>
      </c>
    </row>
    <row r="390" spans="1:17" x14ac:dyDescent="0.3">
      <c r="A390" s="72">
        <v>596</v>
      </c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>
        <v>-800</v>
      </c>
      <c r="P390" s="227"/>
      <c r="Q390" s="227">
        <v>-800</v>
      </c>
    </row>
    <row r="391" spans="1:17" x14ac:dyDescent="0.3">
      <c r="A391" s="72">
        <v>597</v>
      </c>
      <c r="B391" s="227"/>
      <c r="C391" s="227"/>
      <c r="D391" s="227"/>
      <c r="E391" s="227"/>
      <c r="F391" s="227"/>
      <c r="G391" s="227">
        <v>-250</v>
      </c>
      <c r="H391" s="227"/>
      <c r="I391" s="227"/>
      <c r="J391" s="227"/>
      <c r="K391" s="227"/>
      <c r="L391" s="227"/>
      <c r="M391" s="227"/>
      <c r="N391" s="227"/>
      <c r="O391" s="227"/>
      <c r="P391" s="227"/>
      <c r="Q391" s="227">
        <v>-250</v>
      </c>
    </row>
    <row r="392" spans="1:17" x14ac:dyDescent="0.3">
      <c r="A392" s="72">
        <v>598</v>
      </c>
      <c r="B392" s="227"/>
      <c r="C392" s="227"/>
      <c r="D392" s="227"/>
      <c r="E392" s="227"/>
      <c r="F392" s="227"/>
      <c r="G392" s="227">
        <v>-100</v>
      </c>
      <c r="H392" s="227"/>
      <c r="I392" s="227"/>
      <c r="J392" s="227"/>
      <c r="K392" s="227"/>
      <c r="L392" s="227"/>
      <c r="M392" s="227"/>
      <c r="N392" s="227"/>
      <c r="O392" s="227"/>
      <c r="P392" s="227"/>
      <c r="Q392" s="227">
        <v>-100</v>
      </c>
    </row>
    <row r="393" spans="1:17" x14ac:dyDescent="0.3">
      <c r="A393" s="72">
        <v>599</v>
      </c>
      <c r="B393" s="227"/>
      <c r="C393" s="227"/>
      <c r="D393" s="227">
        <v>-200000</v>
      </c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>
        <v>-200000</v>
      </c>
    </row>
    <row r="394" spans="1:17" x14ac:dyDescent="0.3">
      <c r="A394" s="72">
        <v>600</v>
      </c>
      <c r="B394" s="227">
        <v>200000</v>
      </c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>
        <v>200000</v>
      </c>
    </row>
    <row r="395" spans="1:17" x14ac:dyDescent="0.3">
      <c r="A395" s="72">
        <v>601</v>
      </c>
      <c r="B395" s="227">
        <v>300000</v>
      </c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>
        <v>300000</v>
      </c>
    </row>
    <row r="396" spans="1:17" x14ac:dyDescent="0.3">
      <c r="A396" s="72">
        <v>602</v>
      </c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>
        <v>-50000</v>
      </c>
      <c r="O396" s="227"/>
      <c r="P396" s="227"/>
      <c r="Q396" s="227">
        <v>-50000</v>
      </c>
    </row>
    <row r="397" spans="1:17" x14ac:dyDescent="0.3">
      <c r="A397" s="72">
        <v>603</v>
      </c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>
        <v>-13350</v>
      </c>
      <c r="P397" s="227"/>
      <c r="Q397" s="227">
        <v>-13350</v>
      </c>
    </row>
    <row r="398" spans="1:17" x14ac:dyDescent="0.3">
      <c r="A398" s="72">
        <v>604</v>
      </c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>
        <v>-60000</v>
      </c>
      <c r="M398" s="227"/>
      <c r="N398" s="227"/>
      <c r="O398" s="227"/>
      <c r="P398" s="227"/>
      <c r="Q398" s="227">
        <v>-60000</v>
      </c>
    </row>
    <row r="399" spans="1:17" x14ac:dyDescent="0.3">
      <c r="A399" s="72">
        <v>605</v>
      </c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>
        <v>-2000</v>
      </c>
      <c r="P399" s="227"/>
      <c r="Q399" s="227">
        <v>-2000</v>
      </c>
    </row>
    <row r="400" spans="1:17" x14ac:dyDescent="0.3">
      <c r="A400" s="72">
        <v>606</v>
      </c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>
        <v>-510</v>
      </c>
      <c r="N400" s="227"/>
      <c r="O400" s="227"/>
      <c r="P400" s="227"/>
      <c r="Q400" s="227">
        <v>-510</v>
      </c>
    </row>
    <row r="401" spans="1:17" x14ac:dyDescent="0.3">
      <c r="A401" s="72">
        <v>607</v>
      </c>
      <c r="B401" s="227"/>
      <c r="C401" s="227"/>
      <c r="D401" s="227"/>
      <c r="E401" s="227">
        <v>-40000</v>
      </c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>
        <v>-40000</v>
      </c>
    </row>
    <row r="402" spans="1:17" x14ac:dyDescent="0.3">
      <c r="A402" s="72">
        <v>608</v>
      </c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>
        <v>-2750</v>
      </c>
      <c r="N402" s="227"/>
      <c r="O402" s="227"/>
      <c r="P402" s="227"/>
      <c r="Q402" s="227">
        <v>-2750</v>
      </c>
    </row>
    <row r="403" spans="1:17" x14ac:dyDescent="0.3">
      <c r="A403" s="72">
        <v>609</v>
      </c>
      <c r="B403" s="227"/>
      <c r="C403" s="227"/>
      <c r="D403" s="227"/>
      <c r="E403" s="227">
        <v>-50000</v>
      </c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>
        <v>-50000</v>
      </c>
    </row>
    <row r="404" spans="1:17" x14ac:dyDescent="0.3">
      <c r="A404" s="72">
        <v>610</v>
      </c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>
        <v>-1000</v>
      </c>
      <c r="P404" s="227"/>
      <c r="Q404" s="227">
        <v>-1000</v>
      </c>
    </row>
    <row r="405" spans="1:17" x14ac:dyDescent="0.3">
      <c r="A405" s="72">
        <v>611</v>
      </c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>
        <v>-15000</v>
      </c>
      <c r="N405" s="227"/>
      <c r="O405" s="227"/>
      <c r="P405" s="227"/>
      <c r="Q405" s="227">
        <v>-15000</v>
      </c>
    </row>
    <row r="406" spans="1:17" x14ac:dyDescent="0.3">
      <c r="A406" s="72">
        <v>612</v>
      </c>
      <c r="B406" s="227"/>
      <c r="C406" s="227">
        <v>-12600</v>
      </c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>
        <v>-12600</v>
      </c>
    </row>
    <row r="407" spans="1:17" x14ac:dyDescent="0.3">
      <c r="A407" s="72">
        <v>613</v>
      </c>
      <c r="B407" s="227"/>
      <c r="C407" s="227"/>
      <c r="D407" s="227"/>
      <c r="E407" s="227">
        <v>-25000</v>
      </c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>
        <v>-25000</v>
      </c>
    </row>
    <row r="408" spans="1:17" x14ac:dyDescent="0.3">
      <c r="A408" s="72">
        <v>614</v>
      </c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>
        <v>-3000</v>
      </c>
      <c r="P408" s="227"/>
      <c r="Q408" s="227">
        <v>-3000</v>
      </c>
    </row>
    <row r="409" spans="1:17" x14ac:dyDescent="0.3">
      <c r="A409" s="72">
        <v>615</v>
      </c>
      <c r="B409" s="227"/>
      <c r="C409" s="227"/>
      <c r="D409" s="227"/>
      <c r="E409" s="227">
        <v>-20000</v>
      </c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>
        <v>-20000</v>
      </c>
    </row>
    <row r="410" spans="1:17" x14ac:dyDescent="0.3">
      <c r="A410" s="72">
        <v>616</v>
      </c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>
        <v>-3300</v>
      </c>
      <c r="N410" s="227"/>
      <c r="O410" s="227"/>
      <c r="P410" s="227"/>
      <c r="Q410" s="227">
        <v>-3300</v>
      </c>
    </row>
    <row r="411" spans="1:17" x14ac:dyDescent="0.3">
      <c r="A411" s="72">
        <v>617</v>
      </c>
      <c r="B411" s="227"/>
      <c r="C411" s="227"/>
      <c r="D411" s="227"/>
      <c r="E411" s="227"/>
      <c r="F411" s="227"/>
      <c r="G411" s="227">
        <v>-50</v>
      </c>
      <c r="H411" s="227"/>
      <c r="I411" s="227"/>
      <c r="J411" s="227"/>
      <c r="K411" s="227"/>
      <c r="L411" s="227"/>
      <c r="M411" s="227"/>
      <c r="N411" s="227"/>
      <c r="O411" s="227"/>
      <c r="P411" s="227"/>
      <c r="Q411" s="227">
        <v>-50</v>
      </c>
    </row>
    <row r="412" spans="1:17" x14ac:dyDescent="0.3">
      <c r="A412" s="72">
        <v>618</v>
      </c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>
        <v>-425</v>
      </c>
      <c r="N412" s="227"/>
      <c r="O412" s="227"/>
      <c r="P412" s="227"/>
      <c r="Q412" s="227">
        <v>-425</v>
      </c>
    </row>
    <row r="413" spans="1:17" x14ac:dyDescent="0.3">
      <c r="A413" s="72">
        <v>619</v>
      </c>
      <c r="B413" s="227"/>
      <c r="C413" s="227">
        <v>-12600</v>
      </c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>
        <v>-12600</v>
      </c>
    </row>
    <row r="414" spans="1:17" x14ac:dyDescent="0.3">
      <c r="A414" s="72">
        <v>620</v>
      </c>
      <c r="B414" s="227"/>
      <c r="C414" s="227"/>
      <c r="D414" s="227"/>
      <c r="E414" s="227"/>
      <c r="F414" s="227"/>
      <c r="G414" s="227">
        <v>-50</v>
      </c>
      <c r="H414" s="227"/>
      <c r="I414" s="227"/>
      <c r="J414" s="227"/>
      <c r="K414" s="227"/>
      <c r="L414" s="227"/>
      <c r="M414" s="227"/>
      <c r="N414" s="227"/>
      <c r="O414" s="227"/>
      <c r="P414" s="227"/>
      <c r="Q414" s="227">
        <v>-50</v>
      </c>
    </row>
    <row r="415" spans="1:17" x14ac:dyDescent="0.3">
      <c r="A415" s="72">
        <v>621</v>
      </c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>
        <v>-10000</v>
      </c>
      <c r="N415" s="227"/>
      <c r="O415" s="227"/>
      <c r="P415" s="227"/>
      <c r="Q415" s="227">
        <v>-10000</v>
      </c>
    </row>
    <row r="416" spans="1:17" x14ac:dyDescent="0.3">
      <c r="A416" s="72">
        <v>622</v>
      </c>
      <c r="B416" s="227">
        <v>200000</v>
      </c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>
        <v>200000</v>
      </c>
    </row>
    <row r="417" spans="1:17" x14ac:dyDescent="0.3">
      <c r="A417" s="72">
        <v>623</v>
      </c>
      <c r="B417" s="227"/>
      <c r="C417" s="227"/>
      <c r="D417" s="227"/>
      <c r="E417" s="227">
        <v>-75000</v>
      </c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>
        <v>-75000</v>
      </c>
    </row>
    <row r="418" spans="1:17" x14ac:dyDescent="0.3">
      <c r="A418" s="72">
        <v>624</v>
      </c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>
        <v>-25000</v>
      </c>
      <c r="N418" s="227"/>
      <c r="O418" s="227"/>
      <c r="P418" s="227"/>
      <c r="Q418" s="227">
        <v>-25000</v>
      </c>
    </row>
    <row r="419" spans="1:17" x14ac:dyDescent="0.3">
      <c r="A419" s="72">
        <v>625</v>
      </c>
      <c r="B419" s="227"/>
      <c r="C419" s="227"/>
      <c r="D419" s="227"/>
      <c r="E419" s="227"/>
      <c r="F419" s="227"/>
      <c r="G419" s="227">
        <v>-50</v>
      </c>
      <c r="H419" s="227"/>
      <c r="I419" s="227"/>
      <c r="J419" s="227"/>
      <c r="K419" s="227"/>
      <c r="L419" s="227"/>
      <c r="M419" s="227"/>
      <c r="N419" s="227"/>
      <c r="O419" s="227"/>
      <c r="P419" s="227"/>
      <c r="Q419" s="227">
        <v>-50</v>
      </c>
    </row>
    <row r="420" spans="1:17" x14ac:dyDescent="0.3">
      <c r="A420" s="72">
        <v>626</v>
      </c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>
        <v>-3750</v>
      </c>
      <c r="N420" s="227"/>
      <c r="O420" s="227"/>
      <c r="P420" s="227"/>
      <c r="Q420" s="227">
        <v>-3750</v>
      </c>
    </row>
    <row r="421" spans="1:17" x14ac:dyDescent="0.3">
      <c r="A421" s="72">
        <v>627</v>
      </c>
      <c r="B421" s="227"/>
      <c r="C421" s="227"/>
      <c r="D421" s="227"/>
      <c r="E421" s="227"/>
      <c r="F421" s="227"/>
      <c r="G421" s="227">
        <v>-100</v>
      </c>
      <c r="H421" s="227"/>
      <c r="I421" s="227"/>
      <c r="J421" s="227"/>
      <c r="K421" s="227"/>
      <c r="L421" s="227"/>
      <c r="M421" s="227"/>
      <c r="N421" s="227"/>
      <c r="O421" s="227"/>
      <c r="P421" s="227"/>
      <c r="Q421" s="227">
        <v>-100</v>
      </c>
    </row>
    <row r="422" spans="1:17" x14ac:dyDescent="0.3">
      <c r="A422" s="72">
        <v>628</v>
      </c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>
        <v>-10000</v>
      </c>
      <c r="O422" s="227"/>
      <c r="P422" s="227"/>
      <c r="Q422" s="227">
        <v>-10000</v>
      </c>
    </row>
    <row r="423" spans="1:17" x14ac:dyDescent="0.3">
      <c r="A423" s="72">
        <v>629</v>
      </c>
      <c r="B423" s="227">
        <v>500000</v>
      </c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>
        <v>500000</v>
      </c>
    </row>
    <row r="424" spans="1:17" x14ac:dyDescent="0.3">
      <c r="A424" s="72">
        <v>630</v>
      </c>
      <c r="B424" s="227">
        <v>500000</v>
      </c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>
        <v>500000</v>
      </c>
    </row>
    <row r="425" spans="1:17" x14ac:dyDescent="0.3">
      <c r="A425" s="72">
        <v>631</v>
      </c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>
        <v>-3520</v>
      </c>
      <c r="N425" s="227"/>
      <c r="O425" s="227"/>
      <c r="P425" s="227"/>
      <c r="Q425" s="227">
        <v>-3520</v>
      </c>
    </row>
    <row r="426" spans="1:17" x14ac:dyDescent="0.3">
      <c r="A426" s="72">
        <v>632</v>
      </c>
      <c r="B426" s="227"/>
      <c r="C426" s="227"/>
      <c r="D426" s="227"/>
      <c r="E426" s="227"/>
      <c r="F426" s="227"/>
      <c r="G426" s="227">
        <v>-100</v>
      </c>
      <c r="H426" s="227"/>
      <c r="I426" s="227"/>
      <c r="J426" s="227"/>
      <c r="K426" s="227"/>
      <c r="L426" s="227"/>
      <c r="M426" s="227"/>
      <c r="N426" s="227"/>
      <c r="O426" s="227"/>
      <c r="P426" s="227"/>
      <c r="Q426" s="227">
        <v>-100</v>
      </c>
    </row>
    <row r="427" spans="1:17" x14ac:dyDescent="0.3">
      <c r="A427" s="72">
        <v>633</v>
      </c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>
        <v>-3000</v>
      </c>
      <c r="P427" s="227"/>
      <c r="Q427" s="227">
        <v>-3000</v>
      </c>
    </row>
    <row r="428" spans="1:17" x14ac:dyDescent="0.3">
      <c r="A428" s="72">
        <v>634</v>
      </c>
      <c r="B428" s="227"/>
      <c r="C428" s="227"/>
      <c r="D428" s="227"/>
      <c r="E428" s="227">
        <v>-10000</v>
      </c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>
        <v>-10000</v>
      </c>
    </row>
    <row r="429" spans="1:17" x14ac:dyDescent="0.3">
      <c r="A429" s="72">
        <v>635</v>
      </c>
      <c r="B429" s="227"/>
      <c r="C429" s="227"/>
      <c r="D429" s="227"/>
      <c r="E429" s="227">
        <v>-25000</v>
      </c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>
        <v>-25000</v>
      </c>
    </row>
    <row r="430" spans="1:17" x14ac:dyDescent="0.3">
      <c r="A430" s="72">
        <v>636</v>
      </c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>
        <v>-20000</v>
      </c>
      <c r="N430" s="227"/>
      <c r="O430" s="227"/>
      <c r="P430" s="227"/>
      <c r="Q430" s="227">
        <v>-20000</v>
      </c>
    </row>
    <row r="431" spans="1:17" x14ac:dyDescent="0.3">
      <c r="A431" s="72">
        <v>637</v>
      </c>
      <c r="B431" s="227"/>
      <c r="C431" s="227"/>
      <c r="D431" s="227"/>
      <c r="E431" s="227">
        <v>-35000</v>
      </c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>
        <v>-35000</v>
      </c>
    </row>
    <row r="432" spans="1:17" x14ac:dyDescent="0.3">
      <c r="A432" s="72">
        <v>638</v>
      </c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>
        <v>-1000</v>
      </c>
      <c r="P432" s="227"/>
      <c r="Q432" s="227">
        <v>-1000</v>
      </c>
    </row>
    <row r="433" spans="1:17" x14ac:dyDescent="0.3">
      <c r="A433" s="72">
        <v>639</v>
      </c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>
        <v>-20000</v>
      </c>
      <c r="O433" s="227"/>
      <c r="P433" s="227"/>
      <c r="Q433" s="227">
        <v>-20000</v>
      </c>
    </row>
    <row r="434" spans="1:17" x14ac:dyDescent="0.3">
      <c r="A434" s="72">
        <v>640</v>
      </c>
      <c r="B434" s="227"/>
      <c r="C434" s="227"/>
      <c r="D434" s="227"/>
      <c r="E434" s="227"/>
      <c r="F434" s="227"/>
      <c r="G434" s="227">
        <v>-100</v>
      </c>
      <c r="H434" s="227"/>
      <c r="I434" s="227"/>
      <c r="J434" s="227"/>
      <c r="K434" s="227"/>
      <c r="L434" s="227"/>
      <c r="M434" s="227"/>
      <c r="N434" s="227"/>
      <c r="O434" s="227"/>
      <c r="P434" s="227"/>
      <c r="Q434" s="227">
        <v>-100</v>
      </c>
    </row>
    <row r="435" spans="1:17" x14ac:dyDescent="0.3">
      <c r="A435" s="72">
        <v>641</v>
      </c>
      <c r="B435" s="227"/>
      <c r="C435" s="227"/>
      <c r="D435" s="227"/>
      <c r="E435" s="227"/>
      <c r="F435" s="227"/>
      <c r="G435" s="227">
        <v>-50</v>
      </c>
      <c r="H435" s="227"/>
      <c r="I435" s="227"/>
      <c r="J435" s="227"/>
      <c r="K435" s="227"/>
      <c r="L435" s="227"/>
      <c r="M435" s="227"/>
      <c r="N435" s="227"/>
      <c r="O435" s="227"/>
      <c r="P435" s="227"/>
      <c r="Q435" s="227">
        <v>-50</v>
      </c>
    </row>
    <row r="436" spans="1:17" x14ac:dyDescent="0.3">
      <c r="A436" s="72">
        <v>642</v>
      </c>
      <c r="B436" s="227"/>
      <c r="C436" s="227"/>
      <c r="D436" s="227"/>
      <c r="E436" s="227"/>
      <c r="F436" s="227"/>
      <c r="G436" s="227"/>
      <c r="H436" s="227"/>
      <c r="I436" s="227"/>
      <c r="J436" s="227">
        <v>-5000</v>
      </c>
      <c r="K436" s="227"/>
      <c r="L436" s="227"/>
      <c r="M436" s="227"/>
      <c r="N436" s="227"/>
      <c r="O436" s="227"/>
      <c r="P436" s="227"/>
      <c r="Q436" s="227">
        <v>-5000</v>
      </c>
    </row>
    <row r="437" spans="1:17" x14ac:dyDescent="0.3">
      <c r="A437" s="72">
        <v>643</v>
      </c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>
        <v>-20000</v>
      </c>
      <c r="O437" s="227"/>
      <c r="P437" s="227"/>
      <c r="Q437" s="227">
        <v>-20000</v>
      </c>
    </row>
    <row r="438" spans="1:17" x14ac:dyDescent="0.3">
      <c r="A438" s="72">
        <v>644</v>
      </c>
      <c r="B438" s="227"/>
      <c r="C438" s="227"/>
      <c r="D438" s="227"/>
      <c r="E438" s="227">
        <v>-25000</v>
      </c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>
        <v>-25000</v>
      </c>
    </row>
    <row r="439" spans="1:17" x14ac:dyDescent="0.3">
      <c r="A439" s="72">
        <v>645</v>
      </c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>
        <v>-2000</v>
      </c>
      <c r="P439" s="227"/>
      <c r="Q439" s="227">
        <v>-2000</v>
      </c>
    </row>
    <row r="440" spans="1:17" x14ac:dyDescent="0.3">
      <c r="A440" s="72">
        <v>646</v>
      </c>
      <c r="B440" s="227"/>
      <c r="C440" s="227"/>
      <c r="D440" s="227">
        <v>-33000</v>
      </c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>
        <v>-33000</v>
      </c>
    </row>
    <row r="441" spans="1:17" x14ac:dyDescent="0.3">
      <c r="A441" s="72">
        <v>647</v>
      </c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>
        <v>-8400</v>
      </c>
      <c r="P441" s="227"/>
      <c r="Q441" s="227">
        <v>-8400</v>
      </c>
    </row>
    <row r="442" spans="1:17" x14ac:dyDescent="0.3">
      <c r="A442" s="72">
        <v>648</v>
      </c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>
        <v>-2700</v>
      </c>
      <c r="P442" s="227"/>
      <c r="Q442" s="227">
        <v>-2700</v>
      </c>
    </row>
    <row r="443" spans="1:17" x14ac:dyDescent="0.3">
      <c r="A443" s="72">
        <v>649</v>
      </c>
      <c r="B443" s="227"/>
      <c r="C443" s="227"/>
      <c r="D443" s="227"/>
      <c r="E443" s="227">
        <v>-25000</v>
      </c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>
        <v>-25000</v>
      </c>
    </row>
    <row r="444" spans="1:17" x14ac:dyDescent="0.3">
      <c r="A444" s="72">
        <v>650</v>
      </c>
      <c r="B444" s="227"/>
      <c r="C444" s="227"/>
      <c r="D444" s="227"/>
      <c r="E444" s="227"/>
      <c r="F444" s="227"/>
      <c r="G444" s="227">
        <v>-50</v>
      </c>
      <c r="H444" s="227"/>
      <c r="I444" s="227"/>
      <c r="J444" s="227"/>
      <c r="K444" s="227"/>
      <c r="L444" s="227"/>
      <c r="M444" s="227"/>
      <c r="N444" s="227"/>
      <c r="O444" s="227"/>
      <c r="P444" s="227"/>
      <c r="Q444" s="227">
        <v>-50</v>
      </c>
    </row>
    <row r="445" spans="1:17" x14ac:dyDescent="0.3">
      <c r="A445" s="72">
        <v>651</v>
      </c>
      <c r="B445" s="227">
        <v>100000</v>
      </c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>
        <v>100000</v>
      </c>
    </row>
    <row r="446" spans="1:17" x14ac:dyDescent="0.3">
      <c r="A446" s="72">
        <v>652</v>
      </c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>
        <v>-20000</v>
      </c>
      <c r="O446" s="227"/>
      <c r="P446" s="227"/>
      <c r="Q446" s="227">
        <v>-20000</v>
      </c>
    </row>
    <row r="447" spans="1:17" x14ac:dyDescent="0.3">
      <c r="A447" s="72">
        <v>653</v>
      </c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>
        <v>-10000</v>
      </c>
      <c r="N447" s="227"/>
      <c r="O447" s="227"/>
      <c r="P447" s="227"/>
      <c r="Q447" s="227">
        <v>-10000</v>
      </c>
    </row>
    <row r="448" spans="1:17" x14ac:dyDescent="0.3">
      <c r="A448" s="72">
        <v>654</v>
      </c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>
        <v>-60000</v>
      </c>
      <c r="M448" s="227"/>
      <c r="N448" s="227"/>
      <c r="O448" s="227"/>
      <c r="P448" s="227"/>
      <c r="Q448" s="227">
        <v>-60000</v>
      </c>
    </row>
    <row r="449" spans="1:17" x14ac:dyDescent="0.3">
      <c r="A449" s="72">
        <v>655</v>
      </c>
      <c r="B449" s="227"/>
      <c r="C449" s="227"/>
      <c r="D449" s="227"/>
      <c r="E449" s="227"/>
      <c r="F449" s="227">
        <v>-20000</v>
      </c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>
        <v>-20000</v>
      </c>
    </row>
    <row r="450" spans="1:17" x14ac:dyDescent="0.3">
      <c r="A450" s="72">
        <v>656</v>
      </c>
      <c r="B450" s="227"/>
      <c r="C450" s="227"/>
      <c r="D450" s="227"/>
      <c r="E450" s="227">
        <v>-20000</v>
      </c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>
        <v>-20000</v>
      </c>
    </row>
    <row r="451" spans="1:17" x14ac:dyDescent="0.3">
      <c r="A451" s="72">
        <v>657</v>
      </c>
      <c r="B451" s="227"/>
      <c r="C451" s="227"/>
      <c r="D451" s="227"/>
      <c r="E451" s="227"/>
      <c r="F451" s="227"/>
      <c r="G451" s="227">
        <v>-400</v>
      </c>
      <c r="H451" s="227"/>
      <c r="I451" s="227"/>
      <c r="J451" s="227"/>
      <c r="K451" s="227"/>
      <c r="L451" s="227"/>
      <c r="M451" s="227"/>
      <c r="N451" s="227"/>
      <c r="O451" s="227"/>
      <c r="P451" s="227"/>
      <c r="Q451" s="227">
        <v>-400</v>
      </c>
    </row>
    <row r="452" spans="1:17" x14ac:dyDescent="0.3">
      <c r="A452" s="72">
        <v>658</v>
      </c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>
        <v>-3000</v>
      </c>
      <c r="O452" s="227"/>
      <c r="P452" s="227"/>
      <c r="Q452" s="227">
        <v>-3000</v>
      </c>
    </row>
    <row r="453" spans="1:17" x14ac:dyDescent="0.3">
      <c r="A453" s="72">
        <v>659</v>
      </c>
      <c r="B453" s="227"/>
      <c r="C453" s="227"/>
      <c r="D453" s="227"/>
      <c r="E453" s="227"/>
      <c r="F453" s="227"/>
      <c r="G453" s="227">
        <v>-70</v>
      </c>
      <c r="H453" s="227"/>
      <c r="I453" s="227"/>
      <c r="J453" s="227"/>
      <c r="K453" s="227"/>
      <c r="L453" s="227"/>
      <c r="M453" s="227"/>
      <c r="N453" s="227"/>
      <c r="O453" s="227"/>
      <c r="P453" s="227"/>
      <c r="Q453" s="227">
        <v>-70</v>
      </c>
    </row>
    <row r="454" spans="1:17" x14ac:dyDescent="0.3">
      <c r="A454" s="72">
        <v>660</v>
      </c>
      <c r="B454" s="227"/>
      <c r="C454" s="227"/>
      <c r="D454" s="227"/>
      <c r="E454" s="227">
        <v>-25000</v>
      </c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>
        <v>-25000</v>
      </c>
    </row>
    <row r="455" spans="1:17" x14ac:dyDescent="0.3">
      <c r="A455" s="72">
        <v>661</v>
      </c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>
        <v>-10000</v>
      </c>
      <c r="N455" s="227"/>
      <c r="O455" s="227"/>
      <c r="P455" s="227"/>
      <c r="Q455" s="227">
        <v>-10000</v>
      </c>
    </row>
    <row r="456" spans="1:17" x14ac:dyDescent="0.3">
      <c r="A456" s="72">
        <v>662</v>
      </c>
      <c r="B456" s="227"/>
      <c r="C456" s="227"/>
      <c r="D456" s="227"/>
      <c r="E456" s="227"/>
      <c r="F456" s="227"/>
      <c r="G456" s="227">
        <v>-300</v>
      </c>
      <c r="H456" s="227"/>
      <c r="I456" s="227"/>
      <c r="J456" s="227"/>
      <c r="K456" s="227"/>
      <c r="L456" s="227"/>
      <c r="M456" s="227"/>
      <c r="N456" s="227"/>
      <c r="O456" s="227"/>
      <c r="P456" s="227"/>
      <c r="Q456" s="227">
        <v>-300</v>
      </c>
    </row>
    <row r="457" spans="1:17" x14ac:dyDescent="0.3">
      <c r="A457" s="72">
        <v>664</v>
      </c>
      <c r="B457" s="227">
        <v>200000</v>
      </c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>
        <v>200000</v>
      </c>
    </row>
    <row r="458" spans="1:17" x14ac:dyDescent="0.3">
      <c r="A458" s="72">
        <v>665</v>
      </c>
      <c r="B458" s="227"/>
      <c r="C458" s="227"/>
      <c r="D458" s="227"/>
      <c r="E458" s="227"/>
      <c r="F458" s="227"/>
      <c r="G458" s="227">
        <v>-100</v>
      </c>
      <c r="H458" s="227"/>
      <c r="I458" s="227"/>
      <c r="J458" s="227"/>
      <c r="K458" s="227"/>
      <c r="L458" s="227"/>
      <c r="M458" s="227"/>
      <c r="N458" s="227"/>
      <c r="O458" s="227"/>
      <c r="P458" s="227"/>
      <c r="Q458" s="227">
        <v>-100</v>
      </c>
    </row>
    <row r="459" spans="1:17" x14ac:dyDescent="0.3">
      <c r="A459" s="72">
        <v>666</v>
      </c>
      <c r="B459" s="227"/>
      <c r="C459" s="227"/>
      <c r="D459" s="227"/>
      <c r="E459" s="227"/>
      <c r="F459" s="227"/>
      <c r="G459" s="227"/>
      <c r="H459" s="227"/>
      <c r="I459" s="227"/>
      <c r="J459" s="227"/>
      <c r="K459" s="227">
        <v>-73000</v>
      </c>
      <c r="L459" s="227"/>
      <c r="M459" s="227"/>
      <c r="N459" s="227"/>
      <c r="O459" s="227"/>
      <c r="P459" s="227"/>
      <c r="Q459" s="227">
        <v>-73000</v>
      </c>
    </row>
    <row r="460" spans="1:17" x14ac:dyDescent="0.3">
      <c r="A460" s="72">
        <v>667</v>
      </c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>
        <v>-50000</v>
      </c>
      <c r="N460" s="227"/>
      <c r="O460" s="227"/>
      <c r="P460" s="227"/>
      <c r="Q460" s="227">
        <v>-50000</v>
      </c>
    </row>
    <row r="461" spans="1:17" x14ac:dyDescent="0.3">
      <c r="A461" s="72">
        <v>668</v>
      </c>
      <c r="B461" s="227"/>
      <c r="C461" s="227"/>
      <c r="D461" s="227"/>
      <c r="E461" s="227">
        <v>-50000</v>
      </c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>
        <v>-50000</v>
      </c>
    </row>
    <row r="462" spans="1:17" x14ac:dyDescent="0.3">
      <c r="A462" s="72">
        <v>669</v>
      </c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>
        <v>-850</v>
      </c>
      <c r="P462" s="227"/>
      <c r="Q462" s="227">
        <v>-850</v>
      </c>
    </row>
    <row r="463" spans="1:17" x14ac:dyDescent="0.3">
      <c r="A463" s="72">
        <v>670</v>
      </c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>
        <v>-850</v>
      </c>
      <c r="P463" s="227"/>
      <c r="Q463" s="227">
        <v>-850</v>
      </c>
    </row>
    <row r="464" spans="1:17" x14ac:dyDescent="0.3">
      <c r="A464" s="72">
        <v>671</v>
      </c>
      <c r="B464" s="227"/>
      <c r="C464" s="227"/>
      <c r="D464" s="227">
        <v>-20000</v>
      </c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>
        <v>-20000</v>
      </c>
    </row>
    <row r="465" spans="1:17" x14ac:dyDescent="0.3">
      <c r="A465" s="72">
        <v>672</v>
      </c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>
        <v>-3000</v>
      </c>
      <c r="P465" s="227"/>
      <c r="Q465" s="227">
        <v>-3000</v>
      </c>
    </row>
    <row r="466" spans="1:17" x14ac:dyDescent="0.3">
      <c r="A466" s="72">
        <v>673</v>
      </c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>
        <v>-500</v>
      </c>
      <c r="P466" s="227"/>
      <c r="Q466" s="227">
        <v>-500</v>
      </c>
    </row>
    <row r="467" spans="1:17" x14ac:dyDescent="0.3">
      <c r="A467" s="72">
        <v>674</v>
      </c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>
        <v>-1000</v>
      </c>
      <c r="P467" s="227"/>
      <c r="Q467" s="227">
        <v>-1000</v>
      </c>
    </row>
    <row r="468" spans="1:17" x14ac:dyDescent="0.3">
      <c r="A468" s="72">
        <v>675</v>
      </c>
      <c r="B468" s="227"/>
      <c r="C468" s="227"/>
      <c r="D468" s="227"/>
      <c r="E468" s="227"/>
      <c r="F468" s="227"/>
      <c r="G468" s="227">
        <v>-150</v>
      </c>
      <c r="H468" s="227"/>
      <c r="I468" s="227"/>
      <c r="J468" s="227"/>
      <c r="K468" s="227"/>
      <c r="L468" s="227"/>
      <c r="M468" s="227"/>
      <c r="N468" s="227"/>
      <c r="O468" s="227"/>
      <c r="P468" s="227"/>
      <c r="Q468" s="227">
        <v>-150</v>
      </c>
    </row>
    <row r="469" spans="1:17" x14ac:dyDescent="0.3">
      <c r="A469" s="72">
        <v>676</v>
      </c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>
        <v>-50000</v>
      </c>
      <c r="O469" s="227"/>
      <c r="P469" s="227"/>
      <c r="Q469" s="227">
        <v>-50000</v>
      </c>
    </row>
    <row r="470" spans="1:17" x14ac:dyDescent="0.3">
      <c r="A470" s="72">
        <v>677</v>
      </c>
      <c r="B470" s="227"/>
      <c r="C470" s="227"/>
      <c r="D470" s="227"/>
      <c r="E470" s="227"/>
      <c r="F470" s="227"/>
      <c r="G470" s="227">
        <v>-50</v>
      </c>
      <c r="H470" s="227"/>
      <c r="I470" s="227"/>
      <c r="J470" s="227"/>
      <c r="K470" s="227"/>
      <c r="L470" s="227"/>
      <c r="M470" s="227"/>
      <c r="N470" s="227"/>
      <c r="O470" s="227"/>
      <c r="P470" s="227"/>
      <c r="Q470" s="227">
        <v>-50</v>
      </c>
    </row>
    <row r="471" spans="1:17" x14ac:dyDescent="0.3">
      <c r="A471" s="72">
        <v>678</v>
      </c>
      <c r="B471" s="227"/>
      <c r="C471" s="227"/>
      <c r="D471" s="227"/>
      <c r="E471" s="227"/>
      <c r="F471" s="227"/>
      <c r="G471" s="227">
        <v>-50</v>
      </c>
      <c r="H471" s="227"/>
      <c r="I471" s="227"/>
      <c r="J471" s="227"/>
      <c r="K471" s="227"/>
      <c r="L471" s="227"/>
      <c r="M471" s="227"/>
      <c r="N471" s="227"/>
      <c r="O471" s="227"/>
      <c r="P471" s="227"/>
      <c r="Q471" s="227">
        <v>-50</v>
      </c>
    </row>
    <row r="472" spans="1:17" x14ac:dyDescent="0.3">
      <c r="A472" s="72">
        <v>679</v>
      </c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>
        <v>-1000</v>
      </c>
      <c r="P472" s="227"/>
      <c r="Q472" s="227">
        <v>-1000</v>
      </c>
    </row>
    <row r="473" spans="1:17" x14ac:dyDescent="0.3">
      <c r="A473" s="72">
        <v>680</v>
      </c>
      <c r="B473" s="227"/>
      <c r="C473" s="227"/>
      <c r="D473" s="227"/>
      <c r="E473" s="227"/>
      <c r="F473" s="227"/>
      <c r="G473" s="227">
        <v>-50</v>
      </c>
      <c r="H473" s="227"/>
      <c r="I473" s="227"/>
      <c r="J473" s="227"/>
      <c r="K473" s="227"/>
      <c r="L473" s="227"/>
      <c r="M473" s="227"/>
      <c r="N473" s="227"/>
      <c r="O473" s="227"/>
      <c r="P473" s="227"/>
      <c r="Q473" s="227">
        <v>-50</v>
      </c>
    </row>
    <row r="474" spans="1:17" x14ac:dyDescent="0.3">
      <c r="A474" s="72">
        <v>681</v>
      </c>
      <c r="B474" s="227">
        <v>150000</v>
      </c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>
        <v>150000</v>
      </c>
    </row>
    <row r="475" spans="1:17" x14ac:dyDescent="0.3">
      <c r="A475" s="72">
        <v>682</v>
      </c>
      <c r="B475" s="227"/>
      <c r="C475" s="227"/>
      <c r="D475" s="227"/>
      <c r="E475" s="227">
        <v>-65000</v>
      </c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>
        <v>-65000</v>
      </c>
    </row>
    <row r="476" spans="1:17" x14ac:dyDescent="0.3">
      <c r="A476" s="72">
        <v>683</v>
      </c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>
        <v>-50000</v>
      </c>
      <c r="N476" s="227"/>
      <c r="O476" s="227"/>
      <c r="P476" s="227"/>
      <c r="Q476" s="227">
        <v>-50000</v>
      </c>
    </row>
    <row r="477" spans="1:17" x14ac:dyDescent="0.3">
      <c r="A477" s="72">
        <v>684</v>
      </c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>
        <v>-2500</v>
      </c>
      <c r="P477" s="227"/>
      <c r="Q477" s="227">
        <v>-2500</v>
      </c>
    </row>
    <row r="478" spans="1:17" x14ac:dyDescent="0.3">
      <c r="A478" s="72">
        <v>685</v>
      </c>
      <c r="B478" s="227"/>
      <c r="C478" s="227"/>
      <c r="D478" s="227">
        <v>-100000</v>
      </c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>
        <v>-100000</v>
      </c>
    </row>
    <row r="479" spans="1:17" x14ac:dyDescent="0.3">
      <c r="A479" s="72">
        <v>686</v>
      </c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>
        <v>-2000</v>
      </c>
      <c r="P479" s="227"/>
      <c r="Q479" s="227">
        <v>-2000</v>
      </c>
    </row>
    <row r="480" spans="1:17" x14ac:dyDescent="0.3">
      <c r="A480" s="72">
        <v>687</v>
      </c>
      <c r="B480" s="227"/>
      <c r="C480" s="227"/>
      <c r="D480" s="227"/>
      <c r="E480" s="227"/>
      <c r="F480" s="227"/>
      <c r="G480" s="227">
        <v>-50</v>
      </c>
      <c r="H480" s="227"/>
      <c r="I480" s="227"/>
      <c r="J480" s="227"/>
      <c r="K480" s="227"/>
      <c r="L480" s="227"/>
      <c r="M480" s="227"/>
      <c r="N480" s="227"/>
      <c r="O480" s="227"/>
      <c r="P480" s="227"/>
      <c r="Q480" s="227">
        <v>-50</v>
      </c>
    </row>
    <row r="481" spans="1:17" x14ac:dyDescent="0.3">
      <c r="A481" s="72">
        <v>688</v>
      </c>
      <c r="B481" s="227"/>
      <c r="C481" s="227"/>
      <c r="D481" s="227"/>
      <c r="E481" s="227">
        <v>-10000</v>
      </c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>
        <v>-10000</v>
      </c>
    </row>
    <row r="482" spans="1:17" x14ac:dyDescent="0.3">
      <c r="A482" s="72">
        <v>689</v>
      </c>
      <c r="B482" s="227"/>
      <c r="C482" s="227"/>
      <c r="D482" s="227"/>
      <c r="E482" s="227">
        <v>-10000</v>
      </c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>
        <v>-10000</v>
      </c>
    </row>
    <row r="483" spans="1:17" x14ac:dyDescent="0.3">
      <c r="A483" s="72">
        <v>690</v>
      </c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>
        <v>-1100</v>
      </c>
      <c r="P483" s="227"/>
      <c r="Q483" s="227">
        <v>-1100</v>
      </c>
    </row>
    <row r="484" spans="1:17" x14ac:dyDescent="0.3">
      <c r="A484" s="72">
        <v>691</v>
      </c>
      <c r="B484" s="227"/>
      <c r="C484" s="227"/>
      <c r="D484" s="227"/>
      <c r="E484" s="227"/>
      <c r="F484" s="227"/>
      <c r="G484" s="227">
        <v>-50</v>
      </c>
      <c r="H484" s="227"/>
      <c r="I484" s="227"/>
      <c r="J484" s="227"/>
      <c r="K484" s="227"/>
      <c r="L484" s="227"/>
      <c r="M484" s="227"/>
      <c r="N484" s="227"/>
      <c r="O484" s="227"/>
      <c r="P484" s="227"/>
      <c r="Q484" s="227">
        <v>-50</v>
      </c>
    </row>
    <row r="485" spans="1:17" x14ac:dyDescent="0.3">
      <c r="A485" s="72">
        <v>692</v>
      </c>
      <c r="B485" s="227"/>
      <c r="C485" s="227"/>
      <c r="D485" s="227"/>
      <c r="E485" s="227"/>
      <c r="F485" s="227"/>
      <c r="G485" s="227">
        <v>-50</v>
      </c>
      <c r="H485" s="227"/>
      <c r="I485" s="227"/>
      <c r="J485" s="227"/>
      <c r="K485" s="227"/>
      <c r="L485" s="227"/>
      <c r="M485" s="227"/>
      <c r="N485" s="227"/>
      <c r="O485" s="227"/>
      <c r="P485" s="227"/>
      <c r="Q485" s="227">
        <v>-50</v>
      </c>
    </row>
    <row r="486" spans="1:17" x14ac:dyDescent="0.3">
      <c r="A486" s="72">
        <v>693</v>
      </c>
      <c r="B486" s="227"/>
      <c r="C486" s="227"/>
      <c r="D486" s="227">
        <v>-85940</v>
      </c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>
        <v>-85940</v>
      </c>
    </row>
    <row r="487" spans="1:17" x14ac:dyDescent="0.3">
      <c r="A487" s="72">
        <v>694</v>
      </c>
      <c r="B487" s="227"/>
      <c r="C487" s="227"/>
      <c r="D487" s="227"/>
      <c r="E487" s="227">
        <v>-5000</v>
      </c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>
        <v>-5000</v>
      </c>
    </row>
    <row r="488" spans="1:17" x14ac:dyDescent="0.3">
      <c r="A488" s="72">
        <v>695</v>
      </c>
      <c r="B488" s="227"/>
      <c r="C488" s="227"/>
      <c r="D488" s="227"/>
      <c r="E488" s="227">
        <v>-50000</v>
      </c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>
        <v>-50000</v>
      </c>
    </row>
    <row r="489" spans="1:17" x14ac:dyDescent="0.3">
      <c r="A489" s="72">
        <v>696</v>
      </c>
      <c r="B489" s="227">
        <v>100000</v>
      </c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>
        <v>100000</v>
      </c>
    </row>
    <row r="490" spans="1:17" x14ac:dyDescent="0.3">
      <c r="A490" s="72">
        <v>697</v>
      </c>
      <c r="B490" s="227"/>
      <c r="C490" s="227"/>
      <c r="D490" s="227"/>
      <c r="E490" s="227">
        <v>-100000</v>
      </c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>
        <v>-100000</v>
      </c>
    </row>
    <row r="491" spans="1:17" x14ac:dyDescent="0.3">
      <c r="A491" s="72">
        <v>698</v>
      </c>
      <c r="B491" s="227">
        <v>95000</v>
      </c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>
        <v>95000</v>
      </c>
    </row>
    <row r="492" spans="1:17" x14ac:dyDescent="0.3">
      <c r="A492" s="72">
        <v>699</v>
      </c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>
        <v>-50000</v>
      </c>
      <c r="N492" s="227"/>
      <c r="O492" s="227"/>
      <c r="P492" s="227"/>
      <c r="Q492" s="227">
        <v>-50000</v>
      </c>
    </row>
    <row r="493" spans="1:17" x14ac:dyDescent="0.3">
      <c r="A493" s="72">
        <v>700</v>
      </c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>
        <v>-2000</v>
      </c>
      <c r="P493" s="227"/>
      <c r="Q493" s="227">
        <v>-2000</v>
      </c>
    </row>
    <row r="494" spans="1:17" x14ac:dyDescent="0.3">
      <c r="A494" s="72">
        <v>701</v>
      </c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>
        <v>-1000</v>
      </c>
      <c r="P494" s="227"/>
      <c r="Q494" s="227">
        <v>-1000</v>
      </c>
    </row>
    <row r="495" spans="1:17" x14ac:dyDescent="0.3">
      <c r="A495" s="72">
        <v>702</v>
      </c>
      <c r="B495" s="227"/>
      <c r="C495" s="227"/>
      <c r="D495" s="227"/>
      <c r="E495" s="227"/>
      <c r="F495" s="227"/>
      <c r="G495" s="227">
        <v>-50</v>
      </c>
      <c r="H495" s="227"/>
      <c r="I495" s="227"/>
      <c r="J495" s="227"/>
      <c r="K495" s="227"/>
      <c r="L495" s="227"/>
      <c r="M495" s="227"/>
      <c r="N495" s="227"/>
      <c r="O495" s="227"/>
      <c r="P495" s="227"/>
      <c r="Q495" s="227">
        <v>-50</v>
      </c>
    </row>
    <row r="496" spans="1:17" x14ac:dyDescent="0.3">
      <c r="A496" s="72">
        <v>703</v>
      </c>
      <c r="B496" s="227"/>
      <c r="C496" s="227"/>
      <c r="D496" s="227"/>
      <c r="E496" s="227"/>
      <c r="F496" s="227">
        <v>-20000</v>
      </c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>
        <v>-20000</v>
      </c>
    </row>
    <row r="497" spans="1:17" x14ac:dyDescent="0.3">
      <c r="A497" s="72">
        <v>704</v>
      </c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>
        <v>-2000</v>
      </c>
      <c r="N497" s="227"/>
      <c r="O497" s="227"/>
      <c r="P497" s="227"/>
      <c r="Q497" s="227">
        <v>-2000</v>
      </c>
    </row>
    <row r="498" spans="1:17" x14ac:dyDescent="0.3">
      <c r="A498" s="72">
        <v>705</v>
      </c>
      <c r="B498" s="227"/>
      <c r="C498" s="227"/>
      <c r="D498" s="227"/>
      <c r="E498" s="227"/>
      <c r="F498" s="227"/>
      <c r="G498" s="227">
        <v>-90</v>
      </c>
      <c r="H498" s="227"/>
      <c r="I498" s="227"/>
      <c r="J498" s="227"/>
      <c r="K498" s="227"/>
      <c r="L498" s="227"/>
      <c r="M498" s="227"/>
      <c r="N498" s="227"/>
      <c r="O498" s="227"/>
      <c r="P498" s="227"/>
      <c r="Q498" s="227">
        <v>-90</v>
      </c>
    </row>
    <row r="499" spans="1:17" x14ac:dyDescent="0.3">
      <c r="A499" s="72">
        <v>706</v>
      </c>
      <c r="B499" s="227"/>
      <c r="C499" s="227"/>
      <c r="D499" s="227"/>
      <c r="E499" s="227"/>
      <c r="F499" s="227"/>
      <c r="G499" s="227">
        <v>-50</v>
      </c>
      <c r="H499" s="227"/>
      <c r="I499" s="227"/>
      <c r="J499" s="227"/>
      <c r="K499" s="227"/>
      <c r="L499" s="227"/>
      <c r="M499" s="227"/>
      <c r="N499" s="227"/>
      <c r="O499" s="227"/>
      <c r="P499" s="227"/>
      <c r="Q499" s="227">
        <v>-50</v>
      </c>
    </row>
    <row r="500" spans="1:17" x14ac:dyDescent="0.3">
      <c r="A500" s="72">
        <v>707</v>
      </c>
      <c r="B500" s="227"/>
      <c r="C500" s="227"/>
      <c r="D500" s="227"/>
      <c r="E500" s="227"/>
      <c r="F500" s="227"/>
      <c r="G500" s="227">
        <v>-50</v>
      </c>
      <c r="H500" s="227"/>
      <c r="I500" s="227"/>
      <c r="J500" s="227"/>
      <c r="K500" s="227"/>
      <c r="L500" s="227"/>
      <c r="M500" s="227"/>
      <c r="N500" s="227"/>
      <c r="O500" s="227"/>
      <c r="P500" s="227"/>
      <c r="Q500" s="227">
        <v>-50</v>
      </c>
    </row>
    <row r="501" spans="1:17" x14ac:dyDescent="0.3">
      <c r="A501" s="72">
        <v>708</v>
      </c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>
        <v>-1000</v>
      </c>
      <c r="P501" s="227"/>
      <c r="Q501" s="227">
        <v>-1000</v>
      </c>
    </row>
    <row r="502" spans="1:17" x14ac:dyDescent="0.3">
      <c r="A502" s="72">
        <v>709</v>
      </c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>
        <v>-7000</v>
      </c>
      <c r="P502" s="227"/>
      <c r="Q502" s="227">
        <v>-7000</v>
      </c>
    </row>
    <row r="503" spans="1:17" x14ac:dyDescent="0.3">
      <c r="A503" s="72">
        <v>710</v>
      </c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>
        <v>-2500</v>
      </c>
      <c r="P503" s="227"/>
      <c r="Q503" s="227">
        <v>-2500</v>
      </c>
    </row>
    <row r="504" spans="1:17" x14ac:dyDescent="0.3">
      <c r="A504" s="72">
        <v>711</v>
      </c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>
        <v>-4800</v>
      </c>
      <c r="P504" s="227"/>
      <c r="Q504" s="227">
        <v>-4800</v>
      </c>
    </row>
    <row r="505" spans="1:17" x14ac:dyDescent="0.3">
      <c r="A505" s="72">
        <v>712</v>
      </c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>
        <v>-300</v>
      </c>
      <c r="P505" s="227"/>
      <c r="Q505" s="227">
        <v>-300</v>
      </c>
    </row>
    <row r="506" spans="1:17" x14ac:dyDescent="0.3">
      <c r="A506" s="72">
        <v>713</v>
      </c>
      <c r="B506" s="227"/>
      <c r="C506" s="227"/>
      <c r="D506" s="227"/>
      <c r="E506" s="227"/>
      <c r="F506" s="227"/>
      <c r="G506" s="227">
        <v>-50</v>
      </c>
      <c r="H506" s="227"/>
      <c r="I506" s="227"/>
      <c r="J506" s="227"/>
      <c r="K506" s="227"/>
      <c r="L506" s="227"/>
      <c r="M506" s="227"/>
      <c r="N506" s="227"/>
      <c r="O506" s="227"/>
      <c r="P506" s="227"/>
      <c r="Q506" s="227">
        <v>-50</v>
      </c>
    </row>
    <row r="507" spans="1:17" x14ac:dyDescent="0.3">
      <c r="A507" s="72">
        <v>714</v>
      </c>
      <c r="B507" s="227"/>
      <c r="C507" s="227"/>
      <c r="D507" s="227"/>
      <c r="E507" s="227"/>
      <c r="F507" s="227"/>
      <c r="G507" s="227">
        <v>-50</v>
      </c>
      <c r="H507" s="227"/>
      <c r="I507" s="227"/>
      <c r="J507" s="227"/>
      <c r="K507" s="227"/>
      <c r="L507" s="227"/>
      <c r="M507" s="227"/>
      <c r="N507" s="227"/>
      <c r="O507" s="227"/>
      <c r="P507" s="227"/>
      <c r="Q507" s="227">
        <v>-50</v>
      </c>
    </row>
    <row r="508" spans="1:17" x14ac:dyDescent="0.3">
      <c r="A508" s="72">
        <v>715</v>
      </c>
      <c r="B508" s="227"/>
      <c r="C508" s="227"/>
      <c r="D508" s="227"/>
      <c r="E508" s="227"/>
      <c r="F508" s="227"/>
      <c r="G508" s="227">
        <v>-70</v>
      </c>
      <c r="H508" s="227"/>
      <c r="I508" s="227"/>
      <c r="J508" s="227"/>
      <c r="K508" s="227"/>
      <c r="L508" s="227"/>
      <c r="M508" s="227"/>
      <c r="N508" s="227"/>
      <c r="O508" s="227"/>
      <c r="P508" s="227"/>
      <c r="Q508" s="227">
        <v>-70</v>
      </c>
    </row>
    <row r="509" spans="1:17" x14ac:dyDescent="0.3">
      <c r="A509" s="72">
        <v>716</v>
      </c>
      <c r="B509" s="227"/>
      <c r="C509" s="227"/>
      <c r="D509" s="227"/>
      <c r="E509" s="227"/>
      <c r="F509" s="227"/>
      <c r="G509" s="227">
        <v>-50</v>
      </c>
      <c r="H509" s="227"/>
      <c r="I509" s="227"/>
      <c r="J509" s="227"/>
      <c r="K509" s="227"/>
      <c r="L509" s="227"/>
      <c r="M509" s="227"/>
      <c r="N509" s="227"/>
      <c r="O509" s="227"/>
      <c r="P509" s="227"/>
      <c r="Q509" s="227">
        <v>-50</v>
      </c>
    </row>
    <row r="510" spans="1:17" x14ac:dyDescent="0.3">
      <c r="A510" s="72">
        <v>717</v>
      </c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>
        <v>-15200</v>
      </c>
      <c r="P510" s="227"/>
      <c r="Q510" s="227">
        <v>-15200</v>
      </c>
    </row>
    <row r="511" spans="1:17" x14ac:dyDescent="0.3">
      <c r="A511" s="72">
        <v>718</v>
      </c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>
        <v>-1700</v>
      </c>
      <c r="P511" s="227"/>
      <c r="Q511" s="227">
        <v>-1700</v>
      </c>
    </row>
    <row r="512" spans="1:17" x14ac:dyDescent="0.3">
      <c r="A512" s="72">
        <v>719</v>
      </c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>
        <v>-5600</v>
      </c>
      <c r="P512" s="227"/>
      <c r="Q512" s="227">
        <v>-5600</v>
      </c>
    </row>
    <row r="513" spans="1:17" x14ac:dyDescent="0.3">
      <c r="A513" s="72">
        <v>720</v>
      </c>
      <c r="B513" s="227"/>
      <c r="C513" s="227"/>
      <c r="D513" s="227"/>
      <c r="E513" s="227"/>
      <c r="F513" s="227"/>
      <c r="G513" s="227">
        <v>-50</v>
      </c>
      <c r="H513" s="227"/>
      <c r="I513" s="227"/>
      <c r="J513" s="227"/>
      <c r="K513" s="227"/>
      <c r="L513" s="227"/>
      <c r="M513" s="227"/>
      <c r="N513" s="227"/>
      <c r="O513" s="227"/>
      <c r="P513" s="227"/>
      <c r="Q513" s="227">
        <v>-50</v>
      </c>
    </row>
    <row r="514" spans="1:17" x14ac:dyDescent="0.3">
      <c r="A514" s="72">
        <v>721</v>
      </c>
      <c r="B514" s="227"/>
      <c r="C514" s="227"/>
      <c r="D514" s="227"/>
      <c r="E514" s="227"/>
      <c r="F514" s="227"/>
      <c r="G514" s="227">
        <v>-50</v>
      </c>
      <c r="H514" s="227"/>
      <c r="I514" s="227"/>
      <c r="J514" s="227"/>
      <c r="K514" s="227"/>
      <c r="L514" s="227"/>
      <c r="M514" s="227"/>
      <c r="N514" s="227"/>
      <c r="O514" s="227"/>
      <c r="P514" s="227"/>
      <c r="Q514" s="227">
        <v>-50</v>
      </c>
    </row>
    <row r="515" spans="1:17" x14ac:dyDescent="0.3">
      <c r="A515" s="72">
        <v>722</v>
      </c>
      <c r="B515" s="227">
        <v>100000</v>
      </c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>
        <v>100000</v>
      </c>
    </row>
    <row r="516" spans="1:17" x14ac:dyDescent="0.3">
      <c r="A516" s="72">
        <v>723</v>
      </c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>
        <v>-60000</v>
      </c>
      <c r="M516" s="227"/>
      <c r="N516" s="227"/>
      <c r="O516" s="227"/>
      <c r="P516" s="227"/>
      <c r="Q516" s="227">
        <v>-60000</v>
      </c>
    </row>
    <row r="517" spans="1:17" x14ac:dyDescent="0.3">
      <c r="A517" s="72">
        <v>724</v>
      </c>
      <c r="B517" s="227"/>
      <c r="C517" s="227"/>
      <c r="D517" s="227"/>
      <c r="E517" s="227"/>
      <c r="F517" s="227"/>
      <c r="G517" s="227">
        <v>-350</v>
      </c>
      <c r="H517" s="227"/>
      <c r="I517" s="227"/>
      <c r="J517" s="227"/>
      <c r="K517" s="227"/>
      <c r="L517" s="227"/>
      <c r="M517" s="227"/>
      <c r="N517" s="227"/>
      <c r="O517" s="227"/>
      <c r="P517" s="227"/>
      <c r="Q517" s="227">
        <v>-350</v>
      </c>
    </row>
    <row r="518" spans="1:17" x14ac:dyDescent="0.3">
      <c r="A518" s="72">
        <v>725</v>
      </c>
      <c r="B518" s="227"/>
      <c r="C518" s="227"/>
      <c r="D518" s="227"/>
      <c r="E518" s="227">
        <v>-30000</v>
      </c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>
        <v>-30000</v>
      </c>
    </row>
    <row r="519" spans="1:17" x14ac:dyDescent="0.3">
      <c r="A519" s="72">
        <v>726</v>
      </c>
      <c r="B519" s="227"/>
      <c r="C519" s="227"/>
      <c r="D519" s="227"/>
      <c r="E519" s="227"/>
      <c r="F519" s="227">
        <v>-15000</v>
      </c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>
        <v>-15000</v>
      </c>
    </row>
    <row r="520" spans="1:17" x14ac:dyDescent="0.3">
      <c r="A520" s="72">
        <v>727</v>
      </c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>
        <v>-1000</v>
      </c>
      <c r="P520" s="227"/>
      <c r="Q520" s="227">
        <v>-1000</v>
      </c>
    </row>
    <row r="521" spans="1:17" x14ac:dyDescent="0.3">
      <c r="A521" s="72">
        <v>728</v>
      </c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>
        <v>-1000</v>
      </c>
      <c r="P521" s="227"/>
      <c r="Q521" s="227">
        <v>-1000</v>
      </c>
    </row>
    <row r="522" spans="1:17" x14ac:dyDescent="0.3">
      <c r="A522" s="72">
        <v>729</v>
      </c>
      <c r="B522" s="227">
        <v>220000</v>
      </c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>
        <v>220000</v>
      </c>
    </row>
    <row r="523" spans="1:17" x14ac:dyDescent="0.3">
      <c r="A523" s="72">
        <v>730</v>
      </c>
      <c r="B523" s="227"/>
      <c r="C523" s="227"/>
      <c r="D523" s="227"/>
      <c r="E523" s="227">
        <v>-150000</v>
      </c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>
        <v>-150000</v>
      </c>
    </row>
    <row r="524" spans="1:17" x14ac:dyDescent="0.3">
      <c r="A524" s="72">
        <v>731</v>
      </c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>
        <v>-10000</v>
      </c>
      <c r="O524" s="227"/>
      <c r="P524" s="227"/>
      <c r="Q524" s="227">
        <v>-10000</v>
      </c>
    </row>
    <row r="525" spans="1:17" x14ac:dyDescent="0.3">
      <c r="A525" s="72">
        <v>732</v>
      </c>
      <c r="B525" s="227"/>
      <c r="C525" s="227"/>
      <c r="D525" s="227"/>
      <c r="E525" s="227"/>
      <c r="F525" s="227">
        <v>-5000</v>
      </c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>
        <v>-5000</v>
      </c>
    </row>
    <row r="526" spans="1:17" x14ac:dyDescent="0.3">
      <c r="A526" s="72">
        <v>733</v>
      </c>
      <c r="B526" s="227"/>
      <c r="C526" s="227"/>
      <c r="D526" s="227"/>
      <c r="E526" s="227"/>
      <c r="F526" s="227"/>
      <c r="G526" s="227"/>
      <c r="H526" s="227"/>
      <c r="I526" s="227"/>
      <c r="J526" s="227">
        <v>-10000</v>
      </c>
      <c r="K526" s="227"/>
      <c r="L526" s="227"/>
      <c r="M526" s="227"/>
      <c r="N526" s="227"/>
      <c r="O526" s="227"/>
      <c r="P526" s="227"/>
      <c r="Q526" s="227">
        <v>-10000</v>
      </c>
    </row>
    <row r="527" spans="1:17" x14ac:dyDescent="0.3">
      <c r="A527" s="72">
        <v>734</v>
      </c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>
        <v>-2000</v>
      </c>
      <c r="P527" s="227"/>
      <c r="Q527" s="227">
        <v>-2000</v>
      </c>
    </row>
    <row r="528" spans="1:17" x14ac:dyDescent="0.3">
      <c r="A528" s="72">
        <v>735</v>
      </c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>
        <v>-1000</v>
      </c>
      <c r="P528" s="227"/>
      <c r="Q528" s="227">
        <v>-1000</v>
      </c>
    </row>
    <row r="529" spans="1:17" x14ac:dyDescent="0.3">
      <c r="A529" s="72">
        <v>736</v>
      </c>
      <c r="B529" s="227"/>
      <c r="C529" s="227"/>
      <c r="D529" s="227"/>
      <c r="E529" s="227"/>
      <c r="F529" s="227"/>
      <c r="G529" s="227">
        <v>-70</v>
      </c>
      <c r="H529" s="227"/>
      <c r="I529" s="227"/>
      <c r="J529" s="227"/>
      <c r="K529" s="227"/>
      <c r="L529" s="227"/>
      <c r="M529" s="227"/>
      <c r="N529" s="227"/>
      <c r="O529" s="227"/>
      <c r="P529" s="227"/>
      <c r="Q529" s="227">
        <v>-70</v>
      </c>
    </row>
    <row r="530" spans="1:17" x14ac:dyDescent="0.3">
      <c r="A530" s="72">
        <v>737</v>
      </c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>
        <v>-31000</v>
      </c>
      <c r="N530" s="227"/>
      <c r="O530" s="227"/>
      <c r="P530" s="227"/>
      <c r="Q530" s="227">
        <v>-31000</v>
      </c>
    </row>
    <row r="531" spans="1:17" x14ac:dyDescent="0.3">
      <c r="A531" s="72">
        <v>738</v>
      </c>
      <c r="B531" s="227"/>
      <c r="C531" s="227"/>
      <c r="D531" s="227"/>
      <c r="E531" s="227"/>
      <c r="F531" s="227"/>
      <c r="G531" s="227"/>
      <c r="H531" s="227"/>
      <c r="I531" s="227"/>
      <c r="J531" s="227">
        <v>-500</v>
      </c>
      <c r="K531" s="227"/>
      <c r="L531" s="227"/>
      <c r="M531" s="227"/>
      <c r="N531" s="227"/>
      <c r="O531" s="227"/>
      <c r="P531" s="227"/>
      <c r="Q531" s="227">
        <v>-500</v>
      </c>
    </row>
    <row r="532" spans="1:17" x14ac:dyDescent="0.3">
      <c r="A532" s="72">
        <v>739</v>
      </c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>
        <v>-1000</v>
      </c>
      <c r="P532" s="227"/>
      <c r="Q532" s="227">
        <v>-1000</v>
      </c>
    </row>
    <row r="533" spans="1:17" x14ac:dyDescent="0.3">
      <c r="A533" s="72">
        <v>740</v>
      </c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>
        <v>-1000</v>
      </c>
      <c r="P533" s="227"/>
      <c r="Q533" s="227">
        <v>-1000</v>
      </c>
    </row>
    <row r="534" spans="1:17" x14ac:dyDescent="0.3">
      <c r="A534" s="72">
        <v>741</v>
      </c>
      <c r="B534" s="227"/>
      <c r="C534" s="227"/>
      <c r="D534" s="227"/>
      <c r="E534" s="227"/>
      <c r="F534" s="227"/>
      <c r="G534" s="227">
        <v>-60</v>
      </c>
      <c r="H534" s="227"/>
      <c r="I534" s="227"/>
      <c r="J534" s="227"/>
      <c r="K534" s="227"/>
      <c r="L534" s="227"/>
      <c r="M534" s="227"/>
      <c r="N534" s="227"/>
      <c r="O534" s="227"/>
      <c r="P534" s="227"/>
      <c r="Q534" s="227">
        <v>-60</v>
      </c>
    </row>
    <row r="535" spans="1:17" x14ac:dyDescent="0.3">
      <c r="A535" s="72">
        <v>742</v>
      </c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>
        <v>-1000</v>
      </c>
      <c r="P535" s="227"/>
      <c r="Q535" s="227">
        <v>-1000</v>
      </c>
    </row>
    <row r="536" spans="1:17" x14ac:dyDescent="0.3">
      <c r="A536" s="72">
        <v>743</v>
      </c>
      <c r="B536" s="227">
        <v>200000</v>
      </c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>
        <v>200000</v>
      </c>
    </row>
    <row r="537" spans="1:17" x14ac:dyDescent="0.3">
      <c r="A537" s="72">
        <v>744</v>
      </c>
      <c r="B537" s="227"/>
      <c r="C537" s="227"/>
      <c r="D537" s="227"/>
      <c r="E537" s="227">
        <v>-100000</v>
      </c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>
        <v>-100000</v>
      </c>
    </row>
    <row r="538" spans="1:17" x14ac:dyDescent="0.3">
      <c r="A538" s="72">
        <v>745</v>
      </c>
      <c r="B538" s="227"/>
      <c r="C538" s="227"/>
      <c r="D538" s="227"/>
      <c r="E538" s="227"/>
      <c r="F538" s="227"/>
      <c r="G538" s="227"/>
      <c r="H538" s="227"/>
      <c r="I538" s="227"/>
      <c r="J538" s="227">
        <v>-15000</v>
      </c>
      <c r="K538" s="227"/>
      <c r="L538" s="227"/>
      <c r="M538" s="227"/>
      <c r="N538" s="227"/>
      <c r="O538" s="227"/>
      <c r="P538" s="227"/>
      <c r="Q538" s="227">
        <v>-15000</v>
      </c>
    </row>
    <row r="539" spans="1:17" x14ac:dyDescent="0.3">
      <c r="A539" s="72">
        <v>746</v>
      </c>
      <c r="B539" s="227"/>
      <c r="C539" s="227"/>
      <c r="D539" s="227"/>
      <c r="E539" s="227"/>
      <c r="F539" s="227">
        <v>-30000</v>
      </c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>
        <v>-30000</v>
      </c>
    </row>
    <row r="540" spans="1:17" x14ac:dyDescent="0.3">
      <c r="A540" s="72">
        <v>747</v>
      </c>
      <c r="B540" s="227"/>
      <c r="C540" s="227"/>
      <c r="D540" s="227"/>
      <c r="E540" s="227">
        <v>-5000</v>
      </c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>
        <v>-5000</v>
      </c>
    </row>
    <row r="541" spans="1:17" x14ac:dyDescent="0.3">
      <c r="A541" s="72">
        <v>748</v>
      </c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>
        <v>-2000</v>
      </c>
      <c r="P541" s="227"/>
      <c r="Q541" s="227">
        <v>-2000</v>
      </c>
    </row>
    <row r="542" spans="1:17" x14ac:dyDescent="0.3">
      <c r="A542" s="72">
        <v>749</v>
      </c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>
        <v>-10450</v>
      </c>
      <c r="P542" s="227"/>
      <c r="Q542" s="227">
        <v>-10450</v>
      </c>
    </row>
    <row r="543" spans="1:17" x14ac:dyDescent="0.3">
      <c r="A543" s="72">
        <v>750</v>
      </c>
      <c r="B543" s="227"/>
      <c r="C543" s="227"/>
      <c r="D543" s="227"/>
      <c r="E543" s="227"/>
      <c r="F543" s="227"/>
      <c r="G543" s="227">
        <v>-700</v>
      </c>
      <c r="H543" s="227"/>
      <c r="I543" s="227"/>
      <c r="J543" s="227"/>
      <c r="K543" s="227"/>
      <c r="L543" s="227"/>
      <c r="M543" s="227"/>
      <c r="N543" s="227"/>
      <c r="O543" s="227"/>
      <c r="P543" s="227"/>
      <c r="Q543" s="227">
        <v>-700</v>
      </c>
    </row>
    <row r="544" spans="1:17" x14ac:dyDescent="0.3">
      <c r="A544" s="72">
        <v>751</v>
      </c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>
        <v>-220</v>
      </c>
      <c r="N544" s="227"/>
      <c r="O544" s="227"/>
      <c r="P544" s="227"/>
      <c r="Q544" s="227">
        <v>-220</v>
      </c>
    </row>
    <row r="545" spans="1:17" x14ac:dyDescent="0.3">
      <c r="A545" s="72">
        <v>752</v>
      </c>
      <c r="B545" s="227"/>
      <c r="C545" s="227"/>
      <c r="D545" s="227"/>
      <c r="E545" s="227"/>
      <c r="F545" s="227"/>
      <c r="G545" s="227">
        <v>-100</v>
      </c>
      <c r="H545" s="227"/>
      <c r="I545" s="227"/>
      <c r="J545" s="227"/>
      <c r="K545" s="227"/>
      <c r="L545" s="227"/>
      <c r="M545" s="227"/>
      <c r="N545" s="227"/>
      <c r="O545" s="227"/>
      <c r="P545" s="227"/>
      <c r="Q545" s="227">
        <v>-100</v>
      </c>
    </row>
    <row r="546" spans="1:17" x14ac:dyDescent="0.3">
      <c r="A546" s="72">
        <v>753</v>
      </c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>
        <v>-2000</v>
      </c>
      <c r="P546" s="227"/>
      <c r="Q546" s="227">
        <v>-2000</v>
      </c>
    </row>
    <row r="547" spans="1:17" x14ac:dyDescent="0.3">
      <c r="A547" s="72">
        <v>754</v>
      </c>
      <c r="B547" s="227">
        <v>150000</v>
      </c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>
        <v>150000</v>
      </c>
    </row>
    <row r="548" spans="1:17" x14ac:dyDescent="0.3">
      <c r="A548" s="72">
        <v>755</v>
      </c>
      <c r="B548" s="227"/>
      <c r="C548" s="227"/>
      <c r="D548" s="227"/>
      <c r="E548" s="227">
        <v>-150000</v>
      </c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>
        <v>-150000</v>
      </c>
    </row>
    <row r="549" spans="1:17" x14ac:dyDescent="0.3">
      <c r="A549" s="72">
        <v>757</v>
      </c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>
        <v>-2000</v>
      </c>
      <c r="P549" s="227"/>
      <c r="Q549" s="227">
        <v>-2000</v>
      </c>
    </row>
    <row r="550" spans="1:17" x14ac:dyDescent="0.3">
      <c r="A550" s="72">
        <v>758</v>
      </c>
      <c r="B550" s="227"/>
      <c r="C550" s="227"/>
      <c r="D550" s="227"/>
      <c r="E550" s="227">
        <v>-55000</v>
      </c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>
        <v>-55000</v>
      </c>
    </row>
    <row r="551" spans="1:17" x14ac:dyDescent="0.3">
      <c r="A551" s="72">
        <v>759</v>
      </c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>
        <v>-3000</v>
      </c>
      <c r="P551" s="227"/>
      <c r="Q551" s="227">
        <v>-3000</v>
      </c>
    </row>
    <row r="552" spans="1:17" x14ac:dyDescent="0.3">
      <c r="A552" s="72">
        <v>760</v>
      </c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>
        <v>-2000</v>
      </c>
      <c r="P552" s="227"/>
      <c r="Q552" s="227">
        <v>-2000</v>
      </c>
    </row>
    <row r="553" spans="1:17" x14ac:dyDescent="0.3">
      <c r="A553" s="72">
        <v>761</v>
      </c>
      <c r="B553" s="227"/>
      <c r="C553" s="227"/>
      <c r="D553" s="227"/>
      <c r="E553" s="227"/>
      <c r="F553" s="227"/>
      <c r="G553" s="227">
        <v>-100</v>
      </c>
      <c r="H553" s="227"/>
      <c r="I553" s="227"/>
      <c r="J553" s="227"/>
      <c r="K553" s="227"/>
      <c r="L553" s="227"/>
      <c r="M553" s="227"/>
      <c r="N553" s="227"/>
      <c r="O553" s="227"/>
      <c r="P553" s="227"/>
      <c r="Q553" s="227">
        <v>-100</v>
      </c>
    </row>
    <row r="554" spans="1:17" x14ac:dyDescent="0.3">
      <c r="A554" s="72">
        <v>762</v>
      </c>
      <c r="B554" s="227">
        <v>100000</v>
      </c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>
        <v>100000</v>
      </c>
    </row>
    <row r="555" spans="1:17" x14ac:dyDescent="0.3">
      <c r="A555" s="72">
        <v>763</v>
      </c>
      <c r="B555" s="227"/>
      <c r="C555" s="227"/>
      <c r="D555" s="227"/>
      <c r="E555" s="227"/>
      <c r="F555" s="227"/>
      <c r="G555" s="227"/>
      <c r="H555" s="227"/>
      <c r="I555" s="227"/>
      <c r="J555" s="227">
        <v>-50000</v>
      </c>
      <c r="K555" s="227"/>
      <c r="L555" s="227"/>
      <c r="M555" s="227"/>
      <c r="N555" s="227"/>
      <c r="O555" s="227"/>
      <c r="P555" s="227"/>
      <c r="Q555" s="227">
        <v>-50000</v>
      </c>
    </row>
    <row r="556" spans="1:17" x14ac:dyDescent="0.3">
      <c r="A556" s="72">
        <v>764</v>
      </c>
      <c r="B556" s="227"/>
      <c r="C556" s="227">
        <v>-6300</v>
      </c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>
        <v>-6300</v>
      </c>
    </row>
    <row r="557" spans="1:17" x14ac:dyDescent="0.3">
      <c r="A557" s="72">
        <v>766</v>
      </c>
      <c r="B557" s="227"/>
      <c r="C557" s="227"/>
      <c r="D557" s="227"/>
      <c r="E557" s="227">
        <v>-15000</v>
      </c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>
        <v>-15000</v>
      </c>
    </row>
    <row r="558" spans="1:17" x14ac:dyDescent="0.3">
      <c r="A558" s="72">
        <v>767</v>
      </c>
      <c r="B558" s="227">
        <v>30000</v>
      </c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>
        <v>30000</v>
      </c>
    </row>
    <row r="559" spans="1:17" x14ac:dyDescent="0.3">
      <c r="A559" s="72">
        <v>768</v>
      </c>
      <c r="B559" s="227"/>
      <c r="C559" s="227"/>
      <c r="D559" s="227"/>
      <c r="E559" s="227">
        <v>-20000</v>
      </c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>
        <v>-20000</v>
      </c>
    </row>
    <row r="560" spans="1:17" x14ac:dyDescent="0.3">
      <c r="A560" s="72">
        <v>769</v>
      </c>
      <c r="B560" s="227"/>
      <c r="C560" s="227"/>
      <c r="D560" s="227"/>
      <c r="E560" s="227"/>
      <c r="F560" s="227"/>
      <c r="G560" s="227">
        <v>-125</v>
      </c>
      <c r="H560" s="227"/>
      <c r="I560" s="227"/>
      <c r="J560" s="227"/>
      <c r="K560" s="227"/>
      <c r="L560" s="227"/>
      <c r="M560" s="227"/>
      <c r="N560" s="227"/>
      <c r="O560" s="227"/>
      <c r="P560" s="227"/>
      <c r="Q560" s="227">
        <v>-125</v>
      </c>
    </row>
    <row r="561" spans="1:17" x14ac:dyDescent="0.3">
      <c r="A561" s="72">
        <v>770</v>
      </c>
      <c r="B561" s="227"/>
      <c r="C561" s="227"/>
      <c r="D561" s="227"/>
      <c r="E561" s="227"/>
      <c r="F561" s="227"/>
      <c r="G561" s="227">
        <v>-60</v>
      </c>
      <c r="H561" s="227"/>
      <c r="I561" s="227"/>
      <c r="J561" s="227"/>
      <c r="K561" s="227"/>
      <c r="L561" s="227"/>
      <c r="M561" s="227"/>
      <c r="N561" s="227"/>
      <c r="O561" s="227"/>
      <c r="P561" s="227"/>
      <c r="Q561" s="227">
        <v>-60</v>
      </c>
    </row>
    <row r="562" spans="1:17" x14ac:dyDescent="0.3">
      <c r="A562" s="72">
        <v>771</v>
      </c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>
        <v>-10000</v>
      </c>
      <c r="P562" s="227"/>
      <c r="Q562" s="227">
        <v>-10000</v>
      </c>
    </row>
    <row r="563" spans="1:17" x14ac:dyDescent="0.3">
      <c r="A563" s="72">
        <v>772</v>
      </c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>
        <v>-2000</v>
      </c>
      <c r="P563" s="227"/>
      <c r="Q563" s="227">
        <v>-2000</v>
      </c>
    </row>
    <row r="564" spans="1:17" x14ac:dyDescent="0.3">
      <c r="A564" s="72">
        <v>773</v>
      </c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>
        <v>-2000</v>
      </c>
      <c r="O564" s="227"/>
      <c r="P564" s="227"/>
      <c r="Q564" s="227">
        <v>-2000</v>
      </c>
    </row>
    <row r="565" spans="1:17" x14ac:dyDescent="0.3">
      <c r="A565" s="72">
        <v>774</v>
      </c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>
        <v>-1240</v>
      </c>
      <c r="N565" s="227"/>
      <c r="O565" s="227"/>
      <c r="P565" s="227"/>
      <c r="Q565" s="227">
        <v>-1240</v>
      </c>
    </row>
    <row r="566" spans="1:17" x14ac:dyDescent="0.3">
      <c r="A566" s="72">
        <v>775</v>
      </c>
      <c r="B566" s="227"/>
      <c r="C566" s="227"/>
      <c r="D566" s="227"/>
      <c r="E566" s="227"/>
      <c r="F566" s="227"/>
      <c r="G566" s="227">
        <v>-100</v>
      </c>
      <c r="H566" s="227"/>
      <c r="I566" s="227"/>
      <c r="J566" s="227"/>
      <c r="K566" s="227"/>
      <c r="L566" s="227"/>
      <c r="M566" s="227"/>
      <c r="N566" s="227"/>
      <c r="O566" s="227"/>
      <c r="P566" s="227"/>
      <c r="Q566" s="227">
        <v>-100</v>
      </c>
    </row>
    <row r="567" spans="1:17" x14ac:dyDescent="0.3">
      <c r="A567" s="72">
        <v>776</v>
      </c>
      <c r="B567" s="227"/>
      <c r="C567" s="227"/>
      <c r="D567" s="227"/>
      <c r="E567" s="227"/>
      <c r="F567" s="227"/>
      <c r="G567" s="227">
        <v>-120</v>
      </c>
      <c r="H567" s="227"/>
      <c r="I567" s="227"/>
      <c r="J567" s="227"/>
      <c r="K567" s="227"/>
      <c r="L567" s="227"/>
      <c r="M567" s="227"/>
      <c r="N567" s="227"/>
      <c r="O567" s="227"/>
      <c r="P567" s="227"/>
      <c r="Q567" s="227">
        <v>-120</v>
      </c>
    </row>
    <row r="568" spans="1:17" x14ac:dyDescent="0.3">
      <c r="A568" s="72">
        <v>777</v>
      </c>
      <c r="B568" s="227"/>
      <c r="C568" s="227"/>
      <c r="D568" s="227"/>
      <c r="E568" s="227"/>
      <c r="F568" s="227"/>
      <c r="G568" s="227">
        <v>-50</v>
      </c>
      <c r="H568" s="227"/>
      <c r="I568" s="227"/>
      <c r="J568" s="227"/>
      <c r="K568" s="227"/>
      <c r="L568" s="227"/>
      <c r="M568" s="227"/>
      <c r="N568" s="227"/>
      <c r="O568" s="227"/>
      <c r="P568" s="227"/>
      <c r="Q568" s="227">
        <v>-50</v>
      </c>
    </row>
    <row r="569" spans="1:17" x14ac:dyDescent="0.3">
      <c r="A569" s="72">
        <v>778</v>
      </c>
      <c r="B569" s="227"/>
      <c r="C569" s="227"/>
      <c r="D569" s="227"/>
      <c r="E569" s="227">
        <v>-12000</v>
      </c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>
        <v>-12000</v>
      </c>
    </row>
    <row r="570" spans="1:17" x14ac:dyDescent="0.3">
      <c r="A570" s="72">
        <v>779</v>
      </c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>
        <v>-2000</v>
      </c>
      <c r="N570" s="227"/>
      <c r="O570" s="227"/>
      <c r="P570" s="227"/>
      <c r="Q570" s="227">
        <v>-2000</v>
      </c>
    </row>
    <row r="571" spans="1:17" x14ac:dyDescent="0.3">
      <c r="A571" s="72">
        <v>780</v>
      </c>
      <c r="B571" s="227"/>
      <c r="C571" s="227"/>
      <c r="D571" s="227"/>
      <c r="E571" s="227"/>
      <c r="F571" s="227">
        <v>-10000</v>
      </c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>
        <v>-10000</v>
      </c>
    </row>
    <row r="572" spans="1:17" x14ac:dyDescent="0.3">
      <c r="A572" s="72">
        <v>781</v>
      </c>
      <c r="B572" s="227"/>
      <c r="C572" s="227"/>
      <c r="D572" s="227"/>
      <c r="E572" s="227"/>
      <c r="F572" s="227"/>
      <c r="G572" s="227">
        <v>-120</v>
      </c>
      <c r="H572" s="227"/>
      <c r="I572" s="227"/>
      <c r="J572" s="227"/>
      <c r="K572" s="227"/>
      <c r="L572" s="227"/>
      <c r="M572" s="227"/>
      <c r="N572" s="227"/>
      <c r="O572" s="227"/>
      <c r="P572" s="227"/>
      <c r="Q572" s="227">
        <v>-120</v>
      </c>
    </row>
    <row r="573" spans="1:17" x14ac:dyDescent="0.3">
      <c r="A573" s="72">
        <v>782</v>
      </c>
      <c r="B573" s="227"/>
      <c r="C573" s="227"/>
      <c r="D573" s="227"/>
      <c r="E573" s="227"/>
      <c r="F573" s="227"/>
      <c r="G573" s="227">
        <v>-50</v>
      </c>
      <c r="H573" s="227"/>
      <c r="I573" s="227"/>
      <c r="J573" s="227"/>
      <c r="K573" s="227"/>
      <c r="L573" s="227"/>
      <c r="M573" s="227"/>
      <c r="N573" s="227"/>
      <c r="O573" s="227"/>
      <c r="P573" s="227"/>
      <c r="Q573" s="227">
        <v>-50</v>
      </c>
    </row>
    <row r="574" spans="1:17" x14ac:dyDescent="0.3">
      <c r="A574" s="72">
        <v>783</v>
      </c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>
        <v>-5000</v>
      </c>
      <c r="O574" s="227"/>
      <c r="P574" s="227"/>
      <c r="Q574" s="227">
        <v>-5000</v>
      </c>
    </row>
    <row r="575" spans="1:17" x14ac:dyDescent="0.3">
      <c r="A575" s="72">
        <v>784</v>
      </c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>
        <v>-1000</v>
      </c>
      <c r="P575" s="227"/>
      <c r="Q575" s="227">
        <v>-1000</v>
      </c>
    </row>
    <row r="576" spans="1:17" x14ac:dyDescent="0.3">
      <c r="A576" s="72">
        <v>785</v>
      </c>
      <c r="B576" s="227"/>
      <c r="C576" s="227"/>
      <c r="D576" s="227"/>
      <c r="E576" s="227">
        <v>-10000</v>
      </c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>
        <v>-10000</v>
      </c>
    </row>
    <row r="577" spans="1:17" x14ac:dyDescent="0.3">
      <c r="A577" s="72">
        <v>786</v>
      </c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>
        <v>-1000</v>
      </c>
      <c r="N577" s="227"/>
      <c r="O577" s="227"/>
      <c r="P577" s="227"/>
      <c r="Q577" s="227">
        <v>-1000</v>
      </c>
    </row>
    <row r="578" spans="1:17" x14ac:dyDescent="0.3">
      <c r="A578" s="72">
        <v>787</v>
      </c>
      <c r="B578" s="227"/>
      <c r="C578" s="227"/>
      <c r="D578" s="227"/>
      <c r="E578" s="227"/>
      <c r="F578" s="227"/>
      <c r="G578" s="227">
        <v>-50</v>
      </c>
      <c r="H578" s="227"/>
      <c r="I578" s="227"/>
      <c r="J578" s="227"/>
      <c r="K578" s="227"/>
      <c r="L578" s="227"/>
      <c r="M578" s="227"/>
      <c r="N578" s="227"/>
      <c r="O578" s="227"/>
      <c r="P578" s="227"/>
      <c r="Q578" s="227">
        <v>-50</v>
      </c>
    </row>
    <row r="579" spans="1:17" x14ac:dyDescent="0.3">
      <c r="A579" s="72">
        <v>788</v>
      </c>
      <c r="B579" s="227"/>
      <c r="C579" s="227"/>
      <c r="D579" s="227"/>
      <c r="E579" s="227">
        <v>-20000</v>
      </c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>
        <v>-20000</v>
      </c>
    </row>
    <row r="580" spans="1:17" x14ac:dyDescent="0.3">
      <c r="A580" s="72">
        <v>789</v>
      </c>
      <c r="B580" s="227"/>
      <c r="C580" s="227"/>
      <c r="D580" s="227"/>
      <c r="E580" s="227"/>
      <c r="F580" s="227"/>
      <c r="G580" s="227"/>
      <c r="H580" s="227"/>
      <c r="I580" s="227"/>
      <c r="J580" s="227"/>
      <c r="K580" s="227">
        <v>-20000</v>
      </c>
      <c r="L580" s="227"/>
      <c r="M580" s="227"/>
      <c r="N580" s="227"/>
      <c r="O580" s="227"/>
      <c r="P580" s="227"/>
      <c r="Q580" s="227">
        <v>-20000</v>
      </c>
    </row>
    <row r="581" spans="1:17" x14ac:dyDescent="0.3">
      <c r="A581" s="72">
        <v>790</v>
      </c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>
        <v>-2550</v>
      </c>
      <c r="P581" s="227"/>
      <c r="Q581" s="227">
        <v>-2550</v>
      </c>
    </row>
    <row r="582" spans="1:17" x14ac:dyDescent="0.3">
      <c r="A582" s="72">
        <v>791</v>
      </c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>
        <v>-13500</v>
      </c>
      <c r="P582" s="227"/>
      <c r="Q582" s="227">
        <v>-13500</v>
      </c>
    </row>
    <row r="583" spans="1:17" x14ac:dyDescent="0.3">
      <c r="A583" s="72">
        <v>792</v>
      </c>
      <c r="B583" s="227">
        <v>160000</v>
      </c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>
        <v>160000</v>
      </c>
    </row>
    <row r="584" spans="1:17" x14ac:dyDescent="0.3">
      <c r="A584" s="72">
        <v>793</v>
      </c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>
        <v>-60000</v>
      </c>
      <c r="M584" s="227"/>
      <c r="N584" s="227"/>
      <c r="O584" s="227"/>
      <c r="P584" s="227"/>
      <c r="Q584" s="227">
        <v>-60000</v>
      </c>
    </row>
    <row r="585" spans="1:17" x14ac:dyDescent="0.3">
      <c r="A585" s="72">
        <v>794</v>
      </c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>
        <v>-2400</v>
      </c>
      <c r="P585" s="227"/>
      <c r="Q585" s="227">
        <v>-2400</v>
      </c>
    </row>
    <row r="586" spans="1:17" x14ac:dyDescent="0.3">
      <c r="A586" s="72">
        <v>795</v>
      </c>
      <c r="B586" s="227"/>
      <c r="C586" s="227"/>
      <c r="D586" s="227"/>
      <c r="E586" s="227"/>
      <c r="F586" s="227">
        <v>-5000</v>
      </c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>
        <v>-5000</v>
      </c>
    </row>
    <row r="587" spans="1:17" x14ac:dyDescent="0.3">
      <c r="A587" s="72">
        <v>796</v>
      </c>
      <c r="B587" s="227"/>
      <c r="C587" s="227"/>
      <c r="D587" s="227"/>
      <c r="E587" s="227"/>
      <c r="F587" s="227"/>
      <c r="G587" s="227">
        <v>-30</v>
      </c>
      <c r="H587" s="227"/>
      <c r="I587" s="227"/>
      <c r="J587" s="227"/>
      <c r="K587" s="227"/>
      <c r="L587" s="227"/>
      <c r="M587" s="227"/>
      <c r="N587" s="227"/>
      <c r="O587" s="227"/>
      <c r="P587" s="227"/>
      <c r="Q587" s="227">
        <v>-30</v>
      </c>
    </row>
    <row r="588" spans="1:17" x14ac:dyDescent="0.3">
      <c r="A588" s="72">
        <v>797</v>
      </c>
      <c r="B588" s="227"/>
      <c r="C588" s="227"/>
      <c r="D588" s="227"/>
      <c r="E588" s="227">
        <v>-52000</v>
      </c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>
        <v>-52000</v>
      </c>
    </row>
    <row r="589" spans="1:17" x14ac:dyDescent="0.3">
      <c r="A589" s="72">
        <v>798</v>
      </c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>
        <v>-5000</v>
      </c>
      <c r="O589" s="227"/>
      <c r="P589" s="227"/>
      <c r="Q589" s="227">
        <v>-5000</v>
      </c>
    </row>
    <row r="590" spans="1:17" x14ac:dyDescent="0.3">
      <c r="A590" s="72">
        <v>799</v>
      </c>
      <c r="B590" s="227"/>
      <c r="C590" s="227"/>
      <c r="D590" s="227"/>
      <c r="E590" s="227"/>
      <c r="F590" s="227"/>
      <c r="G590" s="227">
        <v>-34200</v>
      </c>
      <c r="H590" s="227"/>
      <c r="I590" s="227"/>
      <c r="J590" s="227"/>
      <c r="K590" s="227"/>
      <c r="L590" s="227"/>
      <c r="M590" s="227"/>
      <c r="N590" s="227"/>
      <c r="O590" s="227"/>
      <c r="P590" s="227"/>
      <c r="Q590" s="227">
        <v>-34200</v>
      </c>
    </row>
    <row r="591" spans="1:17" x14ac:dyDescent="0.3">
      <c r="A591" s="72">
        <v>800</v>
      </c>
      <c r="B591" s="227"/>
      <c r="C591" s="227"/>
      <c r="D591" s="227"/>
      <c r="E591" s="227"/>
      <c r="F591" s="227"/>
      <c r="G591" s="227">
        <v>-1800</v>
      </c>
      <c r="H591" s="227"/>
      <c r="I591" s="227"/>
      <c r="J591" s="227"/>
      <c r="K591" s="227"/>
      <c r="L591" s="227"/>
      <c r="M591" s="227"/>
      <c r="N591" s="227"/>
      <c r="O591" s="227"/>
      <c r="P591" s="227"/>
      <c r="Q591" s="227">
        <v>-1800</v>
      </c>
    </row>
    <row r="592" spans="1:17" x14ac:dyDescent="0.3">
      <c r="A592" s="72">
        <v>801</v>
      </c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>
        <v>-2500</v>
      </c>
      <c r="O592" s="227"/>
      <c r="P592" s="227"/>
      <c r="Q592" s="227">
        <v>-2500</v>
      </c>
    </row>
    <row r="593" spans="1:17" x14ac:dyDescent="0.3">
      <c r="A593" s="72">
        <v>802</v>
      </c>
      <c r="B593" s="227"/>
      <c r="C593" s="227"/>
      <c r="D593" s="227"/>
      <c r="E593" s="227"/>
      <c r="F593" s="227"/>
      <c r="G593" s="227">
        <v>-4044</v>
      </c>
      <c r="H593" s="227"/>
      <c r="I593" s="227"/>
      <c r="J593" s="227"/>
      <c r="K593" s="227"/>
      <c r="L593" s="227"/>
      <c r="M593" s="227"/>
      <c r="N593" s="227"/>
      <c r="O593" s="227"/>
      <c r="P593" s="227"/>
      <c r="Q593" s="227">
        <v>-4044</v>
      </c>
    </row>
    <row r="594" spans="1:17" x14ac:dyDescent="0.3">
      <c r="A594" s="72">
        <v>803</v>
      </c>
      <c r="B594" s="227"/>
      <c r="C594" s="227"/>
      <c r="D594" s="227">
        <v>-50000</v>
      </c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>
        <v>-50000</v>
      </c>
    </row>
    <row r="595" spans="1:17" x14ac:dyDescent="0.3">
      <c r="A595" s="72">
        <v>804</v>
      </c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>
        <v>-5000</v>
      </c>
      <c r="O595" s="227"/>
      <c r="P595" s="227"/>
      <c r="Q595" s="227">
        <v>-5000</v>
      </c>
    </row>
    <row r="596" spans="1:17" x14ac:dyDescent="0.3">
      <c r="A596" s="72">
        <v>805</v>
      </c>
      <c r="B596" s="227"/>
      <c r="C596" s="227"/>
      <c r="D596" s="227"/>
      <c r="E596" s="227">
        <v>-20000</v>
      </c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>
        <v>-20000</v>
      </c>
    </row>
    <row r="597" spans="1:17" x14ac:dyDescent="0.3">
      <c r="A597" s="72">
        <v>806</v>
      </c>
      <c r="B597" s="227"/>
      <c r="C597" s="227"/>
      <c r="D597" s="227"/>
      <c r="E597" s="227"/>
      <c r="F597" s="227"/>
      <c r="G597" s="227">
        <v>-4830</v>
      </c>
      <c r="H597" s="227"/>
      <c r="I597" s="227"/>
      <c r="J597" s="227"/>
      <c r="K597" s="227"/>
      <c r="L597" s="227"/>
      <c r="M597" s="227"/>
      <c r="N597" s="227"/>
      <c r="O597" s="227"/>
      <c r="P597" s="227"/>
      <c r="Q597" s="227">
        <v>-4830</v>
      </c>
    </row>
    <row r="598" spans="1:17" x14ac:dyDescent="0.3">
      <c r="A598" s="72">
        <v>807</v>
      </c>
      <c r="B598" s="227"/>
      <c r="C598" s="227"/>
      <c r="D598" s="227"/>
      <c r="E598" s="227"/>
      <c r="F598" s="227">
        <v>-5000</v>
      </c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>
        <v>-5000</v>
      </c>
    </row>
    <row r="599" spans="1:17" x14ac:dyDescent="0.3">
      <c r="A599" s="72">
        <v>808</v>
      </c>
      <c r="B599" s="227"/>
      <c r="C599" s="227"/>
      <c r="D599" s="227"/>
      <c r="E599" s="227">
        <v>-9000</v>
      </c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>
        <v>-9000</v>
      </c>
    </row>
    <row r="600" spans="1:17" x14ac:dyDescent="0.3">
      <c r="A600" s="72">
        <v>809</v>
      </c>
      <c r="B600" s="227">
        <v>150000</v>
      </c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>
        <v>150000</v>
      </c>
    </row>
    <row r="601" spans="1:17" x14ac:dyDescent="0.3">
      <c r="A601" s="72">
        <v>810</v>
      </c>
      <c r="B601" s="227"/>
      <c r="C601" s="227"/>
      <c r="D601" s="227"/>
      <c r="E601" s="227">
        <v>-20000</v>
      </c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>
        <v>-20000</v>
      </c>
    </row>
    <row r="602" spans="1:17" x14ac:dyDescent="0.3">
      <c r="A602" s="72">
        <v>811</v>
      </c>
      <c r="B602" s="227"/>
      <c r="C602" s="227"/>
      <c r="D602" s="227"/>
      <c r="E602" s="227"/>
      <c r="F602" s="227"/>
      <c r="G602" s="227"/>
      <c r="H602" s="227"/>
      <c r="I602" s="227"/>
      <c r="J602" s="227"/>
      <c r="K602" s="227">
        <v>-27000</v>
      </c>
      <c r="L602" s="227"/>
      <c r="M602" s="227"/>
      <c r="N602" s="227"/>
      <c r="O602" s="227"/>
      <c r="P602" s="227"/>
      <c r="Q602" s="227">
        <v>-27000</v>
      </c>
    </row>
    <row r="603" spans="1:17" x14ac:dyDescent="0.3">
      <c r="A603" s="72">
        <v>812</v>
      </c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>
        <v>-3000</v>
      </c>
      <c r="P603" s="227"/>
      <c r="Q603" s="227">
        <v>-3000</v>
      </c>
    </row>
    <row r="604" spans="1:17" x14ac:dyDescent="0.3">
      <c r="A604" s="72">
        <v>814</v>
      </c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>
        <v>-2000</v>
      </c>
      <c r="P604" s="227"/>
      <c r="Q604" s="227">
        <v>-2000</v>
      </c>
    </row>
    <row r="605" spans="1:17" x14ac:dyDescent="0.3">
      <c r="A605" s="72">
        <v>815</v>
      </c>
      <c r="B605" s="227"/>
      <c r="C605" s="227"/>
      <c r="D605" s="227"/>
      <c r="E605" s="227">
        <v>-25000</v>
      </c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>
        <v>-25000</v>
      </c>
    </row>
    <row r="606" spans="1:17" x14ac:dyDescent="0.3">
      <c r="A606" s="72">
        <v>816</v>
      </c>
      <c r="B606" s="227"/>
      <c r="C606" s="227"/>
      <c r="D606" s="227"/>
      <c r="E606" s="227"/>
      <c r="F606" s="227"/>
      <c r="G606" s="227">
        <v>-33700</v>
      </c>
      <c r="H606" s="227"/>
      <c r="I606" s="227"/>
      <c r="J606" s="227"/>
      <c r="K606" s="227"/>
      <c r="L606" s="227"/>
      <c r="M606" s="227"/>
      <c r="N606" s="227"/>
      <c r="O606" s="227"/>
      <c r="P606" s="227"/>
      <c r="Q606" s="227">
        <v>-33700</v>
      </c>
    </row>
    <row r="607" spans="1:17" x14ac:dyDescent="0.3">
      <c r="A607" s="72">
        <v>817</v>
      </c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>
        <v>-437</v>
      </c>
      <c r="N607" s="227"/>
      <c r="O607" s="227"/>
      <c r="P607" s="227"/>
      <c r="Q607" s="227">
        <v>-437</v>
      </c>
    </row>
    <row r="608" spans="1:17" x14ac:dyDescent="0.3">
      <c r="A608" s="72">
        <v>818</v>
      </c>
      <c r="B608" s="227"/>
      <c r="C608" s="227"/>
      <c r="D608" s="227"/>
      <c r="E608" s="227"/>
      <c r="F608" s="227"/>
      <c r="G608" s="227">
        <v>-2230</v>
      </c>
      <c r="H608" s="227"/>
      <c r="I608" s="227"/>
      <c r="J608" s="227"/>
      <c r="K608" s="227"/>
      <c r="L608" s="227"/>
      <c r="M608" s="227"/>
      <c r="N608" s="227"/>
      <c r="O608" s="227"/>
      <c r="P608" s="227"/>
      <c r="Q608" s="227">
        <v>-2230</v>
      </c>
    </row>
    <row r="609" spans="1:17" x14ac:dyDescent="0.3">
      <c r="A609" s="72">
        <v>819</v>
      </c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>
        <v>-240</v>
      </c>
      <c r="N609" s="227"/>
      <c r="O609" s="227"/>
      <c r="P609" s="227"/>
      <c r="Q609" s="227">
        <v>-240</v>
      </c>
    </row>
    <row r="610" spans="1:17" x14ac:dyDescent="0.3">
      <c r="A610" s="72">
        <v>820</v>
      </c>
      <c r="B610" s="227"/>
      <c r="C610" s="227"/>
      <c r="D610" s="227"/>
      <c r="E610" s="227">
        <v>-15000</v>
      </c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>
        <v>-15000</v>
      </c>
    </row>
    <row r="611" spans="1:17" x14ac:dyDescent="0.3">
      <c r="A611" s="72">
        <v>821</v>
      </c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>
        <v>-5000</v>
      </c>
      <c r="O611" s="227"/>
      <c r="P611" s="227"/>
      <c r="Q611" s="227">
        <v>-5000</v>
      </c>
    </row>
    <row r="612" spans="1:17" x14ac:dyDescent="0.3">
      <c r="A612" s="72">
        <v>822</v>
      </c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>
        <v>-1000</v>
      </c>
      <c r="P612" s="227"/>
      <c r="Q612" s="227">
        <v>-1000</v>
      </c>
    </row>
    <row r="613" spans="1:17" x14ac:dyDescent="0.3">
      <c r="A613" s="72">
        <v>823</v>
      </c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>
        <v>-5000</v>
      </c>
      <c r="P613" s="227"/>
      <c r="Q613" s="227">
        <v>-5000</v>
      </c>
    </row>
    <row r="614" spans="1:17" x14ac:dyDescent="0.3">
      <c r="A614" s="72">
        <v>824</v>
      </c>
      <c r="B614" s="227"/>
      <c r="C614" s="227"/>
      <c r="D614" s="227"/>
      <c r="E614" s="227"/>
      <c r="F614" s="227"/>
      <c r="G614" s="227"/>
      <c r="H614" s="227"/>
      <c r="I614" s="227"/>
      <c r="J614" s="227">
        <v>-20000</v>
      </c>
      <c r="K614" s="227"/>
      <c r="L614" s="227"/>
      <c r="M614" s="227"/>
      <c r="N614" s="227"/>
      <c r="O614" s="227"/>
      <c r="P614" s="227"/>
      <c r="Q614" s="227">
        <v>-20000</v>
      </c>
    </row>
    <row r="615" spans="1:17" x14ac:dyDescent="0.3">
      <c r="A615" s="72">
        <v>825</v>
      </c>
      <c r="B615" s="227"/>
      <c r="C615" s="227"/>
      <c r="D615" s="227"/>
      <c r="E615" s="227">
        <v>-5000</v>
      </c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>
        <v>-5000</v>
      </c>
    </row>
    <row r="616" spans="1:17" x14ac:dyDescent="0.3">
      <c r="A616" s="72">
        <v>826</v>
      </c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>
        <v>-900</v>
      </c>
      <c r="P616" s="227"/>
      <c r="Q616" s="227">
        <v>-900</v>
      </c>
    </row>
    <row r="617" spans="1:17" x14ac:dyDescent="0.3">
      <c r="A617" s="72">
        <v>827</v>
      </c>
      <c r="B617" s="227">
        <v>180000</v>
      </c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>
        <v>180000</v>
      </c>
    </row>
    <row r="618" spans="1:17" x14ac:dyDescent="0.3">
      <c r="A618" s="72">
        <v>828</v>
      </c>
      <c r="B618" s="227"/>
      <c r="C618" s="227"/>
      <c r="D618" s="227"/>
      <c r="E618" s="227">
        <v>-100000</v>
      </c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>
        <v>-100000</v>
      </c>
    </row>
    <row r="619" spans="1:17" x14ac:dyDescent="0.3">
      <c r="A619" s="72">
        <v>829</v>
      </c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>
        <v>-1000</v>
      </c>
      <c r="P619" s="227"/>
      <c r="Q619" s="227">
        <v>-1000</v>
      </c>
    </row>
    <row r="620" spans="1:17" x14ac:dyDescent="0.3">
      <c r="A620" s="72">
        <v>830</v>
      </c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>
        <v>-1000</v>
      </c>
      <c r="P620" s="227"/>
      <c r="Q620" s="227">
        <v>-1000</v>
      </c>
    </row>
    <row r="621" spans="1:17" x14ac:dyDescent="0.3">
      <c r="A621" s="72">
        <v>831</v>
      </c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>
        <v>-800</v>
      </c>
      <c r="P621" s="227"/>
      <c r="Q621" s="227">
        <v>-800</v>
      </c>
    </row>
    <row r="622" spans="1:17" x14ac:dyDescent="0.3">
      <c r="A622" s="72">
        <v>832</v>
      </c>
      <c r="B622" s="227"/>
      <c r="C622" s="227"/>
      <c r="D622" s="227">
        <v>-30000</v>
      </c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>
        <v>-30000</v>
      </c>
    </row>
    <row r="623" spans="1:17" x14ac:dyDescent="0.3">
      <c r="A623" s="72">
        <v>833</v>
      </c>
      <c r="B623" s="227">
        <v>200000</v>
      </c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>
        <v>200000</v>
      </c>
    </row>
    <row r="624" spans="1:17" x14ac:dyDescent="0.3">
      <c r="A624" s="72">
        <v>834</v>
      </c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>
        <v>-40000</v>
      </c>
      <c r="O624" s="227"/>
      <c r="P624" s="227"/>
      <c r="Q624" s="227">
        <v>-40000</v>
      </c>
    </row>
    <row r="625" spans="1:17" x14ac:dyDescent="0.3">
      <c r="A625" s="72">
        <v>835</v>
      </c>
      <c r="B625" s="227"/>
      <c r="C625" s="227"/>
      <c r="D625" s="227"/>
      <c r="E625" s="227"/>
      <c r="F625" s="227">
        <v>-40000</v>
      </c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>
        <v>-40000</v>
      </c>
    </row>
    <row r="626" spans="1:17" x14ac:dyDescent="0.3">
      <c r="A626" s="72">
        <v>836</v>
      </c>
      <c r="B626" s="227"/>
      <c r="C626" s="227"/>
      <c r="D626" s="227"/>
      <c r="E626" s="227"/>
      <c r="F626" s="227"/>
      <c r="G626" s="227"/>
      <c r="H626" s="227"/>
      <c r="I626" s="227"/>
      <c r="J626" s="227">
        <v>-30000</v>
      </c>
      <c r="K626" s="227"/>
      <c r="L626" s="227"/>
      <c r="M626" s="227"/>
      <c r="N626" s="227"/>
      <c r="O626" s="227"/>
      <c r="P626" s="227"/>
      <c r="Q626" s="227">
        <v>-30000</v>
      </c>
    </row>
    <row r="627" spans="1:17" x14ac:dyDescent="0.3">
      <c r="A627" s="72">
        <v>837</v>
      </c>
      <c r="B627" s="227"/>
      <c r="C627" s="227"/>
      <c r="D627" s="227"/>
      <c r="E627" s="227">
        <v>-20000</v>
      </c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>
        <v>-20000</v>
      </c>
    </row>
    <row r="628" spans="1:17" x14ac:dyDescent="0.3">
      <c r="A628" s="72">
        <v>838</v>
      </c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>
        <v>-60000</v>
      </c>
      <c r="M628" s="227"/>
      <c r="N628" s="227"/>
      <c r="O628" s="227"/>
      <c r="P628" s="227"/>
      <c r="Q628" s="227">
        <v>-60000</v>
      </c>
    </row>
    <row r="629" spans="1:17" x14ac:dyDescent="0.3">
      <c r="A629" s="72">
        <v>839</v>
      </c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>
        <v>-10000</v>
      </c>
      <c r="M629" s="227"/>
      <c r="N629" s="227"/>
      <c r="O629" s="227"/>
      <c r="P629" s="227"/>
      <c r="Q629" s="227">
        <v>-10000</v>
      </c>
    </row>
    <row r="630" spans="1:17" x14ac:dyDescent="0.3">
      <c r="A630" s="72">
        <v>840</v>
      </c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>
        <v>-16500</v>
      </c>
      <c r="P630" s="227"/>
      <c r="Q630" s="227">
        <v>-16500</v>
      </c>
    </row>
    <row r="631" spans="1:17" x14ac:dyDescent="0.3">
      <c r="A631" s="72">
        <v>841</v>
      </c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>
        <v>-1000</v>
      </c>
      <c r="P631" s="227"/>
      <c r="Q631" s="227">
        <v>-1000</v>
      </c>
    </row>
    <row r="632" spans="1:17" x14ac:dyDescent="0.3">
      <c r="A632" s="72">
        <v>842</v>
      </c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>
        <v>-3250</v>
      </c>
      <c r="P632" s="227"/>
      <c r="Q632" s="227">
        <v>-3250</v>
      </c>
    </row>
    <row r="633" spans="1:17" x14ac:dyDescent="0.3">
      <c r="A633" s="72">
        <v>843</v>
      </c>
      <c r="B633" s="227"/>
      <c r="C633" s="227"/>
      <c r="D633" s="227"/>
      <c r="E633" s="227">
        <v>-15000</v>
      </c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>
        <v>-15000</v>
      </c>
    </row>
    <row r="634" spans="1:17" x14ac:dyDescent="0.3">
      <c r="A634" s="72">
        <v>844</v>
      </c>
      <c r="B634" s="227"/>
      <c r="C634" s="227"/>
      <c r="D634" s="227"/>
      <c r="E634" s="227">
        <v>-5000</v>
      </c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>
        <v>-5000</v>
      </c>
    </row>
    <row r="635" spans="1:17" x14ac:dyDescent="0.3">
      <c r="A635" s="72">
        <v>845</v>
      </c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>
        <v>-1000</v>
      </c>
      <c r="P635" s="227"/>
      <c r="Q635" s="227">
        <v>-1000</v>
      </c>
    </row>
    <row r="636" spans="1:17" x14ac:dyDescent="0.3">
      <c r="A636" s="72">
        <v>846</v>
      </c>
      <c r="B636" s="227"/>
      <c r="C636" s="227"/>
      <c r="D636" s="227"/>
      <c r="E636" s="227"/>
      <c r="F636" s="227"/>
      <c r="G636" s="227">
        <v>-1250</v>
      </c>
      <c r="H636" s="227"/>
      <c r="I636" s="227"/>
      <c r="J636" s="227"/>
      <c r="K636" s="227"/>
      <c r="L636" s="227"/>
      <c r="M636" s="227"/>
      <c r="N636" s="227"/>
      <c r="O636" s="227"/>
      <c r="P636" s="227"/>
      <c r="Q636" s="227">
        <v>-1250</v>
      </c>
    </row>
    <row r="637" spans="1:17" x14ac:dyDescent="0.3">
      <c r="A637" s="72">
        <v>847</v>
      </c>
      <c r="B637" s="227"/>
      <c r="C637" s="227"/>
      <c r="D637" s="227"/>
      <c r="E637" s="227">
        <v>-5000</v>
      </c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>
        <v>-5000</v>
      </c>
    </row>
    <row r="638" spans="1:17" x14ac:dyDescent="0.3">
      <c r="A638" s="72">
        <v>848</v>
      </c>
      <c r="B638" s="227">
        <v>150000</v>
      </c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>
        <v>150000</v>
      </c>
    </row>
    <row r="639" spans="1:17" x14ac:dyDescent="0.3">
      <c r="A639" s="72">
        <v>849</v>
      </c>
      <c r="B639" s="227"/>
      <c r="C639" s="227"/>
      <c r="D639" s="227"/>
      <c r="E639" s="227">
        <v>-45000</v>
      </c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>
        <v>-45000</v>
      </c>
    </row>
    <row r="640" spans="1:17" x14ac:dyDescent="0.3">
      <c r="A640" s="72">
        <v>850</v>
      </c>
      <c r="B640" s="227"/>
      <c r="C640" s="227"/>
      <c r="D640" s="227"/>
      <c r="E640" s="227"/>
      <c r="F640" s="227"/>
      <c r="G640" s="227">
        <v>-5000</v>
      </c>
      <c r="H640" s="227"/>
      <c r="I640" s="227"/>
      <c r="J640" s="227"/>
      <c r="K640" s="227"/>
      <c r="L640" s="227"/>
      <c r="M640" s="227"/>
      <c r="N640" s="227"/>
      <c r="O640" s="227"/>
      <c r="P640" s="227"/>
      <c r="Q640" s="227">
        <v>-5000</v>
      </c>
    </row>
    <row r="641" spans="1:17" x14ac:dyDescent="0.3">
      <c r="A641" s="72">
        <v>851</v>
      </c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>
        <v>-300</v>
      </c>
      <c r="N641" s="227"/>
      <c r="O641" s="227"/>
      <c r="P641" s="227"/>
      <c r="Q641" s="227">
        <v>-300</v>
      </c>
    </row>
    <row r="642" spans="1:17" x14ac:dyDescent="0.3">
      <c r="A642" s="72">
        <v>852</v>
      </c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>
        <v>-5000</v>
      </c>
      <c r="P642" s="227"/>
      <c r="Q642" s="227">
        <v>-5000</v>
      </c>
    </row>
    <row r="643" spans="1:17" x14ac:dyDescent="0.3">
      <c r="A643" s="72">
        <v>853</v>
      </c>
      <c r="B643" s="227"/>
      <c r="C643" s="227"/>
      <c r="D643" s="227"/>
      <c r="E643" s="227">
        <v>-1000</v>
      </c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>
        <v>-1000</v>
      </c>
    </row>
    <row r="644" spans="1:17" x14ac:dyDescent="0.3">
      <c r="A644" s="72">
        <v>854</v>
      </c>
      <c r="B644" s="227"/>
      <c r="C644" s="227"/>
      <c r="D644" s="227"/>
      <c r="E644" s="227"/>
      <c r="F644" s="227"/>
      <c r="G644" s="227"/>
      <c r="H644" s="227"/>
      <c r="I644" s="227"/>
      <c r="J644" s="227">
        <v>-15000</v>
      </c>
      <c r="K644" s="227"/>
      <c r="L644" s="227"/>
      <c r="M644" s="227"/>
      <c r="N644" s="227"/>
      <c r="O644" s="227"/>
      <c r="P644" s="227"/>
      <c r="Q644" s="227">
        <v>-15000</v>
      </c>
    </row>
    <row r="645" spans="1:17" x14ac:dyDescent="0.3">
      <c r="A645" s="72">
        <v>855</v>
      </c>
      <c r="B645" s="227"/>
      <c r="C645" s="227"/>
      <c r="D645" s="227"/>
      <c r="E645" s="227">
        <v>-6000</v>
      </c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>
        <v>-6000</v>
      </c>
    </row>
    <row r="646" spans="1:17" x14ac:dyDescent="0.3">
      <c r="A646" s="72">
        <v>856</v>
      </c>
      <c r="B646" s="227"/>
      <c r="C646" s="227"/>
      <c r="D646" s="227"/>
      <c r="E646" s="227">
        <v>-4000</v>
      </c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>
        <v>-4000</v>
      </c>
    </row>
    <row r="647" spans="1:17" x14ac:dyDescent="0.3">
      <c r="A647" s="72">
        <v>857</v>
      </c>
      <c r="B647" s="227"/>
      <c r="C647" s="227"/>
      <c r="D647" s="227"/>
      <c r="E647" s="227"/>
      <c r="F647" s="227"/>
      <c r="G647" s="227">
        <v>-2000</v>
      </c>
      <c r="H647" s="227"/>
      <c r="I647" s="227"/>
      <c r="J647" s="227"/>
      <c r="K647" s="227"/>
      <c r="L647" s="227"/>
      <c r="M647" s="227"/>
      <c r="N647" s="227"/>
      <c r="O647" s="227"/>
      <c r="P647" s="227"/>
      <c r="Q647" s="227">
        <v>-2000</v>
      </c>
    </row>
    <row r="648" spans="1:17" x14ac:dyDescent="0.3">
      <c r="A648" s="72">
        <v>858</v>
      </c>
      <c r="B648" s="227"/>
      <c r="C648" s="227"/>
      <c r="D648" s="227"/>
      <c r="E648" s="227"/>
      <c r="F648" s="227"/>
      <c r="G648" s="227">
        <v>-60</v>
      </c>
      <c r="H648" s="227"/>
      <c r="I648" s="227"/>
      <c r="J648" s="227"/>
      <c r="K648" s="227"/>
      <c r="L648" s="227"/>
      <c r="M648" s="227"/>
      <c r="N648" s="227"/>
      <c r="O648" s="227"/>
      <c r="P648" s="227"/>
      <c r="Q648" s="227">
        <v>-60</v>
      </c>
    </row>
    <row r="649" spans="1:17" x14ac:dyDescent="0.3">
      <c r="A649" s="72">
        <v>859</v>
      </c>
      <c r="B649" s="227"/>
      <c r="C649" s="227"/>
      <c r="D649" s="227"/>
      <c r="E649" s="227"/>
      <c r="F649" s="227"/>
      <c r="G649" s="227">
        <v>-25</v>
      </c>
      <c r="H649" s="227"/>
      <c r="I649" s="227"/>
      <c r="J649" s="227"/>
      <c r="K649" s="227"/>
      <c r="L649" s="227"/>
      <c r="M649" s="227"/>
      <c r="N649" s="227"/>
      <c r="O649" s="227"/>
      <c r="P649" s="227"/>
      <c r="Q649" s="227">
        <v>-25</v>
      </c>
    </row>
    <row r="650" spans="1:17" x14ac:dyDescent="0.3">
      <c r="A650" s="72">
        <v>860</v>
      </c>
      <c r="B650" s="227"/>
      <c r="C650" s="227"/>
      <c r="D650" s="227"/>
      <c r="E650" s="227">
        <v>-6000</v>
      </c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>
        <v>-6000</v>
      </c>
    </row>
    <row r="651" spans="1:17" x14ac:dyDescent="0.3">
      <c r="A651" s="72">
        <v>861</v>
      </c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>
        <v>-5000</v>
      </c>
      <c r="O651" s="227"/>
      <c r="P651" s="227"/>
      <c r="Q651" s="227">
        <v>-5000</v>
      </c>
    </row>
    <row r="652" spans="1:17" x14ac:dyDescent="0.3">
      <c r="A652" s="72">
        <v>862</v>
      </c>
      <c r="B652" s="227"/>
      <c r="C652" s="227"/>
      <c r="D652" s="227"/>
      <c r="E652" s="227"/>
      <c r="F652" s="227"/>
      <c r="G652" s="227">
        <v>-560</v>
      </c>
      <c r="H652" s="227"/>
      <c r="I652" s="227"/>
      <c r="J652" s="227"/>
      <c r="K652" s="227"/>
      <c r="L652" s="227"/>
      <c r="M652" s="227"/>
      <c r="N652" s="227"/>
      <c r="O652" s="227"/>
      <c r="P652" s="227"/>
      <c r="Q652" s="227">
        <v>-560</v>
      </c>
    </row>
    <row r="653" spans="1:17" x14ac:dyDescent="0.3">
      <c r="A653" s="72">
        <v>863</v>
      </c>
      <c r="B653" s="227"/>
      <c r="C653" s="227"/>
      <c r="D653" s="227"/>
      <c r="E653" s="227">
        <v>-5000</v>
      </c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>
        <v>-5000</v>
      </c>
    </row>
    <row r="654" spans="1:17" x14ac:dyDescent="0.3">
      <c r="A654" s="72">
        <v>864</v>
      </c>
      <c r="B654" s="227"/>
      <c r="C654" s="227"/>
      <c r="D654" s="227"/>
      <c r="E654" s="227">
        <v>-20000</v>
      </c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>
        <v>-20000</v>
      </c>
    </row>
    <row r="655" spans="1:17" x14ac:dyDescent="0.3">
      <c r="A655" s="72">
        <v>865</v>
      </c>
      <c r="B655" s="227"/>
      <c r="C655" s="227"/>
      <c r="D655" s="227"/>
      <c r="E655" s="227"/>
      <c r="F655" s="227"/>
      <c r="G655" s="227"/>
      <c r="H655" s="227"/>
      <c r="I655" s="227"/>
      <c r="J655" s="227">
        <v>-25000</v>
      </c>
      <c r="K655" s="227"/>
      <c r="L655" s="227"/>
      <c r="M655" s="227"/>
      <c r="N655" s="227"/>
      <c r="O655" s="227"/>
      <c r="P655" s="227"/>
      <c r="Q655" s="227">
        <v>-25000</v>
      </c>
    </row>
    <row r="656" spans="1:17" x14ac:dyDescent="0.3">
      <c r="A656" s="72">
        <v>866</v>
      </c>
      <c r="B656" s="227"/>
      <c r="C656" s="227"/>
      <c r="D656" s="227"/>
      <c r="E656" s="227">
        <v>-15000</v>
      </c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>
        <v>-15000</v>
      </c>
    </row>
    <row r="657" spans="1:17" x14ac:dyDescent="0.3">
      <c r="A657" s="72">
        <v>867</v>
      </c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>
        <v>-1000</v>
      </c>
      <c r="P657" s="227"/>
      <c r="Q657" s="227">
        <v>-1000</v>
      </c>
    </row>
    <row r="658" spans="1:17" x14ac:dyDescent="0.3">
      <c r="A658" s="72">
        <v>868</v>
      </c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>
        <v>-2000</v>
      </c>
      <c r="O658" s="227"/>
      <c r="P658" s="227"/>
      <c r="Q658" s="227">
        <v>-2000</v>
      </c>
    </row>
    <row r="659" spans="1:17" x14ac:dyDescent="0.3">
      <c r="A659" s="72">
        <v>869</v>
      </c>
      <c r="B659" s="227">
        <v>100000</v>
      </c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>
        <v>100000</v>
      </c>
    </row>
    <row r="660" spans="1:17" x14ac:dyDescent="0.3">
      <c r="A660" s="72">
        <v>870</v>
      </c>
      <c r="B660" s="227"/>
      <c r="C660" s="227"/>
      <c r="D660" s="227"/>
      <c r="E660" s="227">
        <v>-65000</v>
      </c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>
        <v>-65000</v>
      </c>
    </row>
    <row r="661" spans="1:17" x14ac:dyDescent="0.3">
      <c r="A661" s="72">
        <v>871</v>
      </c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>
        <v>-5000</v>
      </c>
      <c r="P661" s="227"/>
      <c r="Q661" s="227">
        <v>-5000</v>
      </c>
    </row>
    <row r="662" spans="1:17" x14ac:dyDescent="0.3">
      <c r="A662" s="72">
        <v>872</v>
      </c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>
        <v>-2950</v>
      </c>
      <c r="N662" s="227"/>
      <c r="O662" s="227"/>
      <c r="P662" s="227"/>
      <c r="Q662" s="227">
        <v>-2950</v>
      </c>
    </row>
    <row r="663" spans="1:17" x14ac:dyDescent="0.3">
      <c r="A663" s="72">
        <v>873</v>
      </c>
      <c r="B663" s="227"/>
      <c r="C663" s="227"/>
      <c r="D663" s="227"/>
      <c r="E663" s="227"/>
      <c r="F663" s="227"/>
      <c r="G663" s="227"/>
      <c r="H663" s="227"/>
      <c r="I663" s="227"/>
      <c r="J663" s="227">
        <v>-10000</v>
      </c>
      <c r="K663" s="227"/>
      <c r="L663" s="227"/>
      <c r="M663" s="227"/>
      <c r="N663" s="227"/>
      <c r="O663" s="227"/>
      <c r="P663" s="227"/>
      <c r="Q663" s="227">
        <v>-10000</v>
      </c>
    </row>
    <row r="664" spans="1:17" x14ac:dyDescent="0.3">
      <c r="A664" s="72">
        <v>874</v>
      </c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>
        <v>-2060</v>
      </c>
      <c r="N664" s="227"/>
      <c r="O664" s="227"/>
      <c r="P664" s="227"/>
      <c r="Q664" s="227">
        <v>-2060</v>
      </c>
    </row>
    <row r="665" spans="1:17" x14ac:dyDescent="0.3">
      <c r="A665" s="72">
        <v>875</v>
      </c>
      <c r="B665" s="227"/>
      <c r="C665" s="227"/>
      <c r="D665" s="227"/>
      <c r="E665" s="227"/>
      <c r="F665" s="227"/>
      <c r="G665" s="227">
        <v>-250</v>
      </c>
      <c r="H665" s="227"/>
      <c r="I665" s="227"/>
      <c r="J665" s="227"/>
      <c r="K665" s="227"/>
      <c r="L665" s="227"/>
      <c r="M665" s="227"/>
      <c r="N665" s="227"/>
      <c r="O665" s="227"/>
      <c r="P665" s="227"/>
      <c r="Q665" s="227">
        <v>-250</v>
      </c>
    </row>
    <row r="666" spans="1:17" x14ac:dyDescent="0.3">
      <c r="A666" s="72">
        <v>876</v>
      </c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>
        <v>-1000</v>
      </c>
      <c r="P666" s="227"/>
      <c r="Q666" s="227">
        <v>-1000</v>
      </c>
    </row>
    <row r="667" spans="1:17" x14ac:dyDescent="0.3">
      <c r="A667" s="72">
        <v>877</v>
      </c>
      <c r="B667" s="227"/>
      <c r="C667" s="227">
        <v>-25200</v>
      </c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>
        <v>-25200</v>
      </c>
    </row>
    <row r="668" spans="1:17" x14ac:dyDescent="0.3">
      <c r="A668" s="72">
        <v>878</v>
      </c>
      <c r="B668" s="227"/>
      <c r="C668" s="227"/>
      <c r="D668" s="227"/>
      <c r="E668" s="227"/>
      <c r="F668" s="227"/>
      <c r="G668" s="227">
        <v>-600</v>
      </c>
      <c r="H668" s="227"/>
      <c r="I668" s="227"/>
      <c r="J668" s="227"/>
      <c r="K668" s="227"/>
      <c r="L668" s="227"/>
      <c r="M668" s="227"/>
      <c r="N668" s="227"/>
      <c r="O668" s="227"/>
      <c r="P668" s="227"/>
      <c r="Q668" s="227">
        <v>-600</v>
      </c>
    </row>
    <row r="669" spans="1:17" x14ac:dyDescent="0.3">
      <c r="A669" s="72">
        <v>879</v>
      </c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>
        <v>-250</v>
      </c>
      <c r="P669" s="227"/>
      <c r="Q669" s="227">
        <v>-250</v>
      </c>
    </row>
    <row r="670" spans="1:17" x14ac:dyDescent="0.3">
      <c r="A670" s="72">
        <v>880</v>
      </c>
      <c r="B670" s="227">
        <v>200000</v>
      </c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>
        <v>200000</v>
      </c>
    </row>
    <row r="671" spans="1:17" x14ac:dyDescent="0.3">
      <c r="A671" s="72">
        <v>881</v>
      </c>
      <c r="B671" s="227"/>
      <c r="C671" s="227"/>
      <c r="D671" s="227"/>
      <c r="E671" s="227">
        <v>-10000</v>
      </c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>
        <v>-10000</v>
      </c>
    </row>
    <row r="672" spans="1:17" x14ac:dyDescent="0.3">
      <c r="A672" s="72">
        <v>882</v>
      </c>
      <c r="B672" s="227">
        <v>30000</v>
      </c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>
        <v>30000</v>
      </c>
    </row>
    <row r="673" spans="1:17" x14ac:dyDescent="0.3">
      <c r="A673" s="72">
        <v>883</v>
      </c>
      <c r="B673" s="227"/>
      <c r="C673" s="227"/>
      <c r="D673" s="227"/>
      <c r="E673" s="227">
        <v>-30000</v>
      </c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>
        <v>-30000</v>
      </c>
    </row>
    <row r="674" spans="1:17" x14ac:dyDescent="0.3">
      <c r="A674" s="72">
        <v>884</v>
      </c>
      <c r="B674" s="227"/>
      <c r="C674" s="227"/>
      <c r="D674" s="227"/>
      <c r="E674" s="227"/>
      <c r="F674" s="227"/>
      <c r="G674" s="227"/>
      <c r="H674" s="227"/>
      <c r="I674" s="227"/>
      <c r="J674" s="227">
        <v>-10000</v>
      </c>
      <c r="K674" s="227"/>
      <c r="L674" s="227"/>
      <c r="M674" s="227"/>
      <c r="N674" s="227"/>
      <c r="O674" s="227"/>
      <c r="P674" s="227"/>
      <c r="Q674" s="227">
        <v>-10000</v>
      </c>
    </row>
    <row r="675" spans="1:17" x14ac:dyDescent="0.3">
      <c r="A675" s="72">
        <v>885</v>
      </c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>
        <v>-12400</v>
      </c>
      <c r="P675" s="227"/>
      <c r="Q675" s="227">
        <v>-12400</v>
      </c>
    </row>
    <row r="676" spans="1:17" x14ac:dyDescent="0.3">
      <c r="A676" s="72">
        <v>886</v>
      </c>
      <c r="B676" s="227"/>
      <c r="C676" s="227"/>
      <c r="D676" s="227"/>
      <c r="E676" s="227">
        <v>-20000</v>
      </c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>
        <v>-20000</v>
      </c>
    </row>
    <row r="677" spans="1:17" x14ac:dyDescent="0.3">
      <c r="A677" s="72">
        <v>887</v>
      </c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>
        <v>-16850</v>
      </c>
      <c r="P677" s="227"/>
      <c r="Q677" s="227">
        <v>-16850</v>
      </c>
    </row>
    <row r="678" spans="1:17" x14ac:dyDescent="0.3">
      <c r="A678" s="72">
        <v>888</v>
      </c>
      <c r="B678" s="227"/>
      <c r="C678" s="227"/>
      <c r="D678" s="227"/>
      <c r="E678" s="227"/>
      <c r="F678" s="227"/>
      <c r="G678" s="227">
        <v>-50</v>
      </c>
      <c r="H678" s="227"/>
      <c r="I678" s="227"/>
      <c r="J678" s="227"/>
      <c r="K678" s="227"/>
      <c r="L678" s="227"/>
      <c r="M678" s="227"/>
      <c r="N678" s="227"/>
      <c r="O678" s="227"/>
      <c r="P678" s="227"/>
      <c r="Q678" s="227">
        <v>-50</v>
      </c>
    </row>
    <row r="679" spans="1:17" x14ac:dyDescent="0.3">
      <c r="A679" s="72">
        <v>889</v>
      </c>
      <c r="B679" s="227"/>
      <c r="C679" s="227"/>
      <c r="D679" s="227"/>
      <c r="E679" s="227">
        <v>-2000</v>
      </c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>
        <v>-2000</v>
      </c>
    </row>
    <row r="680" spans="1:17" x14ac:dyDescent="0.3">
      <c r="A680" s="72">
        <v>890</v>
      </c>
      <c r="B680" s="227"/>
      <c r="C680" s="227"/>
      <c r="D680" s="227"/>
      <c r="E680" s="227"/>
      <c r="F680" s="227"/>
      <c r="G680" s="227">
        <v>-50</v>
      </c>
      <c r="H680" s="227"/>
      <c r="I680" s="227"/>
      <c r="J680" s="227"/>
      <c r="K680" s="227"/>
      <c r="L680" s="227"/>
      <c r="M680" s="227"/>
      <c r="N680" s="227"/>
      <c r="O680" s="227"/>
      <c r="P680" s="227"/>
      <c r="Q680" s="227">
        <v>-50</v>
      </c>
    </row>
    <row r="681" spans="1:17" x14ac:dyDescent="0.3">
      <c r="A681" s="72">
        <v>891</v>
      </c>
      <c r="B681" s="227"/>
      <c r="C681" s="227"/>
      <c r="D681" s="227"/>
      <c r="E681" s="227"/>
      <c r="F681" s="227"/>
      <c r="G681" s="227">
        <v>-300</v>
      </c>
      <c r="H681" s="227"/>
      <c r="I681" s="227"/>
      <c r="J681" s="227"/>
      <c r="K681" s="227"/>
      <c r="L681" s="227"/>
      <c r="M681" s="227"/>
      <c r="N681" s="227"/>
      <c r="O681" s="227"/>
      <c r="P681" s="227"/>
      <c r="Q681" s="227">
        <v>-300</v>
      </c>
    </row>
    <row r="682" spans="1:17" x14ac:dyDescent="0.3">
      <c r="A682" s="72">
        <v>892</v>
      </c>
      <c r="B682" s="227"/>
      <c r="C682" s="227"/>
      <c r="D682" s="227"/>
      <c r="E682" s="227">
        <v>-5000</v>
      </c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>
        <v>-5000</v>
      </c>
    </row>
    <row r="683" spans="1:17" x14ac:dyDescent="0.3">
      <c r="A683" s="72">
        <v>893</v>
      </c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>
        <v>-1500</v>
      </c>
      <c r="P683" s="227"/>
      <c r="Q683" s="227">
        <v>-1500</v>
      </c>
    </row>
    <row r="684" spans="1:17" x14ac:dyDescent="0.3">
      <c r="A684" s="72">
        <v>894</v>
      </c>
      <c r="B684" s="227"/>
      <c r="C684" s="227"/>
      <c r="D684" s="227"/>
      <c r="E684" s="227"/>
      <c r="F684" s="227"/>
      <c r="G684" s="227">
        <v>-500</v>
      </c>
      <c r="H684" s="227"/>
      <c r="I684" s="227"/>
      <c r="J684" s="227"/>
      <c r="K684" s="227"/>
      <c r="L684" s="227"/>
      <c r="M684" s="227"/>
      <c r="N684" s="227"/>
      <c r="O684" s="227"/>
      <c r="P684" s="227"/>
      <c r="Q684" s="227">
        <v>-500</v>
      </c>
    </row>
    <row r="685" spans="1:17" x14ac:dyDescent="0.3">
      <c r="A685" s="72">
        <v>895</v>
      </c>
      <c r="B685" s="227"/>
      <c r="C685" s="227"/>
      <c r="D685" s="227"/>
      <c r="E685" s="227"/>
      <c r="F685" s="227"/>
      <c r="G685" s="227"/>
      <c r="H685" s="227"/>
      <c r="I685" s="227"/>
      <c r="J685" s="227">
        <v>-20000</v>
      </c>
      <c r="K685" s="227"/>
      <c r="L685" s="227"/>
      <c r="M685" s="227"/>
      <c r="N685" s="227"/>
      <c r="O685" s="227"/>
      <c r="P685" s="227"/>
      <c r="Q685" s="227">
        <v>-20000</v>
      </c>
    </row>
    <row r="686" spans="1:17" x14ac:dyDescent="0.3">
      <c r="A686" s="72">
        <v>896</v>
      </c>
      <c r="B686" s="227"/>
      <c r="C686" s="227"/>
      <c r="D686" s="227"/>
      <c r="E686" s="227">
        <v>-12000</v>
      </c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>
        <v>-12000</v>
      </c>
    </row>
    <row r="687" spans="1:17" x14ac:dyDescent="0.3">
      <c r="A687" s="72">
        <v>897</v>
      </c>
      <c r="B687" s="227"/>
      <c r="C687" s="227"/>
      <c r="D687" s="227"/>
      <c r="E687" s="227">
        <v>-6000</v>
      </c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>
        <v>-6000</v>
      </c>
    </row>
    <row r="688" spans="1:17" x14ac:dyDescent="0.3">
      <c r="A688" s="72">
        <v>898</v>
      </c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>
        <v>-1500</v>
      </c>
      <c r="P688" s="227"/>
      <c r="Q688" s="227">
        <v>-1500</v>
      </c>
    </row>
    <row r="689" spans="1:17" x14ac:dyDescent="0.3">
      <c r="A689" s="72">
        <v>899</v>
      </c>
      <c r="B689" s="227"/>
      <c r="C689" s="227"/>
      <c r="D689" s="227">
        <v>-50000</v>
      </c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>
        <v>-50000</v>
      </c>
    </row>
    <row r="690" spans="1:17" x14ac:dyDescent="0.3">
      <c r="A690" s="72">
        <v>900</v>
      </c>
      <c r="B690" s="227">
        <v>100000</v>
      </c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>
        <v>100000</v>
      </c>
    </row>
    <row r="691" spans="1:17" x14ac:dyDescent="0.3">
      <c r="A691" s="72">
        <v>901</v>
      </c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>
        <v>-1500</v>
      </c>
      <c r="P691" s="227"/>
      <c r="Q691" s="227">
        <v>-1500</v>
      </c>
    </row>
    <row r="692" spans="1:17" x14ac:dyDescent="0.3">
      <c r="A692" s="72">
        <v>902</v>
      </c>
      <c r="B692" s="227"/>
      <c r="C692" s="227"/>
      <c r="D692" s="227"/>
      <c r="E692" s="227">
        <v>-40000</v>
      </c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>
        <v>-40000</v>
      </c>
    </row>
    <row r="693" spans="1:17" x14ac:dyDescent="0.3">
      <c r="A693" s="72">
        <v>903</v>
      </c>
      <c r="B693" s="227"/>
      <c r="C693" s="227"/>
      <c r="D693" s="227"/>
      <c r="E693" s="227"/>
      <c r="F693" s="227"/>
      <c r="G693" s="227"/>
      <c r="H693" s="227"/>
      <c r="I693" s="227"/>
      <c r="J693" s="227"/>
      <c r="K693" s="227">
        <v>-40000</v>
      </c>
      <c r="L693" s="227"/>
      <c r="M693" s="227"/>
      <c r="N693" s="227"/>
      <c r="O693" s="227"/>
      <c r="P693" s="227"/>
      <c r="Q693" s="227">
        <v>-40000</v>
      </c>
    </row>
    <row r="694" spans="1:17" x14ac:dyDescent="0.3">
      <c r="A694" s="72">
        <v>904</v>
      </c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>
        <v>-5000</v>
      </c>
      <c r="P694" s="227"/>
      <c r="Q694" s="227">
        <v>-5000</v>
      </c>
    </row>
    <row r="695" spans="1:17" x14ac:dyDescent="0.3">
      <c r="A695" s="72">
        <v>905</v>
      </c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>
        <v>-60000</v>
      </c>
      <c r="M695" s="227"/>
      <c r="N695" s="227"/>
      <c r="O695" s="227"/>
      <c r="P695" s="227"/>
      <c r="Q695" s="227">
        <v>-60000</v>
      </c>
    </row>
    <row r="696" spans="1:17" x14ac:dyDescent="0.3">
      <c r="A696" s="72">
        <v>906</v>
      </c>
      <c r="B696" s="227"/>
      <c r="C696" s="227"/>
      <c r="D696" s="227"/>
      <c r="E696" s="227">
        <v>-11000</v>
      </c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>
        <v>-11000</v>
      </c>
    </row>
    <row r="697" spans="1:17" x14ac:dyDescent="0.3">
      <c r="A697" s="72">
        <v>907</v>
      </c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>
        <v>-3000</v>
      </c>
      <c r="P697" s="227"/>
      <c r="Q697" s="227">
        <v>-3000</v>
      </c>
    </row>
    <row r="698" spans="1:17" x14ac:dyDescent="0.3">
      <c r="A698" s="72">
        <v>908</v>
      </c>
      <c r="B698" s="227"/>
      <c r="C698" s="227"/>
      <c r="D698" s="227"/>
      <c r="E698" s="227">
        <v>-14000</v>
      </c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>
        <v>-14000</v>
      </c>
    </row>
    <row r="699" spans="1:17" x14ac:dyDescent="0.3">
      <c r="A699" s="72">
        <v>909</v>
      </c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>
        <v>-5000</v>
      </c>
      <c r="P699" s="227"/>
      <c r="Q699" s="227">
        <v>-5000</v>
      </c>
    </row>
    <row r="700" spans="1:17" x14ac:dyDescent="0.3">
      <c r="A700" s="72">
        <v>910</v>
      </c>
      <c r="B700" s="227"/>
      <c r="C700" s="227"/>
      <c r="D700" s="227"/>
      <c r="E700" s="227">
        <v>-10000</v>
      </c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>
        <v>-10000</v>
      </c>
    </row>
    <row r="701" spans="1:17" x14ac:dyDescent="0.3">
      <c r="A701" s="72">
        <v>911</v>
      </c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>
        <v>-1500</v>
      </c>
      <c r="P701" s="227"/>
      <c r="Q701" s="227">
        <v>-1500</v>
      </c>
    </row>
    <row r="702" spans="1:17" x14ac:dyDescent="0.3">
      <c r="A702" s="72">
        <v>912</v>
      </c>
      <c r="B702" s="227">
        <v>100000</v>
      </c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>
        <v>100000</v>
      </c>
    </row>
    <row r="703" spans="1:17" x14ac:dyDescent="0.3">
      <c r="A703" s="72">
        <v>913</v>
      </c>
      <c r="B703" s="227"/>
      <c r="C703" s="227"/>
      <c r="D703" s="227"/>
      <c r="E703" s="227">
        <v>-20000</v>
      </c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>
        <v>-20000</v>
      </c>
    </row>
    <row r="704" spans="1:17" x14ac:dyDescent="0.3">
      <c r="A704" s="72">
        <v>914</v>
      </c>
      <c r="B704" s="227"/>
      <c r="C704" s="227"/>
      <c r="D704" s="227"/>
      <c r="E704" s="227"/>
      <c r="F704" s="227"/>
      <c r="G704" s="227"/>
      <c r="H704" s="227"/>
      <c r="I704" s="227"/>
      <c r="J704" s="227">
        <v>-20000</v>
      </c>
      <c r="K704" s="227"/>
      <c r="L704" s="227"/>
      <c r="M704" s="227"/>
      <c r="N704" s="227"/>
      <c r="O704" s="227"/>
      <c r="P704" s="227"/>
      <c r="Q704" s="227">
        <v>-20000</v>
      </c>
    </row>
    <row r="705" spans="1:17" x14ac:dyDescent="0.3">
      <c r="A705" s="72">
        <v>915</v>
      </c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>
        <v>-1500</v>
      </c>
      <c r="P705" s="227"/>
      <c r="Q705" s="227">
        <v>-1500</v>
      </c>
    </row>
    <row r="706" spans="1:17" x14ac:dyDescent="0.3">
      <c r="A706" s="72">
        <v>916</v>
      </c>
      <c r="B706" s="227"/>
      <c r="C706" s="227"/>
      <c r="D706" s="227"/>
      <c r="E706" s="227"/>
      <c r="F706" s="227"/>
      <c r="G706" s="227"/>
      <c r="H706" s="227"/>
      <c r="I706" s="227"/>
      <c r="J706" s="227">
        <v>-20000</v>
      </c>
      <c r="K706" s="227"/>
      <c r="L706" s="227"/>
      <c r="M706" s="227"/>
      <c r="N706" s="227"/>
      <c r="O706" s="227"/>
      <c r="P706" s="227"/>
      <c r="Q706" s="227">
        <v>-20000</v>
      </c>
    </row>
    <row r="707" spans="1:17" x14ac:dyDescent="0.3">
      <c r="A707" s="72">
        <v>917</v>
      </c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>
        <v>-1500</v>
      </c>
      <c r="P707" s="227"/>
      <c r="Q707" s="227">
        <v>-1500</v>
      </c>
    </row>
    <row r="708" spans="1:17" x14ac:dyDescent="0.3">
      <c r="A708" s="72">
        <v>918</v>
      </c>
      <c r="B708" s="227"/>
      <c r="C708" s="227"/>
      <c r="D708" s="227"/>
      <c r="E708" s="227">
        <v>-20000</v>
      </c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>
        <v>-20000</v>
      </c>
    </row>
    <row r="709" spans="1:17" x14ac:dyDescent="0.3">
      <c r="A709" s="72">
        <v>919</v>
      </c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>
        <v>-2000</v>
      </c>
      <c r="P709" s="227"/>
      <c r="Q709" s="227">
        <v>-2000</v>
      </c>
    </row>
    <row r="710" spans="1:17" x14ac:dyDescent="0.3">
      <c r="A710" s="72">
        <v>920</v>
      </c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>
        <v>-9000</v>
      </c>
      <c r="P710" s="227"/>
      <c r="Q710" s="227">
        <v>-9000</v>
      </c>
    </row>
    <row r="711" spans="1:17" x14ac:dyDescent="0.3">
      <c r="A711" s="72">
        <v>921</v>
      </c>
      <c r="B711" s="227"/>
      <c r="C711" s="227"/>
      <c r="D711" s="227"/>
      <c r="E711" s="227">
        <v>-20000</v>
      </c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>
        <v>-20000</v>
      </c>
    </row>
    <row r="712" spans="1:17" x14ac:dyDescent="0.3">
      <c r="A712" s="72">
        <v>922</v>
      </c>
      <c r="B712" s="227"/>
      <c r="C712" s="227"/>
      <c r="D712" s="227"/>
      <c r="E712" s="227">
        <v>-12000</v>
      </c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>
        <v>-12000</v>
      </c>
    </row>
    <row r="713" spans="1:17" x14ac:dyDescent="0.3">
      <c r="A713" s="72">
        <v>923</v>
      </c>
      <c r="B713" s="227"/>
      <c r="C713" s="227"/>
      <c r="D713" s="227"/>
      <c r="E713" s="227">
        <v>-12000</v>
      </c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>
        <v>-12000</v>
      </c>
    </row>
    <row r="714" spans="1:17" x14ac:dyDescent="0.3">
      <c r="A714" s="72">
        <v>924</v>
      </c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>
        <v>-1500</v>
      </c>
      <c r="P714" s="227"/>
      <c r="Q714" s="227">
        <v>-1500</v>
      </c>
    </row>
    <row r="715" spans="1:17" x14ac:dyDescent="0.3">
      <c r="A715" s="72">
        <v>925</v>
      </c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>
        <v>-5000</v>
      </c>
      <c r="P715" s="227"/>
      <c r="Q715" s="227">
        <v>-5000</v>
      </c>
    </row>
    <row r="716" spans="1:17" x14ac:dyDescent="0.3">
      <c r="A716" s="72">
        <v>926</v>
      </c>
      <c r="B716" s="227">
        <v>80000</v>
      </c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>
        <v>80000</v>
      </c>
    </row>
    <row r="717" spans="1:17" x14ac:dyDescent="0.3">
      <c r="A717" s="72">
        <v>927</v>
      </c>
      <c r="B717" s="227"/>
      <c r="C717" s="227"/>
      <c r="D717" s="227"/>
      <c r="E717" s="227">
        <v>-40000</v>
      </c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>
        <v>-40000</v>
      </c>
    </row>
    <row r="718" spans="1:17" x14ac:dyDescent="0.3">
      <c r="A718" s="72">
        <v>928</v>
      </c>
      <c r="B718" s="227"/>
      <c r="C718" s="227"/>
      <c r="D718" s="227"/>
      <c r="E718" s="227"/>
      <c r="F718" s="227"/>
      <c r="G718" s="227"/>
      <c r="H718" s="227"/>
      <c r="I718" s="227"/>
      <c r="J718" s="227">
        <v>-40000</v>
      </c>
      <c r="K718" s="227"/>
      <c r="L718" s="227"/>
      <c r="M718" s="227"/>
      <c r="N718" s="227"/>
      <c r="O718" s="227"/>
      <c r="P718" s="227"/>
      <c r="Q718" s="227">
        <v>-40000</v>
      </c>
    </row>
    <row r="719" spans="1:17" x14ac:dyDescent="0.3">
      <c r="A719" s="72">
        <v>929</v>
      </c>
      <c r="B719" s="227">
        <v>50000</v>
      </c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>
        <v>50000</v>
      </c>
    </row>
    <row r="720" spans="1:17" x14ac:dyDescent="0.3">
      <c r="A720" s="72">
        <v>930</v>
      </c>
      <c r="B720" s="227"/>
      <c r="C720" s="227"/>
      <c r="D720" s="227"/>
      <c r="E720" s="227">
        <v>-40000</v>
      </c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>
        <v>-40000</v>
      </c>
    </row>
    <row r="721" spans="1:17" x14ac:dyDescent="0.3">
      <c r="A721" s="72">
        <v>931</v>
      </c>
      <c r="B721" s="227"/>
      <c r="C721" s="227"/>
      <c r="D721" s="227"/>
      <c r="E721" s="227"/>
      <c r="F721" s="227"/>
      <c r="G721" s="227"/>
      <c r="H721" s="227"/>
      <c r="I721" s="227"/>
      <c r="J721" s="227">
        <v>-20000</v>
      </c>
      <c r="K721" s="227"/>
      <c r="L721" s="227"/>
      <c r="M721" s="227"/>
      <c r="N721" s="227"/>
      <c r="O721" s="227"/>
      <c r="P721" s="227"/>
      <c r="Q721" s="227">
        <v>-20000</v>
      </c>
    </row>
    <row r="722" spans="1:17" x14ac:dyDescent="0.3">
      <c r="A722" s="72">
        <v>932</v>
      </c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>
        <v>-1000</v>
      </c>
      <c r="P722" s="227"/>
      <c r="Q722" s="227">
        <v>-1000</v>
      </c>
    </row>
    <row r="723" spans="1:17" x14ac:dyDescent="0.3">
      <c r="A723" s="72">
        <v>933</v>
      </c>
      <c r="B723" s="227"/>
      <c r="C723" s="227"/>
      <c r="D723" s="227"/>
      <c r="E723" s="227">
        <v>-10000</v>
      </c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>
        <v>-10000</v>
      </c>
    </row>
    <row r="724" spans="1:17" x14ac:dyDescent="0.3">
      <c r="A724" s="72">
        <v>934</v>
      </c>
      <c r="B724" s="227">
        <v>150000</v>
      </c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>
        <v>150000</v>
      </c>
    </row>
    <row r="725" spans="1:17" x14ac:dyDescent="0.3">
      <c r="A725" s="72">
        <v>935</v>
      </c>
      <c r="B725" s="227"/>
      <c r="C725" s="227"/>
      <c r="D725" s="227"/>
      <c r="E725" s="227">
        <v>-100000</v>
      </c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>
        <v>-100000</v>
      </c>
    </row>
    <row r="726" spans="1:17" x14ac:dyDescent="0.3">
      <c r="A726" s="72">
        <v>936</v>
      </c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>
        <v>-15500</v>
      </c>
      <c r="P726" s="227"/>
      <c r="Q726" s="227">
        <v>-15500</v>
      </c>
    </row>
    <row r="727" spans="1:17" x14ac:dyDescent="0.3">
      <c r="A727" s="72">
        <v>937</v>
      </c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>
        <v>-1350</v>
      </c>
      <c r="P727" s="227"/>
      <c r="Q727" s="227">
        <v>-1350</v>
      </c>
    </row>
    <row r="728" spans="1:17" x14ac:dyDescent="0.3">
      <c r="A728" s="72">
        <v>938</v>
      </c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>
        <v>-900</v>
      </c>
      <c r="P728" s="227"/>
      <c r="Q728" s="227">
        <v>-900</v>
      </c>
    </row>
    <row r="729" spans="1:17" x14ac:dyDescent="0.3">
      <c r="A729" s="72">
        <v>939</v>
      </c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>
        <v>-4500</v>
      </c>
      <c r="P729" s="227"/>
      <c r="Q729" s="227">
        <v>-4500</v>
      </c>
    </row>
    <row r="730" spans="1:17" x14ac:dyDescent="0.3">
      <c r="A730" s="72">
        <v>940</v>
      </c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>
        <v>-2700</v>
      </c>
      <c r="P730" s="227"/>
      <c r="Q730" s="227">
        <v>-2700</v>
      </c>
    </row>
    <row r="731" spans="1:17" x14ac:dyDescent="0.3">
      <c r="A731" s="72">
        <v>941</v>
      </c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>
        <v>-5400</v>
      </c>
      <c r="P731" s="227"/>
      <c r="Q731" s="227">
        <v>-5400</v>
      </c>
    </row>
    <row r="732" spans="1:17" x14ac:dyDescent="0.3">
      <c r="A732" s="72">
        <v>942</v>
      </c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>
        <v>-500</v>
      </c>
      <c r="P732" s="227"/>
      <c r="Q732" s="227">
        <v>-500</v>
      </c>
    </row>
    <row r="733" spans="1:17" x14ac:dyDescent="0.3">
      <c r="A733" s="72">
        <v>943</v>
      </c>
      <c r="B733" s="227">
        <v>200000</v>
      </c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>
        <v>200000</v>
      </c>
    </row>
    <row r="734" spans="1:17" x14ac:dyDescent="0.3">
      <c r="A734" s="72">
        <v>944</v>
      </c>
      <c r="B734" s="227"/>
      <c r="C734" s="227"/>
      <c r="D734" s="227"/>
      <c r="E734" s="227"/>
      <c r="F734" s="227"/>
      <c r="G734" s="227"/>
      <c r="H734" s="227"/>
      <c r="I734" s="227"/>
      <c r="J734" s="227">
        <v>-80000</v>
      </c>
      <c r="K734" s="227"/>
      <c r="L734" s="227"/>
      <c r="M734" s="227"/>
      <c r="N734" s="227"/>
      <c r="O734" s="227"/>
      <c r="P734" s="227"/>
      <c r="Q734" s="227">
        <v>-80000</v>
      </c>
    </row>
    <row r="735" spans="1:17" x14ac:dyDescent="0.3">
      <c r="A735" s="72">
        <v>945</v>
      </c>
      <c r="B735" s="227"/>
      <c r="C735" s="227"/>
      <c r="D735" s="227"/>
      <c r="E735" s="227">
        <v>-70000</v>
      </c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>
        <v>-70000</v>
      </c>
    </row>
    <row r="736" spans="1:17" x14ac:dyDescent="0.3">
      <c r="A736" s="72">
        <v>946</v>
      </c>
      <c r="B736" s="227"/>
      <c r="C736" s="227"/>
      <c r="D736" s="227">
        <v>-40000</v>
      </c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>
        <v>-40000</v>
      </c>
    </row>
    <row r="737" spans="1:17" x14ac:dyDescent="0.3">
      <c r="A737" s="72">
        <v>947</v>
      </c>
      <c r="B737" s="227"/>
      <c r="C737" s="227"/>
      <c r="D737" s="227"/>
      <c r="E737" s="227"/>
      <c r="F737" s="227"/>
      <c r="G737" s="227">
        <v>-200</v>
      </c>
      <c r="H737" s="227"/>
      <c r="I737" s="227"/>
      <c r="J737" s="227"/>
      <c r="K737" s="227"/>
      <c r="L737" s="227"/>
      <c r="M737" s="227"/>
      <c r="N737" s="227"/>
      <c r="O737" s="227"/>
      <c r="P737" s="227"/>
      <c r="Q737" s="227">
        <v>-200</v>
      </c>
    </row>
    <row r="738" spans="1:17" x14ac:dyDescent="0.3">
      <c r="A738" s="72">
        <v>948</v>
      </c>
      <c r="B738" s="227"/>
      <c r="C738" s="227"/>
      <c r="D738" s="227"/>
      <c r="E738" s="227"/>
      <c r="F738" s="227"/>
      <c r="G738" s="227">
        <v>-1660</v>
      </c>
      <c r="H738" s="227"/>
      <c r="I738" s="227"/>
      <c r="J738" s="227"/>
      <c r="K738" s="227"/>
      <c r="L738" s="227"/>
      <c r="M738" s="227"/>
      <c r="N738" s="227"/>
      <c r="O738" s="227"/>
      <c r="P738" s="227"/>
      <c r="Q738" s="227">
        <v>-1660</v>
      </c>
    </row>
    <row r="739" spans="1:17" x14ac:dyDescent="0.3">
      <c r="A739" s="72">
        <v>949</v>
      </c>
      <c r="B739" s="227"/>
      <c r="C739" s="227"/>
      <c r="D739" s="227"/>
      <c r="E739" s="227">
        <v>-13000</v>
      </c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>
        <v>-13000</v>
      </c>
    </row>
    <row r="740" spans="1:17" x14ac:dyDescent="0.3">
      <c r="A740" s="72">
        <v>950</v>
      </c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>
        <v>-60000</v>
      </c>
      <c r="M740" s="227"/>
      <c r="N740" s="227"/>
      <c r="O740" s="227"/>
      <c r="P740" s="227"/>
      <c r="Q740" s="227">
        <v>-60000</v>
      </c>
    </row>
    <row r="741" spans="1:17" x14ac:dyDescent="0.3">
      <c r="A741" s="72">
        <v>951</v>
      </c>
      <c r="B741" s="227"/>
      <c r="C741" s="227"/>
      <c r="D741" s="227"/>
      <c r="E741" s="227"/>
      <c r="F741" s="227">
        <v>-20000</v>
      </c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>
        <v>-20000</v>
      </c>
    </row>
    <row r="742" spans="1:17" x14ac:dyDescent="0.3">
      <c r="A742" s="72">
        <v>952</v>
      </c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>
        <v>-5000</v>
      </c>
      <c r="P742" s="227"/>
      <c r="Q742" s="227">
        <v>-5000</v>
      </c>
    </row>
    <row r="743" spans="1:17" x14ac:dyDescent="0.3">
      <c r="A743" s="72">
        <v>953</v>
      </c>
      <c r="B743" s="227"/>
      <c r="C743" s="227"/>
      <c r="D743" s="227"/>
      <c r="E743" s="227"/>
      <c r="F743" s="227"/>
      <c r="G743" s="227"/>
      <c r="H743" s="227"/>
      <c r="I743" s="227"/>
      <c r="J743" s="227">
        <v>-20000</v>
      </c>
      <c r="K743" s="227"/>
      <c r="L743" s="227"/>
      <c r="M743" s="227"/>
      <c r="N743" s="227"/>
      <c r="O743" s="227"/>
      <c r="P743" s="227"/>
      <c r="Q743" s="227">
        <v>-20000</v>
      </c>
    </row>
    <row r="744" spans="1:17" x14ac:dyDescent="0.3">
      <c r="A744" s="72">
        <v>955</v>
      </c>
      <c r="B744" s="227"/>
      <c r="C744" s="227"/>
      <c r="D744" s="227"/>
      <c r="E744" s="227">
        <v>-40000</v>
      </c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>
        <v>-40000</v>
      </c>
    </row>
    <row r="745" spans="1:17" x14ac:dyDescent="0.3">
      <c r="A745" s="72">
        <v>956</v>
      </c>
      <c r="B745" s="227">
        <v>200000</v>
      </c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>
        <v>200000</v>
      </c>
    </row>
    <row r="746" spans="1:17" x14ac:dyDescent="0.3">
      <c r="A746" s="72">
        <v>957</v>
      </c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>
        <v>-4500</v>
      </c>
      <c r="N746" s="227"/>
      <c r="O746" s="227"/>
      <c r="P746" s="227"/>
      <c r="Q746" s="227">
        <v>-4500</v>
      </c>
    </row>
    <row r="747" spans="1:17" x14ac:dyDescent="0.3">
      <c r="A747" s="72">
        <v>958</v>
      </c>
      <c r="B747" s="227"/>
      <c r="C747" s="227"/>
      <c r="D747" s="227"/>
      <c r="E747" s="227">
        <v>-100000</v>
      </c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>
        <v>-100000</v>
      </c>
    </row>
    <row r="748" spans="1:17" x14ac:dyDescent="0.3">
      <c r="A748" s="72">
        <v>959</v>
      </c>
      <c r="B748" s="227"/>
      <c r="C748" s="227"/>
      <c r="D748" s="227"/>
      <c r="E748" s="227">
        <v>-25000</v>
      </c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>
        <v>-25000</v>
      </c>
    </row>
    <row r="749" spans="1:17" x14ac:dyDescent="0.3">
      <c r="A749" s="72">
        <v>960</v>
      </c>
      <c r="B749" s="227"/>
      <c r="C749" s="227"/>
      <c r="D749" s="227"/>
      <c r="E749" s="227">
        <v>-10000</v>
      </c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>
        <v>-10000</v>
      </c>
    </row>
    <row r="750" spans="1:17" x14ac:dyDescent="0.3">
      <c r="A750" s="72">
        <v>961</v>
      </c>
      <c r="B750" s="227"/>
      <c r="C750" s="227"/>
      <c r="D750" s="227"/>
      <c r="E750" s="227">
        <v>-25000</v>
      </c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>
        <v>-25000</v>
      </c>
    </row>
    <row r="751" spans="1:17" x14ac:dyDescent="0.3">
      <c r="A751" s="72">
        <v>962</v>
      </c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>
        <v>-1000</v>
      </c>
      <c r="P751" s="227"/>
      <c r="Q751" s="227">
        <v>-1000</v>
      </c>
    </row>
    <row r="752" spans="1:17" x14ac:dyDescent="0.3">
      <c r="A752" s="72">
        <v>963</v>
      </c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>
        <v>-3000</v>
      </c>
      <c r="P752" s="227"/>
      <c r="Q752" s="227">
        <v>-3000</v>
      </c>
    </row>
    <row r="753" spans="1:17" x14ac:dyDescent="0.3">
      <c r="A753" s="72">
        <v>964</v>
      </c>
      <c r="B753" s="227">
        <v>20000</v>
      </c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>
        <v>20000</v>
      </c>
    </row>
    <row r="754" spans="1:17" x14ac:dyDescent="0.3">
      <c r="A754" s="72">
        <v>965</v>
      </c>
      <c r="B754" s="227"/>
      <c r="C754" s="227"/>
      <c r="D754" s="227"/>
      <c r="E754" s="227">
        <v>-17000</v>
      </c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>
        <v>-17000</v>
      </c>
    </row>
    <row r="755" spans="1:17" x14ac:dyDescent="0.3">
      <c r="A755" s="72">
        <v>966</v>
      </c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>
        <v>-500</v>
      </c>
      <c r="P755" s="227"/>
      <c r="Q755" s="227">
        <v>-500</v>
      </c>
    </row>
    <row r="756" spans="1:17" x14ac:dyDescent="0.3">
      <c r="A756" s="72">
        <v>967</v>
      </c>
      <c r="B756" s="227">
        <v>100000</v>
      </c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>
        <v>100000</v>
      </c>
    </row>
    <row r="757" spans="1:17" x14ac:dyDescent="0.3">
      <c r="A757" s="72">
        <v>968</v>
      </c>
      <c r="B757" s="227"/>
      <c r="C757" s="227"/>
      <c r="D757" s="227"/>
      <c r="E757" s="227"/>
      <c r="F757" s="227"/>
      <c r="G757" s="227"/>
      <c r="H757" s="227"/>
      <c r="I757" s="227"/>
      <c r="J757" s="227">
        <v>-30000</v>
      </c>
      <c r="K757" s="227"/>
      <c r="L757" s="227"/>
      <c r="M757" s="227"/>
      <c r="N757" s="227"/>
      <c r="O757" s="227"/>
      <c r="P757" s="227"/>
      <c r="Q757" s="227">
        <v>-30000</v>
      </c>
    </row>
    <row r="758" spans="1:17" x14ac:dyDescent="0.3">
      <c r="A758" s="72">
        <v>969</v>
      </c>
      <c r="B758" s="227"/>
      <c r="C758" s="227"/>
      <c r="D758" s="227"/>
      <c r="E758" s="227">
        <v>-60000</v>
      </c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>
        <v>-60000</v>
      </c>
    </row>
    <row r="759" spans="1:17" x14ac:dyDescent="0.3">
      <c r="A759" s="72">
        <v>970</v>
      </c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>
        <v>-9650</v>
      </c>
      <c r="P759" s="227"/>
      <c r="Q759" s="227">
        <v>-9650</v>
      </c>
    </row>
    <row r="760" spans="1:17" x14ac:dyDescent="0.3">
      <c r="A760" s="72">
        <v>971</v>
      </c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>
        <v>-1350</v>
      </c>
      <c r="P760" s="227"/>
      <c r="Q760" s="227">
        <v>-1350</v>
      </c>
    </row>
    <row r="761" spans="1:17" x14ac:dyDescent="0.3">
      <c r="A761" s="72">
        <v>972</v>
      </c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>
        <v>-2000</v>
      </c>
      <c r="P761" s="227"/>
      <c r="Q761" s="227">
        <v>-2000</v>
      </c>
    </row>
    <row r="762" spans="1:17" x14ac:dyDescent="0.3">
      <c r="A762" s="72">
        <v>973</v>
      </c>
      <c r="B762" s="227">
        <v>100000</v>
      </c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>
        <v>100000</v>
      </c>
    </row>
    <row r="763" spans="1:17" x14ac:dyDescent="0.3">
      <c r="A763" s="72">
        <v>974</v>
      </c>
      <c r="B763" s="227"/>
      <c r="C763" s="227"/>
      <c r="D763" s="227"/>
      <c r="E763" s="227">
        <v>-100000</v>
      </c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>
        <v>-100000</v>
      </c>
    </row>
    <row r="764" spans="1:17" x14ac:dyDescent="0.3">
      <c r="A764" s="72">
        <v>975</v>
      </c>
      <c r="B764" s="227">
        <v>150000</v>
      </c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>
        <v>150000</v>
      </c>
    </row>
    <row r="765" spans="1:17" x14ac:dyDescent="0.3">
      <c r="A765" s="72">
        <v>976</v>
      </c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>
        <v>-5000</v>
      </c>
      <c r="P765" s="227"/>
      <c r="Q765" s="227">
        <v>-5000</v>
      </c>
    </row>
    <row r="766" spans="1:17" x14ac:dyDescent="0.3">
      <c r="A766" s="72">
        <v>977</v>
      </c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>
        <v>-22000</v>
      </c>
      <c r="P766" s="227"/>
      <c r="Q766" s="227">
        <v>-22000</v>
      </c>
    </row>
    <row r="767" spans="1:17" x14ac:dyDescent="0.3">
      <c r="A767" s="72">
        <v>978</v>
      </c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>
        <v>-60000</v>
      </c>
      <c r="M767" s="227"/>
      <c r="N767" s="227"/>
      <c r="O767" s="227"/>
      <c r="P767" s="227"/>
      <c r="Q767" s="227">
        <v>-60000</v>
      </c>
    </row>
    <row r="768" spans="1:17" x14ac:dyDescent="0.3">
      <c r="A768" s="72">
        <v>979</v>
      </c>
      <c r="B768" s="227"/>
      <c r="C768" s="227"/>
      <c r="D768" s="227"/>
      <c r="E768" s="227">
        <v>-25000</v>
      </c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>
        <v>-25000</v>
      </c>
    </row>
    <row r="769" spans="1:17" x14ac:dyDescent="0.3">
      <c r="A769" s="72">
        <v>980</v>
      </c>
      <c r="B769" s="227">
        <v>50000</v>
      </c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>
        <v>50000</v>
      </c>
    </row>
    <row r="770" spans="1:17" x14ac:dyDescent="0.3">
      <c r="A770" s="72">
        <v>981</v>
      </c>
      <c r="B770" s="227"/>
      <c r="C770" s="227"/>
      <c r="D770" s="227"/>
      <c r="E770" s="227">
        <v>-50000</v>
      </c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>
        <v>-50000</v>
      </c>
    </row>
    <row r="771" spans="1:17" x14ac:dyDescent="0.3">
      <c r="A771" s="72">
        <v>982</v>
      </c>
      <c r="B771" s="227"/>
      <c r="C771" s="227"/>
      <c r="D771" s="227"/>
      <c r="E771" s="227"/>
      <c r="F771" s="227"/>
      <c r="G771" s="227">
        <v>-70</v>
      </c>
      <c r="H771" s="227"/>
      <c r="I771" s="227"/>
      <c r="J771" s="227"/>
      <c r="K771" s="227"/>
      <c r="L771" s="227"/>
      <c r="M771" s="227"/>
      <c r="N771" s="227"/>
      <c r="O771" s="227"/>
      <c r="P771" s="227"/>
      <c r="Q771" s="227">
        <v>-70</v>
      </c>
    </row>
    <row r="772" spans="1:17" x14ac:dyDescent="0.3">
      <c r="A772" s="72">
        <v>983</v>
      </c>
      <c r="B772" s="227"/>
      <c r="C772" s="227"/>
      <c r="D772" s="227"/>
      <c r="E772" s="227">
        <v>-10000</v>
      </c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>
        <v>-10000</v>
      </c>
    </row>
    <row r="773" spans="1:17" x14ac:dyDescent="0.3">
      <c r="A773" s="72">
        <v>984</v>
      </c>
      <c r="B773" s="227"/>
      <c r="C773" s="227"/>
      <c r="D773" s="227"/>
      <c r="E773" s="227"/>
      <c r="F773" s="227"/>
      <c r="G773" s="227"/>
      <c r="H773" s="227"/>
      <c r="I773" s="227"/>
      <c r="J773" s="227">
        <v>-30000</v>
      </c>
      <c r="K773" s="227"/>
      <c r="L773" s="227"/>
      <c r="M773" s="227"/>
      <c r="N773" s="227"/>
      <c r="O773" s="227"/>
      <c r="P773" s="227"/>
      <c r="Q773" s="227">
        <v>-30000</v>
      </c>
    </row>
    <row r="774" spans="1:17" x14ac:dyDescent="0.3">
      <c r="A774" s="72">
        <v>985</v>
      </c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>
        <v>-2000</v>
      </c>
      <c r="P774" s="227"/>
      <c r="Q774" s="227">
        <v>-2000</v>
      </c>
    </row>
    <row r="775" spans="1:17" x14ac:dyDescent="0.3">
      <c r="A775" s="72">
        <v>986</v>
      </c>
      <c r="B775" s="227">
        <v>50000</v>
      </c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>
        <v>50000</v>
      </c>
    </row>
    <row r="776" spans="1:17" x14ac:dyDescent="0.3">
      <c r="A776" s="72">
        <v>987</v>
      </c>
      <c r="B776" s="227"/>
      <c r="C776" s="227"/>
      <c r="D776" s="227"/>
      <c r="E776" s="227">
        <v>-30000</v>
      </c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>
        <v>-30000</v>
      </c>
    </row>
    <row r="777" spans="1:17" x14ac:dyDescent="0.3">
      <c r="A777" s="72">
        <v>988</v>
      </c>
      <c r="B777" s="227"/>
      <c r="C777" s="227"/>
      <c r="D777" s="227"/>
      <c r="E777" s="227">
        <v>-15000</v>
      </c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>
        <v>-15000</v>
      </c>
    </row>
    <row r="778" spans="1:17" x14ac:dyDescent="0.3">
      <c r="A778" s="72">
        <v>989</v>
      </c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>
        <v>-5000</v>
      </c>
      <c r="N778" s="227"/>
      <c r="O778" s="227"/>
      <c r="P778" s="227"/>
      <c r="Q778" s="227">
        <v>-5000</v>
      </c>
    </row>
    <row r="779" spans="1:17" x14ac:dyDescent="0.3">
      <c r="A779" s="72">
        <v>990</v>
      </c>
      <c r="B779" s="227"/>
      <c r="C779" s="227"/>
      <c r="D779" s="227"/>
      <c r="E779" s="227"/>
      <c r="F779" s="227"/>
      <c r="G779" s="227">
        <v>-70</v>
      </c>
      <c r="H779" s="227"/>
      <c r="I779" s="227"/>
      <c r="J779" s="227"/>
      <c r="K779" s="227"/>
      <c r="L779" s="227"/>
      <c r="M779" s="227"/>
      <c r="N779" s="227"/>
      <c r="O779" s="227"/>
      <c r="P779" s="227"/>
      <c r="Q779" s="227">
        <v>-70</v>
      </c>
    </row>
    <row r="780" spans="1:17" x14ac:dyDescent="0.3">
      <c r="A780" s="72">
        <v>991</v>
      </c>
      <c r="B780" s="227"/>
      <c r="C780" s="227"/>
      <c r="D780" s="227"/>
      <c r="E780" s="227"/>
      <c r="F780" s="227"/>
      <c r="G780" s="227">
        <v>-100</v>
      </c>
      <c r="H780" s="227"/>
      <c r="I780" s="227"/>
      <c r="J780" s="227"/>
      <c r="K780" s="227"/>
      <c r="L780" s="227"/>
      <c r="M780" s="227"/>
      <c r="N780" s="227"/>
      <c r="O780" s="227"/>
      <c r="P780" s="227"/>
      <c r="Q780" s="227">
        <v>-100</v>
      </c>
    </row>
    <row r="781" spans="1:17" x14ac:dyDescent="0.3">
      <c r="A781" s="72">
        <v>992</v>
      </c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>
        <v>-10000</v>
      </c>
      <c r="N781" s="227"/>
      <c r="O781" s="227"/>
      <c r="P781" s="227"/>
      <c r="Q781" s="227">
        <v>-10000</v>
      </c>
    </row>
    <row r="782" spans="1:17" x14ac:dyDescent="0.3">
      <c r="A782" s="72">
        <v>993</v>
      </c>
      <c r="B782" s="227">
        <v>100000</v>
      </c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>
        <v>100000</v>
      </c>
    </row>
    <row r="783" spans="1:17" x14ac:dyDescent="0.3">
      <c r="A783" s="72">
        <v>994</v>
      </c>
      <c r="B783" s="227"/>
      <c r="C783" s="227"/>
      <c r="D783" s="227"/>
      <c r="E783" s="227">
        <v>-80000</v>
      </c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>
        <v>-80000</v>
      </c>
    </row>
    <row r="784" spans="1:17" x14ac:dyDescent="0.3">
      <c r="A784" s="72">
        <v>995</v>
      </c>
      <c r="B784" s="227"/>
      <c r="C784" s="227"/>
      <c r="D784" s="227"/>
      <c r="E784" s="227"/>
      <c r="F784" s="227"/>
      <c r="G784" s="227"/>
      <c r="H784" s="227"/>
      <c r="I784" s="227"/>
      <c r="J784" s="227">
        <v>-20000</v>
      </c>
      <c r="K784" s="227"/>
      <c r="L784" s="227"/>
      <c r="M784" s="227"/>
      <c r="N784" s="227"/>
      <c r="O784" s="227"/>
      <c r="P784" s="227"/>
      <c r="Q784" s="227">
        <v>-20000</v>
      </c>
    </row>
    <row r="785" spans="1:17" x14ac:dyDescent="0.3">
      <c r="A785" s="72">
        <v>996</v>
      </c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>
        <v>-5000</v>
      </c>
      <c r="N785" s="227"/>
      <c r="O785" s="227"/>
      <c r="P785" s="227"/>
      <c r="Q785" s="227">
        <v>-5000</v>
      </c>
    </row>
    <row r="786" spans="1:17" x14ac:dyDescent="0.3">
      <c r="A786" s="72">
        <v>997</v>
      </c>
      <c r="B786" s="227">
        <v>120000</v>
      </c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>
        <v>120000</v>
      </c>
    </row>
    <row r="787" spans="1:17" x14ac:dyDescent="0.3">
      <c r="A787" s="72">
        <v>998</v>
      </c>
      <c r="B787" s="227"/>
      <c r="C787" s="227"/>
      <c r="D787" s="227"/>
      <c r="E787" s="227">
        <v>-10000</v>
      </c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>
        <v>-10000</v>
      </c>
    </row>
    <row r="788" spans="1:17" x14ac:dyDescent="0.3">
      <c r="A788" s="72">
        <v>999</v>
      </c>
      <c r="B788" s="227"/>
      <c r="C788" s="227"/>
      <c r="D788" s="227"/>
      <c r="E788" s="227">
        <v>-30000</v>
      </c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>
        <v>-30000</v>
      </c>
    </row>
    <row r="789" spans="1:17" x14ac:dyDescent="0.3">
      <c r="A789" s="72">
        <v>1000</v>
      </c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>
        <v>-1000</v>
      </c>
      <c r="P789" s="227"/>
      <c r="Q789" s="227">
        <v>-1000</v>
      </c>
    </row>
    <row r="790" spans="1:17" x14ac:dyDescent="0.3">
      <c r="A790" s="72">
        <v>1001</v>
      </c>
      <c r="B790" s="227"/>
      <c r="C790" s="227"/>
      <c r="D790" s="227"/>
      <c r="E790" s="227"/>
      <c r="F790" s="227"/>
      <c r="G790" s="227"/>
      <c r="H790" s="227"/>
      <c r="I790" s="227"/>
      <c r="J790" s="227">
        <v>-20000</v>
      </c>
      <c r="K790" s="227"/>
      <c r="L790" s="227"/>
      <c r="M790" s="227"/>
      <c r="N790" s="227"/>
      <c r="O790" s="227"/>
      <c r="P790" s="227"/>
      <c r="Q790" s="227">
        <v>-20000</v>
      </c>
    </row>
    <row r="791" spans="1:17" x14ac:dyDescent="0.3">
      <c r="A791" s="72">
        <v>1002</v>
      </c>
      <c r="B791" s="227"/>
      <c r="C791" s="227"/>
      <c r="D791" s="227"/>
      <c r="E791" s="227"/>
      <c r="F791" s="227"/>
      <c r="G791" s="227">
        <v>-200</v>
      </c>
      <c r="H791" s="227"/>
      <c r="I791" s="227"/>
      <c r="J791" s="227"/>
      <c r="K791" s="227"/>
      <c r="L791" s="227"/>
      <c r="M791" s="227"/>
      <c r="N791" s="227"/>
      <c r="O791" s="227"/>
      <c r="P791" s="227"/>
      <c r="Q791" s="227">
        <v>-200</v>
      </c>
    </row>
    <row r="792" spans="1:17" x14ac:dyDescent="0.3">
      <c r="A792" s="72">
        <v>1003</v>
      </c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>
        <v>-6000</v>
      </c>
      <c r="N792" s="227"/>
      <c r="O792" s="227"/>
      <c r="P792" s="227"/>
      <c r="Q792" s="227">
        <v>-6000</v>
      </c>
    </row>
    <row r="793" spans="1:17" x14ac:dyDescent="0.3">
      <c r="A793" s="72">
        <v>1004</v>
      </c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>
        <v>-1000</v>
      </c>
      <c r="N793" s="227"/>
      <c r="O793" s="227"/>
      <c r="P793" s="227"/>
      <c r="Q793" s="227">
        <v>-1000</v>
      </c>
    </row>
    <row r="794" spans="1:17" x14ac:dyDescent="0.3">
      <c r="A794" s="72">
        <v>1005</v>
      </c>
      <c r="B794" s="227">
        <v>50000</v>
      </c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>
        <v>50000</v>
      </c>
    </row>
    <row r="795" spans="1:17" x14ac:dyDescent="0.3">
      <c r="A795" s="72">
        <v>1006</v>
      </c>
      <c r="B795" s="227"/>
      <c r="C795" s="227"/>
      <c r="D795" s="227"/>
      <c r="E795" s="227"/>
      <c r="F795" s="227"/>
      <c r="G795" s="227">
        <v>-70</v>
      </c>
      <c r="H795" s="227"/>
      <c r="I795" s="227"/>
      <c r="J795" s="227"/>
      <c r="K795" s="227"/>
      <c r="L795" s="227"/>
      <c r="M795" s="227"/>
      <c r="N795" s="227"/>
      <c r="O795" s="227"/>
      <c r="P795" s="227"/>
      <c r="Q795" s="227">
        <v>-70</v>
      </c>
    </row>
    <row r="796" spans="1:17" x14ac:dyDescent="0.3">
      <c r="A796" s="72">
        <v>1007</v>
      </c>
      <c r="B796" s="227"/>
      <c r="C796" s="227"/>
      <c r="D796" s="227"/>
      <c r="E796" s="227"/>
      <c r="F796" s="227"/>
      <c r="G796" s="227"/>
      <c r="H796" s="227"/>
      <c r="I796" s="227"/>
      <c r="J796" s="227"/>
      <c r="K796" s="227">
        <v>-23000</v>
      </c>
      <c r="L796" s="227"/>
      <c r="M796" s="227"/>
      <c r="N796" s="227"/>
      <c r="O796" s="227"/>
      <c r="P796" s="227"/>
      <c r="Q796" s="227">
        <v>-23000</v>
      </c>
    </row>
    <row r="797" spans="1:17" x14ac:dyDescent="0.3">
      <c r="A797" s="72">
        <v>1008</v>
      </c>
      <c r="B797" s="227">
        <v>30000</v>
      </c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>
        <v>30000</v>
      </c>
    </row>
    <row r="798" spans="1:17" x14ac:dyDescent="0.3">
      <c r="A798" s="72">
        <v>1009</v>
      </c>
      <c r="B798" s="227"/>
      <c r="C798" s="227"/>
      <c r="D798" s="227"/>
      <c r="E798" s="227">
        <v>-30000</v>
      </c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>
        <v>-30000</v>
      </c>
    </row>
    <row r="799" spans="1:17" x14ac:dyDescent="0.3">
      <c r="A799" s="72">
        <v>1010</v>
      </c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>
        <v>-1000</v>
      </c>
      <c r="P799" s="227"/>
      <c r="Q799" s="227">
        <v>-1000</v>
      </c>
    </row>
    <row r="800" spans="1:17" x14ac:dyDescent="0.3">
      <c r="A800" s="72">
        <v>1011</v>
      </c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>
        <v>-14100</v>
      </c>
      <c r="P800" s="227"/>
      <c r="Q800" s="227">
        <v>-14100</v>
      </c>
    </row>
    <row r="801" spans="1:17" x14ac:dyDescent="0.3">
      <c r="A801" s="72">
        <v>1012</v>
      </c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>
        <v>-18150</v>
      </c>
      <c r="P801" s="227"/>
      <c r="Q801" s="227">
        <v>-18150</v>
      </c>
    </row>
    <row r="802" spans="1:17" x14ac:dyDescent="0.3">
      <c r="A802" s="72">
        <v>1013</v>
      </c>
      <c r="B802" s="227">
        <v>100000</v>
      </c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>
        <v>100000</v>
      </c>
    </row>
    <row r="803" spans="1:17" x14ac:dyDescent="0.3">
      <c r="A803" s="72">
        <v>1014</v>
      </c>
      <c r="B803" s="227"/>
      <c r="C803" s="227"/>
      <c r="D803" s="227"/>
      <c r="E803" s="227">
        <v>-80000</v>
      </c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>
        <v>-80000</v>
      </c>
    </row>
    <row r="804" spans="1:17" x14ac:dyDescent="0.3">
      <c r="A804" s="72">
        <v>1015</v>
      </c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>
        <v>-10000</v>
      </c>
      <c r="N804" s="227"/>
      <c r="O804" s="227"/>
      <c r="P804" s="227"/>
      <c r="Q804" s="227">
        <v>-10000</v>
      </c>
    </row>
    <row r="805" spans="1:17" x14ac:dyDescent="0.3">
      <c r="A805" s="72">
        <v>1016</v>
      </c>
      <c r="B805" s="227"/>
      <c r="C805" s="227"/>
      <c r="D805" s="227"/>
      <c r="E805" s="227"/>
      <c r="F805" s="227"/>
      <c r="G805" s="227">
        <v>-750</v>
      </c>
      <c r="H805" s="227"/>
      <c r="I805" s="227"/>
      <c r="J805" s="227"/>
      <c r="K805" s="227"/>
      <c r="L805" s="227"/>
      <c r="M805" s="227"/>
      <c r="N805" s="227"/>
      <c r="O805" s="227"/>
      <c r="P805" s="227"/>
      <c r="Q805" s="227">
        <v>-750</v>
      </c>
    </row>
    <row r="806" spans="1:17" x14ac:dyDescent="0.3">
      <c r="A806" s="72">
        <v>1017</v>
      </c>
      <c r="B806" s="227"/>
      <c r="C806" s="227"/>
      <c r="D806" s="227"/>
      <c r="E806" s="227"/>
      <c r="F806" s="227"/>
      <c r="G806" s="227">
        <v>-2300</v>
      </c>
      <c r="H806" s="227"/>
      <c r="I806" s="227"/>
      <c r="J806" s="227"/>
      <c r="K806" s="227"/>
      <c r="L806" s="227"/>
      <c r="M806" s="227"/>
      <c r="N806" s="227"/>
      <c r="O806" s="227"/>
      <c r="P806" s="227"/>
      <c r="Q806" s="227">
        <v>-2300</v>
      </c>
    </row>
    <row r="807" spans="1:17" x14ac:dyDescent="0.3">
      <c r="A807" s="72">
        <v>1018</v>
      </c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>
        <v>-2000</v>
      </c>
      <c r="P807" s="227"/>
      <c r="Q807" s="227">
        <v>-2000</v>
      </c>
    </row>
    <row r="808" spans="1:17" x14ac:dyDescent="0.3">
      <c r="A808" s="72">
        <v>1019</v>
      </c>
      <c r="B808" s="227"/>
      <c r="C808" s="227"/>
      <c r="D808" s="227"/>
      <c r="E808" s="227"/>
      <c r="F808" s="227"/>
      <c r="G808" s="227">
        <v>-50</v>
      </c>
      <c r="H808" s="227"/>
      <c r="I808" s="227"/>
      <c r="J808" s="227"/>
      <c r="K808" s="227"/>
      <c r="L808" s="227"/>
      <c r="M808" s="227"/>
      <c r="N808" s="227"/>
      <c r="O808" s="227"/>
      <c r="P808" s="227"/>
      <c r="Q808" s="227">
        <v>-50</v>
      </c>
    </row>
    <row r="809" spans="1:17" x14ac:dyDescent="0.3">
      <c r="A809" s="72">
        <v>1020</v>
      </c>
      <c r="B809" s="227">
        <v>100000</v>
      </c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>
        <v>100000</v>
      </c>
    </row>
    <row r="810" spans="1:17" x14ac:dyDescent="0.3">
      <c r="A810" s="72">
        <v>1021</v>
      </c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>
        <v>-500</v>
      </c>
      <c r="N810" s="227"/>
      <c r="O810" s="227"/>
      <c r="P810" s="227"/>
      <c r="Q810" s="227">
        <v>-500</v>
      </c>
    </row>
    <row r="811" spans="1:17" x14ac:dyDescent="0.3">
      <c r="A811" s="72">
        <v>1022</v>
      </c>
      <c r="B811" s="227"/>
      <c r="C811" s="227"/>
      <c r="D811" s="227"/>
      <c r="E811" s="227">
        <v>-30000</v>
      </c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>
        <v>-30000</v>
      </c>
    </row>
    <row r="812" spans="1:17" x14ac:dyDescent="0.3">
      <c r="A812" s="72">
        <v>1023</v>
      </c>
      <c r="B812" s="227"/>
      <c r="C812" s="227"/>
      <c r="D812" s="227"/>
      <c r="E812" s="227"/>
      <c r="F812" s="227"/>
      <c r="G812" s="227"/>
      <c r="H812" s="227"/>
      <c r="I812" s="227"/>
      <c r="J812" s="227">
        <v>-50000</v>
      </c>
      <c r="K812" s="227"/>
      <c r="L812" s="227"/>
      <c r="M812" s="227"/>
      <c r="N812" s="227"/>
      <c r="O812" s="227"/>
      <c r="P812" s="227"/>
      <c r="Q812" s="227">
        <v>-50000</v>
      </c>
    </row>
    <row r="813" spans="1:17" x14ac:dyDescent="0.3">
      <c r="A813" s="72">
        <v>1024</v>
      </c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>
        <v>-1000</v>
      </c>
      <c r="P813" s="227"/>
      <c r="Q813" s="227">
        <v>-1000</v>
      </c>
    </row>
    <row r="814" spans="1:17" x14ac:dyDescent="0.3">
      <c r="A814" s="72">
        <v>1025</v>
      </c>
      <c r="B814" s="227"/>
      <c r="C814" s="227"/>
      <c r="D814" s="227">
        <v>-100000</v>
      </c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>
        <v>-100000</v>
      </c>
    </row>
    <row r="815" spans="1:17" x14ac:dyDescent="0.3">
      <c r="A815" s="72">
        <v>1026</v>
      </c>
      <c r="B815" s="227">
        <v>175000</v>
      </c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>
        <v>175000</v>
      </c>
    </row>
    <row r="816" spans="1:17" x14ac:dyDescent="0.3">
      <c r="A816" s="72">
        <v>1027</v>
      </c>
      <c r="B816" s="227">
        <v>25000</v>
      </c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>
        <v>25000</v>
      </c>
    </row>
    <row r="817" spans="1:17" x14ac:dyDescent="0.3">
      <c r="A817" s="72">
        <v>1028</v>
      </c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>
        <v>-60000</v>
      </c>
      <c r="M817" s="227"/>
      <c r="N817" s="227"/>
      <c r="O817" s="227"/>
      <c r="P817" s="227"/>
      <c r="Q817" s="227">
        <v>-60000</v>
      </c>
    </row>
    <row r="818" spans="1:17" x14ac:dyDescent="0.3">
      <c r="A818" s="72">
        <v>1029</v>
      </c>
      <c r="B818" s="227"/>
      <c r="C818" s="227"/>
      <c r="D818" s="227"/>
      <c r="E818" s="227">
        <v>-50000</v>
      </c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>
        <v>-50000</v>
      </c>
    </row>
    <row r="819" spans="1:17" x14ac:dyDescent="0.3">
      <c r="A819" s="72">
        <v>1030</v>
      </c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>
        <v>-5000</v>
      </c>
      <c r="P819" s="227"/>
      <c r="Q819" s="227">
        <v>-5000</v>
      </c>
    </row>
    <row r="820" spans="1:17" x14ac:dyDescent="0.3">
      <c r="A820" s="72">
        <v>1031</v>
      </c>
      <c r="B820" s="227"/>
      <c r="C820" s="227"/>
      <c r="D820" s="227"/>
      <c r="E820" s="227">
        <v>-40000</v>
      </c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>
        <v>-40000</v>
      </c>
    </row>
    <row r="821" spans="1:17" x14ac:dyDescent="0.3">
      <c r="A821" s="72">
        <v>1032</v>
      </c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>
        <v>-1000</v>
      </c>
      <c r="N821" s="227"/>
      <c r="O821" s="227"/>
      <c r="P821" s="227"/>
      <c r="Q821" s="227">
        <v>-1000</v>
      </c>
    </row>
    <row r="822" spans="1:17" x14ac:dyDescent="0.3">
      <c r="A822" s="72">
        <v>1033</v>
      </c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>
        <v>-500</v>
      </c>
      <c r="P822" s="227"/>
      <c r="Q822" s="227">
        <v>-500</v>
      </c>
    </row>
    <row r="823" spans="1:17" x14ac:dyDescent="0.3">
      <c r="A823" s="72">
        <v>1034</v>
      </c>
      <c r="B823" s="227"/>
      <c r="C823" s="227"/>
      <c r="D823" s="227"/>
      <c r="E823" s="227"/>
      <c r="F823" s="227"/>
      <c r="G823" s="227"/>
      <c r="H823" s="227"/>
      <c r="I823" s="227"/>
      <c r="J823" s="227">
        <v>-45100</v>
      </c>
      <c r="K823" s="227"/>
      <c r="L823" s="227"/>
      <c r="M823" s="227"/>
      <c r="N823" s="227"/>
      <c r="O823" s="227"/>
      <c r="P823" s="227"/>
      <c r="Q823" s="227">
        <v>-45100</v>
      </c>
    </row>
    <row r="824" spans="1:17" x14ac:dyDescent="0.3">
      <c r="A824" s="72">
        <v>1035</v>
      </c>
      <c r="B824" s="227"/>
      <c r="C824" s="227">
        <v>-10200</v>
      </c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>
        <v>-10200</v>
      </c>
    </row>
    <row r="825" spans="1:17" x14ac:dyDescent="0.3">
      <c r="A825" s="72">
        <v>1036</v>
      </c>
      <c r="B825" s="227"/>
      <c r="C825" s="227"/>
      <c r="D825" s="227"/>
      <c r="E825" s="227">
        <v>-20000</v>
      </c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>
        <v>-20000</v>
      </c>
    </row>
    <row r="826" spans="1:17" x14ac:dyDescent="0.3">
      <c r="A826" s="72">
        <v>1037</v>
      </c>
      <c r="B826" s="227"/>
      <c r="C826" s="227"/>
      <c r="D826" s="227"/>
      <c r="E826" s="227">
        <v>-15000</v>
      </c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>
        <v>-15000</v>
      </c>
    </row>
    <row r="827" spans="1:17" x14ac:dyDescent="0.3">
      <c r="A827" s="72">
        <v>1038</v>
      </c>
      <c r="B827" s="227"/>
      <c r="C827" s="227"/>
      <c r="D827" s="227"/>
      <c r="E827" s="227"/>
      <c r="F827" s="227"/>
      <c r="G827" s="227">
        <v>-2442</v>
      </c>
      <c r="H827" s="227"/>
      <c r="I827" s="227"/>
      <c r="J827" s="227"/>
      <c r="K827" s="227"/>
      <c r="L827" s="227"/>
      <c r="M827" s="227"/>
      <c r="N827" s="227"/>
      <c r="O827" s="227"/>
      <c r="P827" s="227"/>
      <c r="Q827" s="227">
        <v>-2442</v>
      </c>
    </row>
    <row r="828" spans="1:17" x14ac:dyDescent="0.3">
      <c r="A828" s="72">
        <v>1039</v>
      </c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>
        <v>-1000</v>
      </c>
      <c r="P828" s="227"/>
      <c r="Q828" s="227">
        <v>-1000</v>
      </c>
    </row>
    <row r="829" spans="1:17" x14ac:dyDescent="0.3">
      <c r="A829" s="72">
        <v>1040</v>
      </c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>
        <v>-1000</v>
      </c>
      <c r="P829" s="227"/>
      <c r="Q829" s="227">
        <v>-1000</v>
      </c>
    </row>
    <row r="830" spans="1:17" x14ac:dyDescent="0.3">
      <c r="A830" s="72">
        <v>1041</v>
      </c>
      <c r="B830" s="227"/>
      <c r="C830" s="227"/>
      <c r="D830" s="227"/>
      <c r="E830" s="227"/>
      <c r="F830" s="227"/>
      <c r="G830" s="227">
        <v>-120</v>
      </c>
      <c r="H830" s="227"/>
      <c r="I830" s="227"/>
      <c r="J830" s="227"/>
      <c r="K830" s="227"/>
      <c r="L830" s="227"/>
      <c r="M830" s="227"/>
      <c r="N830" s="227"/>
      <c r="O830" s="227"/>
      <c r="P830" s="227"/>
      <c r="Q830" s="227">
        <v>-120</v>
      </c>
    </row>
    <row r="831" spans="1:17" x14ac:dyDescent="0.3">
      <c r="A831" s="72">
        <v>1042</v>
      </c>
      <c r="B831" s="227"/>
      <c r="C831" s="227"/>
      <c r="D831" s="227"/>
      <c r="E831" s="227"/>
      <c r="F831" s="227"/>
      <c r="G831" s="227">
        <v>-50</v>
      </c>
      <c r="H831" s="227"/>
      <c r="I831" s="227"/>
      <c r="J831" s="227"/>
      <c r="K831" s="227"/>
      <c r="L831" s="227"/>
      <c r="M831" s="227"/>
      <c r="N831" s="227"/>
      <c r="O831" s="227"/>
      <c r="P831" s="227"/>
      <c r="Q831" s="227">
        <v>-50</v>
      </c>
    </row>
    <row r="832" spans="1:17" x14ac:dyDescent="0.3">
      <c r="A832" s="72">
        <v>1043</v>
      </c>
      <c r="B832" s="227"/>
      <c r="C832" s="227"/>
      <c r="D832" s="227"/>
      <c r="E832" s="227"/>
      <c r="F832" s="227"/>
      <c r="G832" s="227"/>
      <c r="H832" s="227"/>
      <c r="I832" s="227">
        <v>-500</v>
      </c>
      <c r="J832" s="227"/>
      <c r="K832" s="227"/>
      <c r="L832" s="227"/>
      <c r="M832" s="227"/>
      <c r="N832" s="227"/>
      <c r="O832" s="227"/>
      <c r="P832" s="227"/>
      <c r="Q832" s="227">
        <v>-500</v>
      </c>
    </row>
    <row r="833" spans="1:17" x14ac:dyDescent="0.3">
      <c r="A833" s="72">
        <v>1044</v>
      </c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>
        <v>-1000</v>
      </c>
      <c r="P833" s="227"/>
      <c r="Q833" s="227">
        <v>-1000</v>
      </c>
    </row>
    <row r="834" spans="1:17" x14ac:dyDescent="0.3">
      <c r="A834" s="72">
        <v>1045</v>
      </c>
      <c r="B834" s="227"/>
      <c r="C834" s="227"/>
      <c r="D834" s="227"/>
      <c r="E834" s="227"/>
      <c r="F834" s="227"/>
      <c r="G834" s="227">
        <v>-560</v>
      </c>
      <c r="H834" s="227"/>
      <c r="I834" s="227"/>
      <c r="J834" s="227"/>
      <c r="K834" s="227"/>
      <c r="L834" s="227"/>
      <c r="M834" s="227"/>
      <c r="N834" s="227"/>
      <c r="O834" s="227"/>
      <c r="P834" s="227"/>
      <c r="Q834" s="227">
        <v>-560</v>
      </c>
    </row>
    <row r="835" spans="1:17" x14ac:dyDescent="0.3">
      <c r="A835" s="72">
        <v>1046</v>
      </c>
      <c r="B835" s="227"/>
      <c r="C835" s="227"/>
      <c r="D835" s="227"/>
      <c r="E835" s="227"/>
      <c r="F835" s="227"/>
      <c r="G835" s="227"/>
      <c r="H835" s="227"/>
      <c r="I835" s="227">
        <v>-500</v>
      </c>
      <c r="J835" s="227"/>
      <c r="K835" s="227"/>
      <c r="L835" s="227"/>
      <c r="M835" s="227"/>
      <c r="N835" s="227"/>
      <c r="O835" s="227"/>
      <c r="P835" s="227"/>
      <c r="Q835" s="227">
        <v>-500</v>
      </c>
    </row>
    <row r="836" spans="1:17" x14ac:dyDescent="0.3">
      <c r="A836" s="72">
        <v>1047</v>
      </c>
      <c r="B836" s="227"/>
      <c r="C836" s="227"/>
      <c r="D836" s="227"/>
      <c r="E836" s="227"/>
      <c r="F836" s="227"/>
      <c r="G836" s="227">
        <v>-90</v>
      </c>
      <c r="H836" s="227"/>
      <c r="I836" s="227"/>
      <c r="J836" s="227"/>
      <c r="K836" s="227"/>
      <c r="L836" s="227"/>
      <c r="M836" s="227"/>
      <c r="N836" s="227"/>
      <c r="O836" s="227"/>
      <c r="P836" s="227"/>
      <c r="Q836" s="227">
        <v>-90</v>
      </c>
    </row>
    <row r="837" spans="1:17" x14ac:dyDescent="0.3">
      <c r="A837" s="72">
        <v>1048</v>
      </c>
      <c r="B837" s="227"/>
      <c r="C837" s="227"/>
      <c r="D837" s="227"/>
      <c r="E837" s="227"/>
      <c r="F837" s="227"/>
      <c r="G837" s="227">
        <v>-60</v>
      </c>
      <c r="H837" s="227"/>
      <c r="I837" s="227"/>
      <c r="J837" s="227"/>
      <c r="K837" s="227"/>
      <c r="L837" s="227"/>
      <c r="M837" s="227"/>
      <c r="N837" s="227"/>
      <c r="O837" s="227"/>
      <c r="P837" s="227"/>
      <c r="Q837" s="227">
        <v>-60</v>
      </c>
    </row>
    <row r="838" spans="1:17" x14ac:dyDescent="0.3">
      <c r="A838" s="72">
        <v>1049</v>
      </c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>
        <v>-1000</v>
      </c>
      <c r="P838" s="227"/>
      <c r="Q838" s="227">
        <v>-1000</v>
      </c>
    </row>
    <row r="839" spans="1:17" x14ac:dyDescent="0.3">
      <c r="A839" s="72">
        <v>1050</v>
      </c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>
        <v>-1000</v>
      </c>
      <c r="P839" s="227"/>
      <c r="Q839" s="227">
        <v>-1000</v>
      </c>
    </row>
    <row r="840" spans="1:17" x14ac:dyDescent="0.3">
      <c r="A840" s="72">
        <v>1051</v>
      </c>
      <c r="B840" s="227"/>
      <c r="C840" s="227"/>
      <c r="D840" s="227"/>
      <c r="E840" s="227"/>
      <c r="F840" s="227"/>
      <c r="G840" s="227"/>
      <c r="H840" s="227"/>
      <c r="I840" s="227">
        <v>-1000</v>
      </c>
      <c r="J840" s="227"/>
      <c r="K840" s="227"/>
      <c r="L840" s="227"/>
      <c r="M840" s="227"/>
      <c r="N840" s="227"/>
      <c r="O840" s="227"/>
      <c r="P840" s="227"/>
      <c r="Q840" s="227">
        <v>-1000</v>
      </c>
    </row>
    <row r="841" spans="1:17" x14ac:dyDescent="0.3">
      <c r="A841" s="72">
        <v>1052</v>
      </c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>
        <v>-1000</v>
      </c>
      <c r="P841" s="227"/>
      <c r="Q841" s="227">
        <v>-1000</v>
      </c>
    </row>
    <row r="842" spans="1:17" x14ac:dyDescent="0.3">
      <c r="A842" s="72">
        <v>1053</v>
      </c>
      <c r="B842" s="227"/>
      <c r="C842" s="227"/>
      <c r="D842" s="227"/>
      <c r="E842" s="227"/>
      <c r="F842" s="227"/>
      <c r="G842" s="227">
        <v>-80</v>
      </c>
      <c r="H842" s="227"/>
      <c r="I842" s="227"/>
      <c r="J842" s="227"/>
      <c r="K842" s="227"/>
      <c r="L842" s="227"/>
      <c r="M842" s="227"/>
      <c r="N842" s="227"/>
      <c r="O842" s="227"/>
      <c r="P842" s="227"/>
      <c r="Q842" s="227">
        <v>-80</v>
      </c>
    </row>
    <row r="843" spans="1:17" x14ac:dyDescent="0.3">
      <c r="A843" s="72">
        <v>1054</v>
      </c>
      <c r="B843" s="227"/>
      <c r="C843" s="227"/>
      <c r="D843" s="227"/>
      <c r="E843" s="227"/>
      <c r="F843" s="227"/>
      <c r="G843" s="227">
        <v>-300</v>
      </c>
      <c r="H843" s="227"/>
      <c r="I843" s="227"/>
      <c r="J843" s="227"/>
      <c r="K843" s="227"/>
      <c r="L843" s="227"/>
      <c r="M843" s="227"/>
      <c r="N843" s="227"/>
      <c r="O843" s="227"/>
      <c r="P843" s="227"/>
      <c r="Q843" s="227">
        <v>-300</v>
      </c>
    </row>
    <row r="844" spans="1:17" x14ac:dyDescent="0.3">
      <c r="A844" s="72">
        <v>1055</v>
      </c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>
        <v>-2000</v>
      </c>
      <c r="P844" s="227"/>
      <c r="Q844" s="227">
        <v>-2000</v>
      </c>
    </row>
    <row r="845" spans="1:17" x14ac:dyDescent="0.3">
      <c r="A845" s="72">
        <v>1056</v>
      </c>
      <c r="B845" s="227">
        <v>100000</v>
      </c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>
        <v>100000</v>
      </c>
    </row>
    <row r="846" spans="1:17" x14ac:dyDescent="0.3">
      <c r="A846" s="72">
        <v>1057</v>
      </c>
      <c r="B846" s="227">
        <v>360000</v>
      </c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>
        <v>360000</v>
      </c>
    </row>
    <row r="847" spans="1:17" x14ac:dyDescent="0.3">
      <c r="A847" s="72">
        <v>1058</v>
      </c>
      <c r="B847" s="227"/>
      <c r="C847" s="227"/>
      <c r="D847" s="227"/>
      <c r="E847" s="227">
        <v>-20000</v>
      </c>
      <c r="F847" s="227"/>
      <c r="G847" s="227"/>
      <c r="H847" s="227"/>
      <c r="I847" s="227"/>
      <c r="J847" s="227">
        <v>-25000</v>
      </c>
      <c r="K847" s="227"/>
      <c r="L847" s="227"/>
      <c r="M847" s="227"/>
      <c r="N847" s="227"/>
      <c r="O847" s="227"/>
      <c r="P847" s="227"/>
      <c r="Q847" s="227">
        <v>-45000</v>
      </c>
    </row>
    <row r="848" spans="1:17" x14ac:dyDescent="0.3">
      <c r="A848" s="72">
        <v>1059</v>
      </c>
      <c r="B848" s="227"/>
      <c r="C848" s="227"/>
      <c r="D848" s="227"/>
      <c r="E848" s="227"/>
      <c r="F848" s="227"/>
      <c r="G848" s="227"/>
      <c r="H848" s="227"/>
      <c r="I848" s="227">
        <v>-3000</v>
      </c>
      <c r="J848" s="227"/>
      <c r="K848" s="227"/>
      <c r="L848" s="227"/>
      <c r="M848" s="227"/>
      <c r="N848" s="227"/>
      <c r="O848" s="227"/>
      <c r="P848" s="227"/>
      <c r="Q848" s="227">
        <v>-3000</v>
      </c>
    </row>
    <row r="849" spans="1:17" x14ac:dyDescent="0.3">
      <c r="A849" s="72">
        <v>1060</v>
      </c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>
        <v>-2000</v>
      </c>
      <c r="P849" s="227"/>
      <c r="Q849" s="227">
        <v>-2000</v>
      </c>
    </row>
    <row r="850" spans="1:17" x14ac:dyDescent="0.3">
      <c r="A850" s="72">
        <v>1061</v>
      </c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>
        <v>-3000</v>
      </c>
      <c r="P850" s="227"/>
      <c r="Q850" s="227">
        <v>-3000</v>
      </c>
    </row>
    <row r="851" spans="1:17" x14ac:dyDescent="0.3">
      <c r="A851" s="72">
        <v>1062</v>
      </c>
      <c r="B851" s="227"/>
      <c r="C851" s="227"/>
      <c r="D851" s="227"/>
      <c r="E851" s="227">
        <v>-40000</v>
      </c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>
        <v>-40000</v>
      </c>
    </row>
    <row r="852" spans="1:17" x14ac:dyDescent="0.3">
      <c r="A852" s="72">
        <v>1063</v>
      </c>
      <c r="B852" s="227">
        <v>100000</v>
      </c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>
        <v>100000</v>
      </c>
    </row>
    <row r="853" spans="1:17" x14ac:dyDescent="0.3">
      <c r="A853" s="72">
        <v>1064</v>
      </c>
      <c r="B853" s="227"/>
      <c r="C853" s="227"/>
      <c r="D853" s="227"/>
      <c r="E853" s="227"/>
      <c r="F853" s="227"/>
      <c r="G853" s="227"/>
      <c r="H853" s="227"/>
      <c r="I853" s="227">
        <v>-50000</v>
      </c>
      <c r="J853" s="227"/>
      <c r="K853" s="227"/>
      <c r="L853" s="227"/>
      <c r="M853" s="227"/>
      <c r="N853" s="227"/>
      <c r="O853" s="227"/>
      <c r="P853" s="227"/>
      <c r="Q853" s="227">
        <v>-50000</v>
      </c>
    </row>
    <row r="854" spans="1:17" x14ac:dyDescent="0.3">
      <c r="A854" s="72">
        <v>1065</v>
      </c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>
        <v>-2000</v>
      </c>
      <c r="P854" s="227"/>
      <c r="Q854" s="227">
        <v>-2000</v>
      </c>
    </row>
    <row r="855" spans="1:17" x14ac:dyDescent="0.3">
      <c r="A855" s="72">
        <v>1066</v>
      </c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>
        <v>-1000</v>
      </c>
      <c r="N855" s="227"/>
      <c r="O855" s="227"/>
      <c r="P855" s="227"/>
      <c r="Q855" s="227">
        <v>-1000</v>
      </c>
    </row>
    <row r="856" spans="1:17" x14ac:dyDescent="0.3">
      <c r="A856" s="72">
        <v>1067</v>
      </c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>
        <v>-1500</v>
      </c>
      <c r="P856" s="227"/>
      <c r="Q856" s="227">
        <v>-1500</v>
      </c>
    </row>
    <row r="857" spans="1:17" x14ac:dyDescent="0.3">
      <c r="A857" s="72">
        <v>1068</v>
      </c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>
        <v>-17450</v>
      </c>
      <c r="P857" s="227"/>
      <c r="Q857" s="227">
        <v>-17450</v>
      </c>
    </row>
    <row r="858" spans="1:17" x14ac:dyDescent="0.3">
      <c r="A858" s="72">
        <v>1069</v>
      </c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>
        <v>-3500</v>
      </c>
      <c r="P858" s="227"/>
      <c r="Q858" s="227">
        <v>-3500</v>
      </c>
    </row>
    <row r="859" spans="1:17" x14ac:dyDescent="0.3">
      <c r="A859" s="72">
        <v>1070</v>
      </c>
      <c r="B859" s="227"/>
      <c r="C859" s="227"/>
      <c r="D859" s="227"/>
      <c r="E859" s="227">
        <v>-10000</v>
      </c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>
        <v>-10000</v>
      </c>
    </row>
    <row r="860" spans="1:17" x14ac:dyDescent="0.3">
      <c r="A860" s="72">
        <v>1071</v>
      </c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>
        <v>-15050</v>
      </c>
      <c r="P860" s="227"/>
      <c r="Q860" s="227">
        <v>-15050</v>
      </c>
    </row>
    <row r="861" spans="1:17" x14ac:dyDescent="0.3">
      <c r="A861" s="72">
        <v>1072</v>
      </c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>
        <v>-500</v>
      </c>
      <c r="N861" s="227"/>
      <c r="O861" s="227"/>
      <c r="P861" s="227"/>
      <c r="Q861" s="227">
        <v>-500</v>
      </c>
    </row>
    <row r="862" spans="1:17" x14ac:dyDescent="0.3">
      <c r="A862" s="72">
        <v>1073</v>
      </c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>
        <v>-1500</v>
      </c>
      <c r="P862" s="227"/>
      <c r="Q862" s="227">
        <v>-1500</v>
      </c>
    </row>
    <row r="863" spans="1:17" x14ac:dyDescent="0.3">
      <c r="A863" s="72">
        <v>1074</v>
      </c>
      <c r="B863" s="227"/>
      <c r="C863" s="227"/>
      <c r="D863" s="227"/>
      <c r="E863" s="227"/>
      <c r="F863" s="227"/>
      <c r="G863" s="227">
        <v>-90</v>
      </c>
      <c r="H863" s="227"/>
      <c r="I863" s="227"/>
      <c r="J863" s="227"/>
      <c r="K863" s="227"/>
      <c r="L863" s="227"/>
      <c r="M863" s="227"/>
      <c r="N863" s="227"/>
      <c r="O863" s="227"/>
      <c r="P863" s="227"/>
      <c r="Q863" s="227">
        <v>-90</v>
      </c>
    </row>
    <row r="864" spans="1:17" x14ac:dyDescent="0.3">
      <c r="A864" s="72">
        <v>1075</v>
      </c>
      <c r="B864" s="227">
        <v>250000</v>
      </c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>
        <v>250000</v>
      </c>
    </row>
    <row r="865" spans="1:17" x14ac:dyDescent="0.3">
      <c r="A865" s="72">
        <v>1076</v>
      </c>
      <c r="B865" s="227"/>
      <c r="C865" s="227"/>
      <c r="D865" s="227"/>
      <c r="E865" s="227">
        <v>-130000</v>
      </c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>
        <v>-130000</v>
      </c>
    </row>
    <row r="866" spans="1:17" x14ac:dyDescent="0.3">
      <c r="A866" s="72">
        <v>1077</v>
      </c>
      <c r="B866" s="227"/>
      <c r="C866" s="227"/>
      <c r="D866" s="227"/>
      <c r="E866" s="227"/>
      <c r="F866" s="227"/>
      <c r="G866" s="227"/>
      <c r="H866" s="227"/>
      <c r="I866" s="227"/>
      <c r="J866" s="227">
        <v>-60000</v>
      </c>
      <c r="K866" s="227"/>
      <c r="L866" s="227"/>
      <c r="M866" s="227"/>
      <c r="N866" s="227"/>
      <c r="O866" s="227"/>
      <c r="P866" s="227"/>
      <c r="Q866" s="227">
        <v>-60000</v>
      </c>
    </row>
    <row r="867" spans="1:17" x14ac:dyDescent="0.3">
      <c r="A867" s="72">
        <v>1078</v>
      </c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>
        <v>-1000</v>
      </c>
      <c r="P867" s="227"/>
      <c r="Q867" s="227">
        <v>-1000</v>
      </c>
    </row>
    <row r="868" spans="1:17" x14ac:dyDescent="0.3">
      <c r="A868" s="72">
        <v>1079</v>
      </c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>
        <v>-3000</v>
      </c>
      <c r="P868" s="227"/>
      <c r="Q868" s="227">
        <v>-3000</v>
      </c>
    </row>
    <row r="869" spans="1:17" x14ac:dyDescent="0.3">
      <c r="A869" s="72">
        <v>1080</v>
      </c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>
        <v>-60000</v>
      </c>
      <c r="M869" s="227"/>
      <c r="N869" s="227"/>
      <c r="O869" s="227"/>
      <c r="P869" s="227"/>
      <c r="Q869" s="227">
        <v>-60000</v>
      </c>
    </row>
    <row r="870" spans="1:17" x14ac:dyDescent="0.3">
      <c r="A870" s="72">
        <v>1081</v>
      </c>
      <c r="B870" s="227"/>
      <c r="C870" s="227"/>
      <c r="D870" s="227"/>
      <c r="E870" s="227"/>
      <c r="F870" s="227"/>
      <c r="G870" s="227">
        <v>-500</v>
      </c>
      <c r="H870" s="227"/>
      <c r="I870" s="227"/>
      <c r="J870" s="227"/>
      <c r="K870" s="227"/>
      <c r="L870" s="227"/>
      <c r="M870" s="227"/>
      <c r="N870" s="227"/>
      <c r="O870" s="227"/>
      <c r="P870" s="227"/>
      <c r="Q870" s="227">
        <v>-500</v>
      </c>
    </row>
    <row r="871" spans="1:17" x14ac:dyDescent="0.3">
      <c r="A871" s="72">
        <v>1082</v>
      </c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>
        <v>-2000</v>
      </c>
      <c r="P871" s="227"/>
      <c r="Q871" s="227">
        <v>-2000</v>
      </c>
    </row>
    <row r="872" spans="1:17" x14ac:dyDescent="0.3">
      <c r="A872" s="72">
        <v>1083</v>
      </c>
      <c r="B872" s="227"/>
      <c r="C872" s="227"/>
      <c r="D872" s="227"/>
      <c r="E872" s="227"/>
      <c r="F872" s="227"/>
      <c r="G872" s="227">
        <v>-50</v>
      </c>
      <c r="H872" s="227"/>
      <c r="I872" s="227"/>
      <c r="J872" s="227"/>
      <c r="K872" s="227"/>
      <c r="L872" s="227"/>
      <c r="M872" s="227"/>
      <c r="N872" s="227"/>
      <c r="O872" s="227"/>
      <c r="P872" s="227"/>
      <c r="Q872" s="227">
        <v>-50</v>
      </c>
    </row>
    <row r="873" spans="1:17" x14ac:dyDescent="0.3">
      <c r="A873" s="72">
        <v>1084</v>
      </c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>
        <v>-1000</v>
      </c>
      <c r="P873" s="227"/>
      <c r="Q873" s="227">
        <v>-1000</v>
      </c>
    </row>
    <row r="874" spans="1:17" x14ac:dyDescent="0.3">
      <c r="A874" s="72">
        <v>1085</v>
      </c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>
        <v>-9500</v>
      </c>
      <c r="P874" s="227"/>
      <c r="Q874" s="227">
        <v>-9500</v>
      </c>
    </row>
    <row r="875" spans="1:17" x14ac:dyDescent="0.3">
      <c r="A875" s="72">
        <v>1086</v>
      </c>
      <c r="B875" s="227"/>
      <c r="C875" s="227"/>
      <c r="D875" s="227"/>
      <c r="E875" s="227">
        <v>-10000</v>
      </c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>
        <v>-10000</v>
      </c>
    </row>
    <row r="876" spans="1:17" x14ac:dyDescent="0.3">
      <c r="A876" s="72">
        <v>1087</v>
      </c>
      <c r="B876" s="227"/>
      <c r="C876" s="227"/>
      <c r="D876" s="227"/>
      <c r="E876" s="227"/>
      <c r="F876" s="227">
        <v>-20000</v>
      </c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>
        <v>-20000</v>
      </c>
    </row>
    <row r="877" spans="1:17" x14ac:dyDescent="0.3">
      <c r="A877" s="72">
        <v>1088</v>
      </c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>
        <v>-1000</v>
      </c>
      <c r="P877" s="227"/>
      <c r="Q877" s="227">
        <v>-1000</v>
      </c>
    </row>
    <row r="878" spans="1:17" x14ac:dyDescent="0.3">
      <c r="A878" s="72">
        <v>1089</v>
      </c>
      <c r="B878" s="227"/>
      <c r="C878" s="227">
        <v>-700</v>
      </c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>
        <v>-700</v>
      </c>
    </row>
    <row r="879" spans="1:17" x14ac:dyDescent="0.3">
      <c r="A879" s="72">
        <v>1090</v>
      </c>
      <c r="B879" s="227"/>
      <c r="C879" s="227"/>
      <c r="D879" s="227"/>
      <c r="E879" s="227"/>
      <c r="F879" s="227"/>
      <c r="G879" s="227"/>
      <c r="H879" s="227"/>
      <c r="I879" s="227">
        <v>-30000</v>
      </c>
      <c r="J879" s="227"/>
      <c r="K879" s="227"/>
      <c r="L879" s="227"/>
      <c r="M879" s="227"/>
      <c r="N879" s="227"/>
      <c r="O879" s="227"/>
      <c r="P879" s="227"/>
      <c r="Q879" s="227">
        <v>-30000</v>
      </c>
    </row>
    <row r="880" spans="1:17" x14ac:dyDescent="0.3">
      <c r="A880" s="72">
        <v>1091</v>
      </c>
      <c r="B880" s="227">
        <v>100000</v>
      </c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>
        <v>100000</v>
      </c>
    </row>
    <row r="881" spans="1:17" x14ac:dyDescent="0.3">
      <c r="A881" s="72">
        <v>1092</v>
      </c>
      <c r="B881" s="227"/>
      <c r="C881" s="227"/>
      <c r="D881" s="227"/>
      <c r="E881" s="227">
        <v>-2000</v>
      </c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>
        <v>-2000</v>
      </c>
    </row>
    <row r="882" spans="1:17" x14ac:dyDescent="0.3">
      <c r="A882" s="72">
        <v>1093</v>
      </c>
      <c r="B882" s="227"/>
      <c r="C882" s="227"/>
      <c r="D882" s="227"/>
      <c r="E882" s="227"/>
      <c r="F882" s="227"/>
      <c r="G882" s="227">
        <v>-90</v>
      </c>
      <c r="H882" s="227"/>
      <c r="I882" s="227"/>
      <c r="J882" s="227"/>
      <c r="K882" s="227"/>
      <c r="L882" s="227"/>
      <c r="M882" s="227"/>
      <c r="N882" s="227"/>
      <c r="O882" s="227"/>
      <c r="P882" s="227"/>
      <c r="Q882" s="227">
        <v>-90</v>
      </c>
    </row>
    <row r="883" spans="1:17" x14ac:dyDescent="0.3">
      <c r="A883" s="72">
        <v>1094</v>
      </c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>
        <v>-1000</v>
      </c>
      <c r="P883" s="227"/>
      <c r="Q883" s="227">
        <v>-1000</v>
      </c>
    </row>
    <row r="884" spans="1:17" x14ac:dyDescent="0.3">
      <c r="A884" s="72">
        <v>1095</v>
      </c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>
        <v>-1000</v>
      </c>
      <c r="P884" s="227"/>
      <c r="Q884" s="227">
        <v>-1000</v>
      </c>
    </row>
    <row r="885" spans="1:17" x14ac:dyDescent="0.3">
      <c r="A885" s="72">
        <v>1096</v>
      </c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>
        <v>-1000</v>
      </c>
      <c r="P885" s="227"/>
      <c r="Q885" s="227">
        <v>-1000</v>
      </c>
    </row>
    <row r="886" spans="1:17" x14ac:dyDescent="0.3">
      <c r="A886" s="72">
        <v>1097</v>
      </c>
      <c r="B886" s="227"/>
      <c r="C886" s="227"/>
      <c r="D886" s="227"/>
      <c r="E886" s="227"/>
      <c r="F886" s="227"/>
      <c r="G886" s="227"/>
      <c r="H886" s="227"/>
      <c r="I886" s="227"/>
      <c r="J886" s="227">
        <v>-50000</v>
      </c>
      <c r="K886" s="227"/>
      <c r="L886" s="227"/>
      <c r="M886" s="227"/>
      <c r="N886" s="227"/>
      <c r="O886" s="227"/>
      <c r="P886" s="227"/>
      <c r="Q886" s="227">
        <v>-50000</v>
      </c>
    </row>
    <row r="887" spans="1:17" x14ac:dyDescent="0.3">
      <c r="A887" s="72">
        <v>1098</v>
      </c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>
        <v>-1000</v>
      </c>
      <c r="P887" s="227"/>
      <c r="Q887" s="227">
        <v>-1000</v>
      </c>
    </row>
    <row r="888" spans="1:17" x14ac:dyDescent="0.3">
      <c r="A888" s="72">
        <v>1099</v>
      </c>
      <c r="B888" s="227"/>
      <c r="C888" s="227"/>
      <c r="D888" s="227"/>
      <c r="E888" s="227"/>
      <c r="F888" s="227"/>
      <c r="G888" s="227"/>
      <c r="H888" s="227"/>
      <c r="I888" s="227">
        <v>-2000</v>
      </c>
      <c r="J888" s="227"/>
      <c r="K888" s="227"/>
      <c r="L888" s="227"/>
      <c r="M888" s="227"/>
      <c r="N888" s="227"/>
      <c r="O888" s="227"/>
      <c r="P888" s="227"/>
      <c r="Q888" s="227">
        <v>-2000</v>
      </c>
    </row>
    <row r="889" spans="1:17" x14ac:dyDescent="0.3">
      <c r="A889" s="72">
        <v>1100</v>
      </c>
      <c r="B889" s="227"/>
      <c r="C889" s="227"/>
      <c r="D889" s="227"/>
      <c r="E889" s="227"/>
      <c r="F889" s="227"/>
      <c r="G889" s="227">
        <v>-90</v>
      </c>
      <c r="H889" s="227"/>
      <c r="I889" s="227"/>
      <c r="J889" s="227"/>
      <c r="K889" s="227"/>
      <c r="L889" s="227"/>
      <c r="M889" s="227"/>
      <c r="N889" s="227"/>
      <c r="O889" s="227"/>
      <c r="P889" s="227"/>
      <c r="Q889" s="227">
        <v>-90</v>
      </c>
    </row>
    <row r="890" spans="1:17" x14ac:dyDescent="0.3">
      <c r="A890" s="72">
        <v>1101</v>
      </c>
      <c r="B890" s="227">
        <v>50000</v>
      </c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>
        <v>50000</v>
      </c>
    </row>
    <row r="891" spans="1:17" x14ac:dyDescent="0.3">
      <c r="A891" s="72">
        <v>1102</v>
      </c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>
        <v>-1000</v>
      </c>
      <c r="P891" s="227"/>
      <c r="Q891" s="227">
        <v>-1000</v>
      </c>
    </row>
    <row r="892" spans="1:17" x14ac:dyDescent="0.3">
      <c r="A892" s="72">
        <v>1103</v>
      </c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>
        <v>-1000</v>
      </c>
      <c r="P892" s="227"/>
      <c r="Q892" s="227">
        <v>-1000</v>
      </c>
    </row>
    <row r="893" spans="1:17" x14ac:dyDescent="0.3">
      <c r="A893" s="72">
        <v>1104</v>
      </c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>
        <v>-5000</v>
      </c>
      <c r="P893" s="227"/>
      <c r="Q893" s="227">
        <v>-5000</v>
      </c>
    </row>
    <row r="894" spans="1:17" x14ac:dyDescent="0.3">
      <c r="A894" s="72">
        <v>1105</v>
      </c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>
        <v>-2000</v>
      </c>
      <c r="P894" s="227"/>
      <c r="Q894" s="227">
        <v>-2000</v>
      </c>
    </row>
    <row r="895" spans="1:17" x14ac:dyDescent="0.3">
      <c r="A895" s="72">
        <v>1106</v>
      </c>
      <c r="B895" s="227"/>
      <c r="C895" s="227"/>
      <c r="D895" s="227"/>
      <c r="E895" s="227"/>
      <c r="F895" s="227"/>
      <c r="G895" s="227">
        <v>-90</v>
      </c>
      <c r="H895" s="227"/>
      <c r="I895" s="227"/>
      <c r="J895" s="227"/>
      <c r="K895" s="227"/>
      <c r="L895" s="227"/>
      <c r="M895" s="227"/>
      <c r="N895" s="227"/>
      <c r="O895" s="227"/>
      <c r="P895" s="227"/>
      <c r="Q895" s="227">
        <v>-90</v>
      </c>
    </row>
    <row r="896" spans="1:17" x14ac:dyDescent="0.3">
      <c r="A896" s="72">
        <v>1107</v>
      </c>
      <c r="B896" s="227"/>
      <c r="C896" s="227"/>
      <c r="D896" s="227"/>
      <c r="E896" s="227"/>
      <c r="F896" s="227"/>
      <c r="G896" s="227">
        <v>-350</v>
      </c>
      <c r="H896" s="227"/>
      <c r="I896" s="227"/>
      <c r="J896" s="227"/>
      <c r="K896" s="227"/>
      <c r="L896" s="227"/>
      <c r="M896" s="227"/>
      <c r="N896" s="227"/>
      <c r="O896" s="227"/>
      <c r="P896" s="227"/>
      <c r="Q896" s="227">
        <v>-350</v>
      </c>
    </row>
    <row r="897" spans="1:17" x14ac:dyDescent="0.3">
      <c r="A897" s="72">
        <v>1108</v>
      </c>
      <c r="B897" s="227"/>
      <c r="C897" s="227"/>
      <c r="D897" s="227"/>
      <c r="E897" s="227">
        <v>-2000</v>
      </c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>
        <v>-2000</v>
      </c>
    </row>
    <row r="898" spans="1:17" x14ac:dyDescent="0.3">
      <c r="A898" s="72">
        <v>1109</v>
      </c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>
        <v>-5000</v>
      </c>
      <c r="P898" s="227"/>
      <c r="Q898" s="227">
        <v>-5000</v>
      </c>
    </row>
    <row r="899" spans="1:17" x14ac:dyDescent="0.3">
      <c r="A899" s="72">
        <v>1110</v>
      </c>
      <c r="B899" s="227"/>
      <c r="C899" s="227"/>
      <c r="D899" s="227"/>
      <c r="E899" s="227"/>
      <c r="F899" s="227"/>
      <c r="G899" s="227">
        <v>-120</v>
      </c>
      <c r="H899" s="227"/>
      <c r="I899" s="227"/>
      <c r="J899" s="227"/>
      <c r="K899" s="227"/>
      <c r="L899" s="227"/>
      <c r="M899" s="227"/>
      <c r="N899" s="227"/>
      <c r="O899" s="227"/>
      <c r="P899" s="227"/>
      <c r="Q899" s="227">
        <v>-120</v>
      </c>
    </row>
    <row r="900" spans="1:17" x14ac:dyDescent="0.3">
      <c r="A900" s="72">
        <v>1111</v>
      </c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>
        <v>-1000</v>
      </c>
      <c r="P900" s="227"/>
      <c r="Q900" s="227">
        <v>-1000</v>
      </c>
    </row>
    <row r="901" spans="1:17" x14ac:dyDescent="0.3">
      <c r="A901" s="72">
        <v>1112</v>
      </c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>
        <v>-2000</v>
      </c>
      <c r="P901" s="227"/>
      <c r="Q901" s="227">
        <v>-2000</v>
      </c>
    </row>
    <row r="902" spans="1:17" x14ac:dyDescent="0.3">
      <c r="A902" s="72">
        <v>1113</v>
      </c>
      <c r="B902" s="227"/>
      <c r="C902" s="227"/>
      <c r="D902" s="227">
        <v>-20000</v>
      </c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>
        <v>-20000</v>
      </c>
    </row>
    <row r="903" spans="1:17" x14ac:dyDescent="0.3">
      <c r="A903" s="72">
        <v>1114</v>
      </c>
      <c r="B903" s="227"/>
      <c r="C903" s="227"/>
      <c r="D903" s="227"/>
      <c r="E903" s="227"/>
      <c r="F903" s="227"/>
      <c r="G903" s="227">
        <v>-150</v>
      </c>
      <c r="H903" s="227"/>
      <c r="I903" s="227"/>
      <c r="J903" s="227"/>
      <c r="K903" s="227"/>
      <c r="L903" s="227"/>
      <c r="M903" s="227"/>
      <c r="N903" s="227"/>
      <c r="O903" s="227"/>
      <c r="P903" s="227"/>
      <c r="Q903" s="227">
        <v>-150</v>
      </c>
    </row>
    <row r="904" spans="1:17" x14ac:dyDescent="0.3">
      <c r="A904" s="72">
        <v>1115</v>
      </c>
      <c r="B904" s="227"/>
      <c r="C904" s="227">
        <v>-3420</v>
      </c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>
        <v>-3420</v>
      </c>
    </row>
    <row r="905" spans="1:17" x14ac:dyDescent="0.3">
      <c r="A905" s="72">
        <v>1116</v>
      </c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>
        <v>-3000</v>
      </c>
      <c r="P905" s="227"/>
      <c r="Q905" s="227">
        <v>-3000</v>
      </c>
    </row>
    <row r="906" spans="1:17" x14ac:dyDescent="0.3">
      <c r="A906" s="72">
        <v>1117</v>
      </c>
      <c r="B906" s="227"/>
      <c r="C906" s="227"/>
      <c r="D906" s="227"/>
      <c r="E906" s="227"/>
      <c r="F906" s="227"/>
      <c r="G906" s="227">
        <v>-150</v>
      </c>
      <c r="H906" s="227"/>
      <c r="I906" s="227"/>
      <c r="J906" s="227"/>
      <c r="K906" s="227"/>
      <c r="L906" s="227"/>
      <c r="M906" s="227"/>
      <c r="N906" s="227"/>
      <c r="O906" s="227"/>
      <c r="P906" s="227"/>
      <c r="Q906" s="227">
        <v>-150</v>
      </c>
    </row>
    <row r="907" spans="1:17" x14ac:dyDescent="0.3">
      <c r="A907" s="72">
        <v>1118</v>
      </c>
      <c r="B907" s="227"/>
      <c r="C907" s="227"/>
      <c r="D907" s="227"/>
      <c r="E907" s="227"/>
      <c r="F907" s="227"/>
      <c r="G907" s="227"/>
      <c r="H907" s="227"/>
      <c r="I907" s="227">
        <v>-15000</v>
      </c>
      <c r="J907" s="227"/>
      <c r="K907" s="227"/>
      <c r="L907" s="227"/>
      <c r="M907" s="227"/>
      <c r="N907" s="227"/>
      <c r="O907" s="227"/>
      <c r="P907" s="227"/>
      <c r="Q907" s="227">
        <v>-15000</v>
      </c>
    </row>
    <row r="908" spans="1:17" x14ac:dyDescent="0.3">
      <c r="A908" s="72">
        <v>1119</v>
      </c>
      <c r="B908" s="227"/>
      <c r="C908" s="227">
        <v>-2700</v>
      </c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>
        <v>-2700</v>
      </c>
    </row>
    <row r="909" spans="1:17" x14ac:dyDescent="0.3">
      <c r="A909" s="72">
        <v>1120</v>
      </c>
      <c r="B909" s="227">
        <v>60000</v>
      </c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>
        <v>60000</v>
      </c>
    </row>
    <row r="910" spans="1:17" x14ac:dyDescent="0.3">
      <c r="A910" s="72">
        <v>1121</v>
      </c>
      <c r="B910" s="227"/>
      <c r="C910" s="227"/>
      <c r="D910" s="227"/>
      <c r="E910" s="227"/>
      <c r="F910" s="227"/>
      <c r="G910" s="227">
        <v>-100</v>
      </c>
      <c r="H910" s="227"/>
      <c r="I910" s="227"/>
      <c r="J910" s="227"/>
      <c r="K910" s="227"/>
      <c r="L910" s="227"/>
      <c r="M910" s="227"/>
      <c r="N910" s="227"/>
      <c r="O910" s="227"/>
      <c r="P910" s="227"/>
      <c r="Q910" s="227">
        <v>-100</v>
      </c>
    </row>
    <row r="911" spans="1:17" x14ac:dyDescent="0.3">
      <c r="A911" s="72">
        <v>1122</v>
      </c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>
        <v>-5700</v>
      </c>
      <c r="P911" s="227"/>
      <c r="Q911" s="227">
        <v>-5700</v>
      </c>
    </row>
    <row r="912" spans="1:17" x14ac:dyDescent="0.3">
      <c r="A912" s="72">
        <v>1123</v>
      </c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>
        <v>-5000</v>
      </c>
      <c r="P912" s="227"/>
      <c r="Q912" s="227">
        <v>-5000</v>
      </c>
    </row>
    <row r="913" spans="1:17" x14ac:dyDescent="0.3">
      <c r="A913" s="72">
        <v>1124</v>
      </c>
      <c r="B913" s="227"/>
      <c r="C913" s="227"/>
      <c r="D913" s="227"/>
      <c r="E913" s="227"/>
      <c r="F913" s="227"/>
      <c r="G913" s="227">
        <v>-100</v>
      </c>
      <c r="H913" s="227"/>
      <c r="I913" s="227"/>
      <c r="J913" s="227"/>
      <c r="K913" s="227"/>
      <c r="L913" s="227"/>
      <c r="M913" s="227"/>
      <c r="N913" s="227"/>
      <c r="O913" s="227"/>
      <c r="P913" s="227"/>
      <c r="Q913" s="227">
        <v>-100</v>
      </c>
    </row>
    <row r="914" spans="1:17" x14ac:dyDescent="0.3">
      <c r="A914" s="72">
        <v>1125</v>
      </c>
      <c r="B914" s="227"/>
      <c r="C914" s="227"/>
      <c r="D914" s="227"/>
      <c r="E914" s="227">
        <v>-50000</v>
      </c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>
        <v>-50000</v>
      </c>
    </row>
    <row r="915" spans="1:17" x14ac:dyDescent="0.3">
      <c r="A915" s="72">
        <v>1126</v>
      </c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>
        <v>-2000</v>
      </c>
      <c r="P915" s="227"/>
      <c r="Q915" s="227">
        <v>-2000</v>
      </c>
    </row>
    <row r="916" spans="1:17" x14ac:dyDescent="0.3">
      <c r="A916" s="72">
        <v>1127</v>
      </c>
      <c r="B916" s="227">
        <v>30000</v>
      </c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>
        <v>30000</v>
      </c>
    </row>
    <row r="917" spans="1:17" x14ac:dyDescent="0.3">
      <c r="A917" s="72">
        <v>1128</v>
      </c>
      <c r="B917" s="227"/>
      <c r="C917" s="227"/>
      <c r="D917" s="227"/>
      <c r="E917" s="227">
        <v>-50000</v>
      </c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>
        <v>-50000</v>
      </c>
    </row>
    <row r="918" spans="1:17" x14ac:dyDescent="0.3">
      <c r="A918" s="72">
        <v>1129</v>
      </c>
      <c r="B918" s="227"/>
      <c r="C918" s="227"/>
      <c r="D918" s="227"/>
      <c r="E918" s="227"/>
      <c r="F918" s="227"/>
      <c r="G918" s="227"/>
      <c r="H918" s="227"/>
      <c r="I918" s="227">
        <v>-10000</v>
      </c>
      <c r="J918" s="227"/>
      <c r="K918" s="227"/>
      <c r="L918" s="227"/>
      <c r="M918" s="227"/>
      <c r="N918" s="227"/>
      <c r="O918" s="227"/>
      <c r="P918" s="227"/>
      <c r="Q918" s="227">
        <v>-10000</v>
      </c>
    </row>
    <row r="919" spans="1:17" x14ac:dyDescent="0.3">
      <c r="A919" s="72">
        <v>1130</v>
      </c>
      <c r="B919" s="227">
        <v>60000</v>
      </c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>
        <v>60000</v>
      </c>
    </row>
    <row r="920" spans="1:17" x14ac:dyDescent="0.3">
      <c r="A920" s="72">
        <v>1131</v>
      </c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>
        <v>-1000</v>
      </c>
      <c r="N920" s="227"/>
      <c r="O920" s="227"/>
      <c r="P920" s="227"/>
      <c r="Q920" s="227">
        <v>-1000</v>
      </c>
    </row>
    <row r="921" spans="1:17" x14ac:dyDescent="0.3">
      <c r="A921" s="72">
        <v>1132</v>
      </c>
      <c r="B921" s="227"/>
      <c r="C921" s="227"/>
      <c r="D921" s="227"/>
      <c r="E921" s="227"/>
      <c r="F921" s="227"/>
      <c r="G921" s="227"/>
      <c r="H921" s="227"/>
      <c r="I921" s="227"/>
      <c r="J921" s="227">
        <v>-5000</v>
      </c>
      <c r="K921" s="227"/>
      <c r="L921" s="227"/>
      <c r="M921" s="227"/>
      <c r="N921" s="227"/>
      <c r="O921" s="227"/>
      <c r="P921" s="227"/>
      <c r="Q921" s="227">
        <v>-5000</v>
      </c>
    </row>
    <row r="922" spans="1:17" x14ac:dyDescent="0.3">
      <c r="A922" s="72">
        <v>1133</v>
      </c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>
        <v>-1000</v>
      </c>
      <c r="P922" s="227"/>
      <c r="Q922" s="227">
        <v>-1000</v>
      </c>
    </row>
    <row r="923" spans="1:17" x14ac:dyDescent="0.3">
      <c r="A923" s="72">
        <v>1134</v>
      </c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>
        <v>-1000</v>
      </c>
      <c r="P923" s="227"/>
      <c r="Q923" s="227">
        <v>-1000</v>
      </c>
    </row>
    <row r="924" spans="1:17" x14ac:dyDescent="0.3">
      <c r="A924" s="72">
        <v>1135</v>
      </c>
      <c r="B924" s="227">
        <v>20000</v>
      </c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>
        <v>20000</v>
      </c>
    </row>
    <row r="925" spans="1:17" x14ac:dyDescent="0.3">
      <c r="A925" s="72">
        <v>1136</v>
      </c>
      <c r="B925" s="227"/>
      <c r="C925" s="227"/>
      <c r="D925" s="227"/>
      <c r="E925" s="227">
        <v>-25000</v>
      </c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>
        <v>-25000</v>
      </c>
    </row>
    <row r="926" spans="1:17" x14ac:dyDescent="0.3">
      <c r="A926" s="72">
        <v>1137</v>
      </c>
      <c r="B926" s="227"/>
      <c r="C926" s="227"/>
      <c r="D926" s="227"/>
      <c r="E926" s="227">
        <v>-100000</v>
      </c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>
        <v>-100000</v>
      </c>
    </row>
    <row r="927" spans="1:17" x14ac:dyDescent="0.3">
      <c r="A927" s="72">
        <v>1138</v>
      </c>
      <c r="B927" s="227"/>
      <c r="C927" s="227"/>
      <c r="D927" s="227"/>
      <c r="E927" s="227"/>
      <c r="F927" s="227"/>
      <c r="G927" s="227"/>
      <c r="H927" s="227"/>
      <c r="I927" s="227">
        <v>-40000</v>
      </c>
      <c r="J927" s="227"/>
      <c r="K927" s="227"/>
      <c r="L927" s="227"/>
      <c r="M927" s="227"/>
      <c r="N927" s="227"/>
      <c r="O927" s="227"/>
      <c r="P927" s="227"/>
      <c r="Q927" s="227">
        <v>-40000</v>
      </c>
    </row>
    <row r="928" spans="1:17" x14ac:dyDescent="0.3">
      <c r="A928" s="72">
        <v>1139</v>
      </c>
      <c r="B928" s="227">
        <v>60000</v>
      </c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>
        <v>60000</v>
      </c>
    </row>
    <row r="929" spans="1:17" x14ac:dyDescent="0.3">
      <c r="A929" s="72">
        <v>1140</v>
      </c>
      <c r="B929" s="227">
        <v>120000</v>
      </c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>
        <v>120000</v>
      </c>
    </row>
    <row r="930" spans="1:17" x14ac:dyDescent="0.3">
      <c r="A930" s="72">
        <v>1141</v>
      </c>
      <c r="B930" s="227"/>
      <c r="C930" s="227"/>
      <c r="D930" s="227"/>
      <c r="E930" s="227"/>
      <c r="F930" s="227"/>
      <c r="G930" s="227">
        <v>-30</v>
      </c>
      <c r="H930" s="227"/>
      <c r="I930" s="227"/>
      <c r="J930" s="227"/>
      <c r="K930" s="227"/>
      <c r="L930" s="227"/>
      <c r="M930" s="227"/>
      <c r="N930" s="227"/>
      <c r="O930" s="227"/>
      <c r="P930" s="227"/>
      <c r="Q930" s="227">
        <v>-30</v>
      </c>
    </row>
    <row r="931" spans="1:17" x14ac:dyDescent="0.3">
      <c r="A931" s="72">
        <v>1143</v>
      </c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>
        <v>-10000</v>
      </c>
      <c r="P931" s="227"/>
      <c r="Q931" s="227">
        <v>-10000</v>
      </c>
    </row>
    <row r="932" spans="1:17" x14ac:dyDescent="0.3">
      <c r="A932" s="72">
        <v>1144</v>
      </c>
      <c r="B932" s="227">
        <v>50000</v>
      </c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>
        <v>50000</v>
      </c>
    </row>
    <row r="933" spans="1:17" x14ac:dyDescent="0.3">
      <c r="A933" s="72">
        <v>1145</v>
      </c>
      <c r="B933" s="227"/>
      <c r="C933" s="227"/>
      <c r="D933" s="227"/>
      <c r="E933" s="227">
        <v>-25000</v>
      </c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>
        <v>-25000</v>
      </c>
    </row>
    <row r="934" spans="1:17" x14ac:dyDescent="0.3">
      <c r="A934" s="72">
        <v>1146</v>
      </c>
      <c r="B934" s="227"/>
      <c r="C934" s="227"/>
      <c r="D934" s="227"/>
      <c r="E934" s="227"/>
      <c r="F934" s="227"/>
      <c r="G934" s="227"/>
      <c r="H934" s="227"/>
      <c r="I934" s="227">
        <v>-25000</v>
      </c>
      <c r="J934" s="227"/>
      <c r="K934" s="227"/>
      <c r="L934" s="227"/>
      <c r="M934" s="227"/>
      <c r="N934" s="227"/>
      <c r="O934" s="227"/>
      <c r="P934" s="227"/>
      <c r="Q934" s="227">
        <v>-25000</v>
      </c>
    </row>
    <row r="935" spans="1:17" x14ac:dyDescent="0.3">
      <c r="A935" s="72">
        <v>1147</v>
      </c>
      <c r="B935" s="227"/>
      <c r="C935" s="227"/>
      <c r="D935" s="227"/>
      <c r="E935" s="227"/>
      <c r="F935" s="227"/>
      <c r="G935" s="227">
        <v>-240</v>
      </c>
      <c r="H935" s="227"/>
      <c r="I935" s="227"/>
      <c r="J935" s="227"/>
      <c r="K935" s="227"/>
      <c r="L935" s="227"/>
      <c r="M935" s="227"/>
      <c r="N935" s="227"/>
      <c r="O935" s="227"/>
      <c r="P935" s="227"/>
      <c r="Q935" s="227">
        <v>-240</v>
      </c>
    </row>
    <row r="936" spans="1:17" x14ac:dyDescent="0.3">
      <c r="A936" s="72">
        <v>1148</v>
      </c>
      <c r="B936" s="227"/>
      <c r="C936" s="227"/>
      <c r="D936" s="227"/>
      <c r="E936" s="227"/>
      <c r="F936" s="227"/>
      <c r="G936" s="227"/>
      <c r="H936" s="227"/>
      <c r="I936" s="227"/>
      <c r="J936" s="227">
        <v>-10000</v>
      </c>
      <c r="K936" s="227"/>
      <c r="L936" s="227"/>
      <c r="M936" s="227"/>
      <c r="N936" s="227"/>
      <c r="O936" s="227"/>
      <c r="P936" s="227"/>
      <c r="Q936" s="227">
        <v>-10000</v>
      </c>
    </row>
    <row r="937" spans="1:17" x14ac:dyDescent="0.3">
      <c r="A937" s="72">
        <v>1149</v>
      </c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>
        <v>-1000</v>
      </c>
      <c r="P937" s="227"/>
      <c r="Q937" s="227">
        <v>-1000</v>
      </c>
    </row>
    <row r="938" spans="1:17" x14ac:dyDescent="0.3">
      <c r="A938" s="72">
        <v>1150</v>
      </c>
      <c r="B938" s="227">
        <v>400000</v>
      </c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>
        <v>400000</v>
      </c>
    </row>
    <row r="939" spans="1:17" x14ac:dyDescent="0.3">
      <c r="A939" s="72">
        <v>1152</v>
      </c>
      <c r="B939" s="227"/>
      <c r="C939" s="227"/>
      <c r="D939" s="227"/>
      <c r="E939" s="227">
        <v>-160000</v>
      </c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>
        <v>-160000</v>
      </c>
    </row>
    <row r="940" spans="1:17" x14ac:dyDescent="0.3">
      <c r="A940" s="72">
        <v>1153</v>
      </c>
      <c r="B940" s="227"/>
      <c r="C940" s="227"/>
      <c r="D940" s="227"/>
      <c r="E940" s="227"/>
      <c r="F940" s="227"/>
      <c r="G940" s="227"/>
      <c r="H940" s="227"/>
      <c r="I940" s="227">
        <v>-51000</v>
      </c>
      <c r="J940" s="227"/>
      <c r="K940" s="227"/>
      <c r="L940" s="227"/>
      <c r="M940" s="227"/>
      <c r="N940" s="227"/>
      <c r="O940" s="227"/>
      <c r="P940" s="227"/>
      <c r="Q940" s="227">
        <v>-51000</v>
      </c>
    </row>
    <row r="941" spans="1:17" x14ac:dyDescent="0.3">
      <c r="A941" s="72">
        <v>1154</v>
      </c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>
        <v>-20000</v>
      </c>
      <c r="P941" s="227"/>
      <c r="Q941" s="227">
        <v>-20000</v>
      </c>
    </row>
    <row r="942" spans="1:17" x14ac:dyDescent="0.3">
      <c r="A942" s="72">
        <v>1155</v>
      </c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>
        <v>-60000</v>
      </c>
      <c r="M942" s="227"/>
      <c r="N942" s="227"/>
      <c r="O942" s="227"/>
      <c r="P942" s="227"/>
      <c r="Q942" s="227">
        <v>-60000</v>
      </c>
    </row>
    <row r="943" spans="1:17" x14ac:dyDescent="0.3">
      <c r="A943" s="72">
        <v>1156</v>
      </c>
      <c r="B943" s="227"/>
      <c r="C943" s="227"/>
      <c r="D943" s="227">
        <v>-50000</v>
      </c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>
        <v>-50000</v>
      </c>
    </row>
    <row r="944" spans="1:17" x14ac:dyDescent="0.3">
      <c r="A944" s="72">
        <v>1157</v>
      </c>
      <c r="B944" s="227"/>
      <c r="C944" s="227">
        <v>-2700</v>
      </c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>
        <v>-2700</v>
      </c>
    </row>
    <row r="945" spans="1:17" x14ac:dyDescent="0.3">
      <c r="A945" s="72">
        <v>1158</v>
      </c>
      <c r="B945" s="227"/>
      <c r="C945" s="227">
        <v>-650</v>
      </c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>
        <v>-650</v>
      </c>
    </row>
    <row r="946" spans="1:17" x14ac:dyDescent="0.3">
      <c r="A946" s="72">
        <v>1159</v>
      </c>
      <c r="B946" s="227"/>
      <c r="C946" s="227"/>
      <c r="D946" s="227"/>
      <c r="E946" s="227"/>
      <c r="F946" s="227"/>
      <c r="G946" s="227"/>
      <c r="H946" s="227"/>
      <c r="I946" s="227"/>
      <c r="J946" s="227">
        <v>-15000</v>
      </c>
      <c r="K946" s="227"/>
      <c r="L946" s="227"/>
      <c r="M946" s="227"/>
      <c r="N946" s="227"/>
      <c r="O946" s="227"/>
      <c r="P946" s="227"/>
      <c r="Q946" s="227">
        <v>-15000</v>
      </c>
    </row>
    <row r="947" spans="1:17" x14ac:dyDescent="0.3">
      <c r="A947" s="72">
        <v>1160</v>
      </c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>
        <v>-2000</v>
      </c>
      <c r="P947" s="227"/>
      <c r="Q947" s="227">
        <v>-2000</v>
      </c>
    </row>
    <row r="948" spans="1:17" x14ac:dyDescent="0.3">
      <c r="A948" s="72">
        <v>1162</v>
      </c>
      <c r="B948" s="227"/>
      <c r="C948" s="227"/>
      <c r="D948" s="227"/>
      <c r="E948" s="227"/>
      <c r="F948" s="227"/>
      <c r="G948" s="227"/>
      <c r="H948" s="227"/>
      <c r="I948" s="227">
        <v>-760</v>
      </c>
      <c r="J948" s="227"/>
      <c r="K948" s="227"/>
      <c r="L948" s="227"/>
      <c r="M948" s="227"/>
      <c r="N948" s="227"/>
      <c r="O948" s="227"/>
      <c r="P948" s="227"/>
      <c r="Q948" s="227">
        <v>-760</v>
      </c>
    </row>
    <row r="949" spans="1:17" x14ac:dyDescent="0.3">
      <c r="A949" s="72">
        <v>1163</v>
      </c>
      <c r="B949" s="227"/>
      <c r="C949" s="227"/>
      <c r="D949" s="227"/>
      <c r="E949" s="227"/>
      <c r="F949" s="227"/>
      <c r="G949" s="227"/>
      <c r="H949" s="227"/>
      <c r="I949" s="227"/>
      <c r="J949" s="227">
        <v>-20000</v>
      </c>
      <c r="K949" s="227"/>
      <c r="L949" s="227"/>
      <c r="M949" s="227"/>
      <c r="N949" s="227"/>
      <c r="O949" s="227"/>
      <c r="P949" s="227"/>
      <c r="Q949" s="227">
        <v>-20000</v>
      </c>
    </row>
    <row r="950" spans="1:17" x14ac:dyDescent="0.3">
      <c r="A950" s="72">
        <v>1165</v>
      </c>
      <c r="B950" s="227">
        <v>100000</v>
      </c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>
        <v>100000</v>
      </c>
    </row>
    <row r="951" spans="1:17" x14ac:dyDescent="0.3">
      <c r="A951" s="72">
        <v>1166</v>
      </c>
      <c r="B951" s="227"/>
      <c r="C951" s="227"/>
      <c r="D951" s="227"/>
      <c r="E951" s="227">
        <v>-30000</v>
      </c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>
        <v>-30000</v>
      </c>
    </row>
    <row r="952" spans="1:17" x14ac:dyDescent="0.3">
      <c r="A952" s="72">
        <v>1167</v>
      </c>
      <c r="B952" s="227"/>
      <c r="C952" s="227"/>
      <c r="D952" s="227"/>
      <c r="E952" s="227"/>
      <c r="F952" s="227"/>
      <c r="G952" s="227"/>
      <c r="H952" s="227"/>
      <c r="I952" s="227">
        <v>-25000</v>
      </c>
      <c r="J952" s="227"/>
      <c r="K952" s="227"/>
      <c r="L952" s="227"/>
      <c r="M952" s="227"/>
      <c r="N952" s="227"/>
      <c r="O952" s="227"/>
      <c r="P952" s="227"/>
      <c r="Q952" s="227">
        <v>-25000</v>
      </c>
    </row>
    <row r="953" spans="1:17" x14ac:dyDescent="0.3">
      <c r="A953" s="72">
        <v>1168</v>
      </c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>
        <v>-5000</v>
      </c>
      <c r="P953" s="227"/>
      <c r="Q953" s="227">
        <v>-5000</v>
      </c>
    </row>
    <row r="954" spans="1:17" x14ac:dyDescent="0.3">
      <c r="A954" s="72">
        <v>1169</v>
      </c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>
        <v>-10000</v>
      </c>
      <c r="P954" s="227"/>
      <c r="Q954" s="227">
        <v>-10000</v>
      </c>
    </row>
    <row r="955" spans="1:17" x14ac:dyDescent="0.3">
      <c r="A955" s="72">
        <v>1170</v>
      </c>
      <c r="B955" s="227"/>
      <c r="C955" s="227"/>
      <c r="D955" s="227"/>
      <c r="E955" s="227">
        <v>-10000</v>
      </c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>
        <v>-10000</v>
      </c>
    </row>
    <row r="956" spans="1:17" x14ac:dyDescent="0.3">
      <c r="A956" s="72">
        <v>1171</v>
      </c>
      <c r="B956" s="227"/>
      <c r="C956" s="227"/>
      <c r="D956" s="227"/>
      <c r="E956" s="227"/>
      <c r="F956" s="227"/>
      <c r="G956" s="227"/>
      <c r="H956" s="227"/>
      <c r="I956" s="227">
        <v>-2000</v>
      </c>
      <c r="J956" s="227"/>
      <c r="K956" s="227"/>
      <c r="L956" s="227"/>
      <c r="M956" s="227"/>
      <c r="N956" s="227"/>
      <c r="O956" s="227"/>
      <c r="P956" s="227"/>
      <c r="Q956" s="227">
        <v>-2000</v>
      </c>
    </row>
    <row r="957" spans="1:17" x14ac:dyDescent="0.3">
      <c r="A957" s="72">
        <v>1172</v>
      </c>
      <c r="B957" s="227"/>
      <c r="C957" s="227"/>
      <c r="D957" s="227"/>
      <c r="E957" s="227"/>
      <c r="F957" s="227"/>
      <c r="G957" s="227">
        <v>-435</v>
      </c>
      <c r="H957" s="227"/>
      <c r="I957" s="227"/>
      <c r="J957" s="227"/>
      <c r="K957" s="227"/>
      <c r="L957" s="227"/>
      <c r="M957" s="227"/>
      <c r="N957" s="227"/>
      <c r="O957" s="227"/>
      <c r="P957" s="227"/>
      <c r="Q957" s="227">
        <v>-435</v>
      </c>
    </row>
    <row r="958" spans="1:17" x14ac:dyDescent="0.3">
      <c r="A958" s="72">
        <v>1173</v>
      </c>
      <c r="B958" s="227"/>
      <c r="C958" s="227"/>
      <c r="D958" s="227">
        <v>-50000</v>
      </c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>
        <v>-50000</v>
      </c>
    </row>
    <row r="959" spans="1:17" x14ac:dyDescent="0.3">
      <c r="A959" s="72">
        <v>1174</v>
      </c>
      <c r="B959" s="227"/>
      <c r="C959" s="227"/>
      <c r="D959" s="227"/>
      <c r="E959" s="227"/>
      <c r="F959" s="227"/>
      <c r="G959" s="227">
        <v>-70</v>
      </c>
      <c r="H959" s="227"/>
      <c r="I959" s="227"/>
      <c r="J959" s="227"/>
      <c r="K959" s="227"/>
      <c r="L959" s="227"/>
      <c r="M959" s="227"/>
      <c r="N959" s="227"/>
      <c r="O959" s="227"/>
      <c r="P959" s="227"/>
      <c r="Q959" s="227">
        <v>-70</v>
      </c>
    </row>
    <row r="960" spans="1:17" x14ac:dyDescent="0.3">
      <c r="A960" s="72">
        <v>1175</v>
      </c>
      <c r="B960" s="227"/>
      <c r="C960" s="227"/>
      <c r="D960" s="227"/>
      <c r="E960" s="227"/>
      <c r="F960" s="227"/>
      <c r="G960" s="227">
        <v>-1500</v>
      </c>
      <c r="H960" s="227"/>
      <c r="I960" s="227"/>
      <c r="J960" s="227"/>
      <c r="K960" s="227"/>
      <c r="L960" s="227"/>
      <c r="M960" s="227"/>
      <c r="N960" s="227"/>
      <c r="O960" s="227"/>
      <c r="P960" s="227"/>
      <c r="Q960" s="227">
        <v>-1500</v>
      </c>
    </row>
    <row r="961" spans="1:17" x14ac:dyDescent="0.3">
      <c r="A961" s="72">
        <v>1176</v>
      </c>
      <c r="B961" s="227"/>
      <c r="C961" s="227"/>
      <c r="D961" s="227"/>
      <c r="E961" s="227"/>
      <c r="F961" s="227">
        <v>-15000</v>
      </c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>
        <v>-15000</v>
      </c>
    </row>
    <row r="962" spans="1:17" x14ac:dyDescent="0.3">
      <c r="A962" s="72">
        <v>1177</v>
      </c>
      <c r="B962" s="227">
        <v>50000</v>
      </c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>
        <v>50000</v>
      </c>
    </row>
    <row r="963" spans="1:17" x14ac:dyDescent="0.3">
      <c r="A963" s="72">
        <v>1178</v>
      </c>
      <c r="B963" s="227"/>
      <c r="C963" s="227"/>
      <c r="D963" s="227"/>
      <c r="E963" s="227">
        <v>-40000</v>
      </c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>
        <v>-40000</v>
      </c>
    </row>
    <row r="964" spans="1:17" x14ac:dyDescent="0.3">
      <c r="A964" s="72">
        <v>1179</v>
      </c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>
        <v>-18000</v>
      </c>
      <c r="P964" s="227"/>
      <c r="Q964" s="227">
        <v>-18000</v>
      </c>
    </row>
    <row r="965" spans="1:17" x14ac:dyDescent="0.3">
      <c r="A965" s="72">
        <v>1180</v>
      </c>
      <c r="B965" s="227"/>
      <c r="C965" s="227"/>
      <c r="D965" s="227"/>
      <c r="E965" s="227"/>
      <c r="F965" s="227"/>
      <c r="G965" s="227"/>
      <c r="H965" s="227"/>
      <c r="I965" s="227">
        <v>-8000</v>
      </c>
      <c r="J965" s="227"/>
      <c r="K965" s="227"/>
      <c r="L965" s="227"/>
      <c r="M965" s="227"/>
      <c r="N965" s="227"/>
      <c r="O965" s="227"/>
      <c r="P965" s="227"/>
      <c r="Q965" s="227">
        <v>-8000</v>
      </c>
    </row>
    <row r="966" spans="1:17" x14ac:dyDescent="0.3">
      <c r="A966" s="72">
        <v>1181</v>
      </c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>
        <v>-1000</v>
      </c>
      <c r="P966" s="227"/>
      <c r="Q966" s="227">
        <v>-1000</v>
      </c>
    </row>
    <row r="967" spans="1:17" x14ac:dyDescent="0.3">
      <c r="A967" s="72">
        <v>1182</v>
      </c>
      <c r="B967" s="227"/>
      <c r="C967" s="227"/>
      <c r="D967" s="227"/>
      <c r="E967" s="227"/>
      <c r="F967" s="227"/>
      <c r="G967" s="227">
        <v>-260</v>
      </c>
      <c r="H967" s="227"/>
      <c r="I967" s="227"/>
      <c r="J967" s="227"/>
      <c r="K967" s="227"/>
      <c r="L967" s="227"/>
      <c r="M967" s="227"/>
      <c r="N967" s="227"/>
      <c r="O967" s="227"/>
      <c r="P967" s="227"/>
      <c r="Q967" s="227">
        <v>-260</v>
      </c>
    </row>
    <row r="968" spans="1:17" x14ac:dyDescent="0.3">
      <c r="A968" s="188">
        <v>1183</v>
      </c>
      <c r="B968" s="227"/>
      <c r="C968" s="227"/>
      <c r="D968" s="227"/>
      <c r="E968" s="227"/>
      <c r="F968" s="227"/>
      <c r="G968" s="227">
        <v>-560</v>
      </c>
      <c r="H968" s="227"/>
      <c r="I968" s="227"/>
      <c r="J968" s="227"/>
      <c r="K968" s="227"/>
      <c r="L968" s="227"/>
      <c r="M968" s="227"/>
      <c r="N968" s="227"/>
      <c r="O968" s="227"/>
      <c r="P968" s="227"/>
      <c r="Q968" s="227">
        <v>-560</v>
      </c>
    </row>
    <row r="969" spans="1:17" x14ac:dyDescent="0.3">
      <c r="A969" s="189">
        <v>1184</v>
      </c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>
        <v>-1800</v>
      </c>
      <c r="P969" s="227"/>
      <c r="Q969" s="227">
        <v>-1800</v>
      </c>
    </row>
    <row r="970" spans="1:17" x14ac:dyDescent="0.3">
      <c r="A970" s="189">
        <v>1188</v>
      </c>
      <c r="B970" s="227"/>
      <c r="C970" s="227"/>
      <c r="D970" s="227"/>
      <c r="E970" s="227"/>
      <c r="F970" s="227"/>
      <c r="G970" s="227"/>
      <c r="H970" s="227"/>
      <c r="I970" s="227">
        <v>-2000</v>
      </c>
      <c r="J970" s="227"/>
      <c r="K970" s="227"/>
      <c r="L970" s="227"/>
      <c r="M970" s="227"/>
      <c r="N970" s="227"/>
      <c r="O970" s="227"/>
      <c r="P970" s="227"/>
      <c r="Q970" s="227">
        <v>-2000</v>
      </c>
    </row>
    <row r="971" spans="1:17" x14ac:dyDescent="0.3">
      <c r="A971" s="189">
        <v>1189</v>
      </c>
      <c r="B971" s="227">
        <v>80000</v>
      </c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>
        <v>80000</v>
      </c>
    </row>
    <row r="972" spans="1:17" x14ac:dyDescent="0.3">
      <c r="A972" s="189">
        <v>1185</v>
      </c>
      <c r="B972" s="227">
        <v>80000</v>
      </c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>
        <v>80000</v>
      </c>
    </row>
    <row r="973" spans="1:17" x14ac:dyDescent="0.3">
      <c r="A973" s="189">
        <v>1186</v>
      </c>
      <c r="B973" s="227"/>
      <c r="C973" s="227"/>
      <c r="D973" s="227"/>
      <c r="E973" s="227">
        <v>-80000</v>
      </c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>
        <v>-80000</v>
      </c>
    </row>
    <row r="974" spans="1:17" x14ac:dyDescent="0.3">
      <c r="A974" s="189">
        <v>1187</v>
      </c>
      <c r="B974" s="227"/>
      <c r="C974" s="227"/>
      <c r="D974" s="227"/>
      <c r="E974" s="227"/>
      <c r="F974" s="227"/>
      <c r="G974" s="227"/>
      <c r="H974" s="227"/>
      <c r="I974" s="227">
        <v>-70000</v>
      </c>
      <c r="J974" s="227"/>
      <c r="K974" s="227"/>
      <c r="L974" s="227"/>
      <c r="M974" s="227"/>
      <c r="N974" s="227"/>
      <c r="O974" s="227"/>
      <c r="P974" s="227"/>
      <c r="Q974" s="227">
        <v>-70000</v>
      </c>
    </row>
    <row r="975" spans="1:17" x14ac:dyDescent="0.3">
      <c r="A975" s="189">
        <v>1190</v>
      </c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>
        <v>-2000</v>
      </c>
      <c r="P975" s="227"/>
      <c r="Q975" s="227">
        <v>-2000</v>
      </c>
    </row>
    <row r="976" spans="1:17" x14ac:dyDescent="0.3">
      <c r="A976" s="189">
        <v>1191</v>
      </c>
      <c r="B976" s="227">
        <v>50000</v>
      </c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>
        <v>50000</v>
      </c>
    </row>
    <row r="977" spans="1:17" x14ac:dyDescent="0.3">
      <c r="A977" s="189">
        <v>1192</v>
      </c>
      <c r="B977" s="227"/>
      <c r="C977" s="227"/>
      <c r="D977" s="227"/>
      <c r="E977" s="227">
        <v>-10000</v>
      </c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>
        <v>-10000</v>
      </c>
    </row>
    <row r="978" spans="1:17" x14ac:dyDescent="0.3">
      <c r="A978" s="189">
        <v>1193</v>
      </c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>
        <v>-3000</v>
      </c>
      <c r="P978" s="227"/>
      <c r="Q978" s="227">
        <v>-3000</v>
      </c>
    </row>
    <row r="979" spans="1:17" x14ac:dyDescent="0.3">
      <c r="A979" s="190">
        <v>1194</v>
      </c>
      <c r="B979" s="227"/>
      <c r="C979" s="227"/>
      <c r="D979" s="227"/>
      <c r="E979" s="227"/>
      <c r="F979" s="227"/>
      <c r="G979" s="227"/>
      <c r="H979" s="227"/>
      <c r="I979" s="227"/>
      <c r="J979" s="227">
        <v>-25000</v>
      </c>
      <c r="K979" s="227"/>
      <c r="L979" s="227"/>
      <c r="M979" s="227"/>
      <c r="N979" s="227"/>
      <c r="O979" s="227"/>
      <c r="P979" s="227"/>
      <c r="Q979" s="227">
        <v>-25000</v>
      </c>
    </row>
    <row r="980" spans="1:17" x14ac:dyDescent="0.3">
      <c r="A980" s="113">
        <v>1195</v>
      </c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>
        <v>-13650</v>
      </c>
      <c r="P980" s="227"/>
      <c r="Q980" s="227">
        <v>-13650</v>
      </c>
    </row>
    <row r="981" spans="1:17" x14ac:dyDescent="0.3">
      <c r="A981" s="243" t="s">
        <v>1749</v>
      </c>
      <c r="B981" s="227"/>
      <c r="C981" s="227"/>
      <c r="D981" s="227"/>
      <c r="E981" s="227"/>
      <c r="F981" s="227"/>
      <c r="G981" s="227">
        <v>-627</v>
      </c>
      <c r="H981" s="227"/>
      <c r="I981" s="227"/>
      <c r="J981" s="227"/>
      <c r="K981" s="227"/>
      <c r="L981" s="227"/>
      <c r="M981" s="227"/>
      <c r="N981" s="227"/>
      <c r="O981" s="227"/>
      <c r="P981" s="227"/>
      <c r="Q981" s="227">
        <v>-627</v>
      </c>
    </row>
    <row r="982" spans="1:17" x14ac:dyDescent="0.3">
      <c r="A982" s="113" t="s">
        <v>1748</v>
      </c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>
        <v>-17500</v>
      </c>
      <c r="P982" s="227"/>
      <c r="Q982" s="227">
        <v>-17500</v>
      </c>
    </row>
    <row r="983" spans="1:17" x14ac:dyDescent="0.3">
      <c r="A983" s="113">
        <v>1196</v>
      </c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>
        <v>-450</v>
      </c>
      <c r="P983" s="227"/>
      <c r="Q983" s="227">
        <v>-450</v>
      </c>
    </row>
    <row r="984" spans="1:17" x14ac:dyDescent="0.3">
      <c r="A984" s="113">
        <v>1197</v>
      </c>
      <c r="B984" s="227">
        <v>150000</v>
      </c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>
        <v>150000</v>
      </c>
    </row>
    <row r="985" spans="1:17" x14ac:dyDescent="0.3">
      <c r="A985" s="113">
        <v>1198</v>
      </c>
      <c r="B985" s="227"/>
      <c r="C985" s="227"/>
      <c r="D985" s="227"/>
      <c r="E985" s="227">
        <v>-60000</v>
      </c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>
        <v>-60000</v>
      </c>
    </row>
    <row r="986" spans="1:17" x14ac:dyDescent="0.3">
      <c r="A986" s="113">
        <v>1199</v>
      </c>
      <c r="B986" s="227"/>
      <c r="C986" s="227"/>
      <c r="D986" s="227"/>
      <c r="E986" s="227"/>
      <c r="F986" s="227"/>
      <c r="G986" s="227"/>
      <c r="H986" s="227"/>
      <c r="I986" s="227">
        <v>-30000</v>
      </c>
      <c r="J986" s="227"/>
      <c r="K986" s="227"/>
      <c r="L986" s="227"/>
      <c r="M986" s="227"/>
      <c r="N986" s="227"/>
      <c r="O986" s="227"/>
      <c r="P986" s="227"/>
      <c r="Q986" s="227">
        <v>-30000</v>
      </c>
    </row>
    <row r="987" spans="1:17" x14ac:dyDescent="0.3">
      <c r="A987" s="113">
        <v>1200</v>
      </c>
      <c r="B987" s="227">
        <v>30000</v>
      </c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>
        <v>30000</v>
      </c>
    </row>
    <row r="988" spans="1:17" x14ac:dyDescent="0.3">
      <c r="A988" s="113">
        <v>1201</v>
      </c>
      <c r="B988" s="227"/>
      <c r="C988" s="227"/>
      <c r="D988" s="227"/>
      <c r="E988" s="227">
        <v>-30000</v>
      </c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>
        <v>-30000</v>
      </c>
    </row>
    <row r="989" spans="1:17" x14ac:dyDescent="0.3">
      <c r="A989" s="113">
        <v>1202</v>
      </c>
      <c r="B989" s="227"/>
      <c r="C989" s="227"/>
      <c r="D989" s="227"/>
      <c r="E989" s="227"/>
      <c r="F989" s="227"/>
      <c r="G989" s="227"/>
      <c r="H989" s="227"/>
      <c r="I989" s="227"/>
      <c r="J989" s="227">
        <v>-25000</v>
      </c>
      <c r="K989" s="227"/>
      <c r="L989" s="227"/>
      <c r="M989" s="227"/>
      <c r="N989" s="227"/>
      <c r="O989" s="227"/>
      <c r="P989" s="227"/>
      <c r="Q989" s="227">
        <v>-25000</v>
      </c>
    </row>
    <row r="990" spans="1:17" x14ac:dyDescent="0.3">
      <c r="A990" s="113">
        <v>1203</v>
      </c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>
        <v>-60000</v>
      </c>
      <c r="M990" s="227"/>
      <c r="N990" s="227"/>
      <c r="O990" s="227"/>
      <c r="P990" s="227"/>
      <c r="Q990" s="227">
        <v>-60000</v>
      </c>
    </row>
    <row r="991" spans="1:17" x14ac:dyDescent="0.3">
      <c r="A991" s="113">
        <v>1204</v>
      </c>
      <c r="B991" s="227"/>
      <c r="C991" s="227"/>
      <c r="D991" s="227"/>
      <c r="E991" s="227"/>
      <c r="F991" s="227"/>
      <c r="G991" s="227">
        <v>-100</v>
      </c>
      <c r="H991" s="227"/>
      <c r="I991" s="227"/>
      <c r="J991" s="227"/>
      <c r="K991" s="227"/>
      <c r="L991" s="227"/>
      <c r="M991" s="227"/>
      <c r="N991" s="227"/>
      <c r="O991" s="227"/>
      <c r="P991" s="227"/>
      <c r="Q991" s="227">
        <v>-100</v>
      </c>
    </row>
    <row r="992" spans="1:17" x14ac:dyDescent="0.3">
      <c r="A992" s="113">
        <v>1205</v>
      </c>
      <c r="B992" s="227"/>
      <c r="C992" s="227"/>
      <c r="D992" s="227"/>
      <c r="E992" s="227"/>
      <c r="F992" s="227"/>
      <c r="G992" s="227">
        <v>-50</v>
      </c>
      <c r="H992" s="227"/>
      <c r="I992" s="227"/>
      <c r="J992" s="227"/>
      <c r="K992" s="227"/>
      <c r="L992" s="227"/>
      <c r="M992" s="227"/>
      <c r="N992" s="227"/>
      <c r="O992" s="227"/>
      <c r="P992" s="227"/>
      <c r="Q992" s="227">
        <v>-50</v>
      </c>
    </row>
    <row r="993" spans="1:17" x14ac:dyDescent="0.3">
      <c r="A993" s="113">
        <v>1206</v>
      </c>
      <c r="B993" s="227">
        <v>70000</v>
      </c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>
        <v>70000</v>
      </c>
    </row>
    <row r="994" spans="1:17" x14ac:dyDescent="0.3">
      <c r="A994" s="113">
        <v>1207</v>
      </c>
      <c r="B994" s="227"/>
      <c r="C994" s="227"/>
      <c r="D994" s="227"/>
      <c r="E994" s="227">
        <v>-50000</v>
      </c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>
        <v>-50000</v>
      </c>
    </row>
    <row r="995" spans="1:17" x14ac:dyDescent="0.3">
      <c r="A995" s="113">
        <v>1208</v>
      </c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>
        <v>-5000</v>
      </c>
      <c r="P995" s="227"/>
      <c r="Q995" s="227">
        <v>-5000</v>
      </c>
    </row>
    <row r="996" spans="1:17" x14ac:dyDescent="0.3">
      <c r="A996" s="113">
        <v>1209</v>
      </c>
      <c r="B996" s="227"/>
      <c r="C996" s="227"/>
      <c r="D996" s="227"/>
      <c r="E996" s="227"/>
      <c r="F996" s="227"/>
      <c r="G996" s="227"/>
      <c r="H996" s="227"/>
      <c r="I996" s="227">
        <v>-12000</v>
      </c>
      <c r="J996" s="227"/>
      <c r="K996" s="227"/>
      <c r="L996" s="227"/>
      <c r="M996" s="227"/>
      <c r="N996" s="227"/>
      <c r="O996" s="227"/>
      <c r="P996" s="227"/>
      <c r="Q996" s="227">
        <v>-12000</v>
      </c>
    </row>
    <row r="997" spans="1:17" x14ac:dyDescent="0.3">
      <c r="A997" s="113">
        <v>1210</v>
      </c>
      <c r="B997" s="227"/>
      <c r="C997" s="227"/>
      <c r="D997" s="227">
        <v>-60000</v>
      </c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>
        <v>-60000</v>
      </c>
    </row>
    <row r="998" spans="1:17" x14ac:dyDescent="0.3">
      <c r="A998" s="113">
        <v>1211</v>
      </c>
      <c r="B998" s="227">
        <v>50000</v>
      </c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>
        <v>50000</v>
      </c>
    </row>
    <row r="999" spans="1:17" x14ac:dyDescent="0.3">
      <c r="A999" s="113">
        <v>1212</v>
      </c>
      <c r="B999" s="227"/>
      <c r="C999" s="227"/>
      <c r="D999" s="227"/>
      <c r="E999" s="227">
        <v>-30000</v>
      </c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>
        <v>-30000</v>
      </c>
    </row>
    <row r="1000" spans="1:17" x14ac:dyDescent="0.3">
      <c r="A1000" s="113">
        <v>1213</v>
      </c>
      <c r="B1000" s="227"/>
      <c r="C1000" s="227"/>
      <c r="D1000" s="227"/>
      <c r="E1000" s="227"/>
      <c r="F1000" s="227"/>
      <c r="G1000" s="227"/>
      <c r="H1000" s="227"/>
      <c r="I1000" s="227">
        <v>-20000</v>
      </c>
      <c r="J1000" s="227"/>
      <c r="K1000" s="227"/>
      <c r="L1000" s="227"/>
      <c r="M1000" s="227"/>
      <c r="N1000" s="227"/>
      <c r="O1000" s="227"/>
      <c r="P1000" s="227"/>
      <c r="Q1000" s="227">
        <v>-20000</v>
      </c>
    </row>
    <row r="1001" spans="1:17" x14ac:dyDescent="0.3">
      <c r="A1001" s="113">
        <v>1214</v>
      </c>
      <c r="B1001" s="227">
        <v>200000</v>
      </c>
      <c r="C1001" s="227"/>
      <c r="D1001" s="227"/>
      <c r="E1001" s="227"/>
      <c r="F1001" s="227"/>
      <c r="G1001" s="227"/>
      <c r="H1001" s="227"/>
      <c r="I1001" s="227"/>
      <c r="J1001" s="227"/>
      <c r="K1001" s="227"/>
      <c r="L1001" s="227"/>
      <c r="M1001" s="227"/>
      <c r="N1001" s="227"/>
      <c r="O1001" s="227"/>
      <c r="P1001" s="227"/>
      <c r="Q1001" s="227">
        <v>200000</v>
      </c>
    </row>
    <row r="1002" spans="1:17" x14ac:dyDescent="0.3">
      <c r="A1002" s="113">
        <v>1215</v>
      </c>
      <c r="B1002" s="227"/>
      <c r="C1002" s="227"/>
      <c r="D1002" s="227"/>
      <c r="E1002" s="227">
        <v>-50000</v>
      </c>
      <c r="F1002" s="227"/>
      <c r="G1002" s="227"/>
      <c r="H1002" s="227"/>
      <c r="I1002" s="227"/>
      <c r="J1002" s="227"/>
      <c r="K1002" s="227"/>
      <c r="L1002" s="227"/>
      <c r="M1002" s="227"/>
      <c r="N1002" s="227"/>
      <c r="O1002" s="227"/>
      <c r="P1002" s="227"/>
      <c r="Q1002" s="227">
        <v>-50000</v>
      </c>
    </row>
    <row r="1003" spans="1:17" x14ac:dyDescent="0.3">
      <c r="A1003" s="113">
        <v>1216</v>
      </c>
      <c r="B1003" s="227"/>
      <c r="C1003" s="227"/>
      <c r="D1003" s="227"/>
      <c r="E1003" s="227"/>
      <c r="F1003" s="227"/>
      <c r="G1003" s="227"/>
      <c r="H1003" s="227"/>
      <c r="I1003" s="227"/>
      <c r="J1003" s="227">
        <v>-3000</v>
      </c>
      <c r="K1003" s="227"/>
      <c r="L1003" s="227"/>
      <c r="M1003" s="227"/>
      <c r="N1003" s="227"/>
      <c r="O1003" s="227"/>
      <c r="P1003" s="227"/>
      <c r="Q1003" s="227">
        <v>-3000</v>
      </c>
    </row>
    <row r="1004" spans="1:17" x14ac:dyDescent="0.3">
      <c r="A1004" s="113">
        <v>1217</v>
      </c>
      <c r="B1004" s="227"/>
      <c r="C1004" s="227"/>
      <c r="D1004" s="227"/>
      <c r="E1004" s="227"/>
      <c r="F1004" s="227"/>
      <c r="G1004" s="227"/>
      <c r="H1004" s="227"/>
      <c r="I1004" s="227">
        <v>-11000</v>
      </c>
      <c r="J1004" s="227"/>
      <c r="K1004" s="227"/>
      <c r="L1004" s="227"/>
      <c r="M1004" s="227"/>
      <c r="N1004" s="227"/>
      <c r="O1004" s="227"/>
      <c r="P1004" s="227"/>
      <c r="Q1004" s="227">
        <v>-11000</v>
      </c>
    </row>
    <row r="1005" spans="1:17" x14ac:dyDescent="0.3">
      <c r="A1005" s="113">
        <v>1218</v>
      </c>
      <c r="B1005" s="227"/>
      <c r="C1005" s="227"/>
      <c r="D1005" s="227"/>
      <c r="E1005" s="227"/>
      <c r="F1005" s="227"/>
      <c r="G1005" s="227"/>
      <c r="H1005" s="227"/>
      <c r="I1005" s="227"/>
      <c r="J1005" s="227"/>
      <c r="K1005" s="227"/>
      <c r="L1005" s="227"/>
      <c r="M1005" s="227"/>
      <c r="N1005" s="227"/>
      <c r="O1005" s="227">
        <v>-14400</v>
      </c>
      <c r="P1005" s="227"/>
      <c r="Q1005" s="227">
        <v>-14400</v>
      </c>
    </row>
    <row r="1006" spans="1:17" x14ac:dyDescent="0.3">
      <c r="A1006" s="113">
        <v>1219</v>
      </c>
      <c r="B1006" s="227"/>
      <c r="C1006" s="227"/>
      <c r="D1006" s="227"/>
      <c r="E1006" s="227"/>
      <c r="F1006" s="227"/>
      <c r="G1006" s="227"/>
      <c r="H1006" s="227"/>
      <c r="I1006" s="227"/>
      <c r="J1006" s="227"/>
      <c r="K1006" s="227"/>
      <c r="L1006" s="227"/>
      <c r="M1006" s="227"/>
      <c r="N1006" s="227"/>
      <c r="O1006" s="227">
        <v>-1000</v>
      </c>
      <c r="P1006" s="227"/>
      <c r="Q1006" s="227">
        <v>-1000</v>
      </c>
    </row>
    <row r="1007" spans="1:17" x14ac:dyDescent="0.3">
      <c r="A1007" s="113">
        <v>1220</v>
      </c>
      <c r="B1007" s="227"/>
      <c r="C1007" s="227"/>
      <c r="D1007" s="227"/>
      <c r="E1007" s="227"/>
      <c r="F1007" s="227">
        <v>-15000</v>
      </c>
      <c r="G1007" s="227"/>
      <c r="H1007" s="227"/>
      <c r="I1007" s="227"/>
      <c r="J1007" s="227"/>
      <c r="K1007" s="227"/>
      <c r="L1007" s="227"/>
      <c r="M1007" s="227"/>
      <c r="N1007" s="227"/>
      <c r="O1007" s="227"/>
      <c r="P1007" s="227"/>
      <c r="Q1007" s="227">
        <v>-15000</v>
      </c>
    </row>
    <row r="1008" spans="1:17" x14ac:dyDescent="0.3">
      <c r="A1008" s="113">
        <v>1221</v>
      </c>
      <c r="B1008" s="227"/>
      <c r="C1008" s="227"/>
      <c r="D1008" s="227"/>
      <c r="E1008" s="227"/>
      <c r="F1008" s="227"/>
      <c r="G1008" s="227"/>
      <c r="H1008" s="227"/>
      <c r="I1008" s="227">
        <v>-2000</v>
      </c>
      <c r="J1008" s="227"/>
      <c r="K1008" s="227"/>
      <c r="L1008" s="227"/>
      <c r="M1008" s="227"/>
      <c r="N1008" s="227"/>
      <c r="O1008" s="227"/>
      <c r="P1008" s="227"/>
      <c r="Q1008" s="227">
        <v>-2000</v>
      </c>
    </row>
    <row r="1009" spans="1:17" x14ac:dyDescent="0.3">
      <c r="A1009" s="113">
        <v>1222</v>
      </c>
      <c r="B1009" s="227"/>
      <c r="C1009" s="227"/>
      <c r="D1009" s="227"/>
      <c r="E1009" s="227"/>
      <c r="F1009" s="227"/>
      <c r="G1009" s="227">
        <v>-100</v>
      </c>
      <c r="H1009" s="227"/>
      <c r="I1009" s="227"/>
      <c r="J1009" s="227"/>
      <c r="K1009" s="227"/>
      <c r="L1009" s="227"/>
      <c r="M1009" s="227"/>
      <c r="N1009" s="227"/>
      <c r="O1009" s="227"/>
      <c r="P1009" s="227"/>
      <c r="Q1009" s="227">
        <v>-100</v>
      </c>
    </row>
    <row r="1010" spans="1:17" x14ac:dyDescent="0.3">
      <c r="A1010" s="113">
        <v>1223</v>
      </c>
      <c r="B1010" s="227">
        <v>50000</v>
      </c>
      <c r="C1010" s="227"/>
      <c r="D1010" s="227"/>
      <c r="E1010" s="227"/>
      <c r="F1010" s="227"/>
      <c r="G1010" s="227"/>
      <c r="H1010" s="227"/>
      <c r="I1010" s="227"/>
      <c r="J1010" s="227"/>
      <c r="K1010" s="227"/>
      <c r="L1010" s="227"/>
      <c r="M1010" s="227"/>
      <c r="N1010" s="227"/>
      <c r="O1010" s="227"/>
      <c r="P1010" s="227"/>
      <c r="Q1010" s="227">
        <v>50000</v>
      </c>
    </row>
    <row r="1011" spans="1:17" x14ac:dyDescent="0.3">
      <c r="A1011" s="113">
        <v>1224</v>
      </c>
      <c r="B1011" s="227"/>
      <c r="C1011" s="227"/>
      <c r="D1011" s="227"/>
      <c r="E1011" s="227">
        <v>-30000</v>
      </c>
      <c r="F1011" s="227"/>
      <c r="G1011" s="227"/>
      <c r="H1011" s="227"/>
      <c r="I1011" s="227"/>
      <c r="J1011" s="227"/>
      <c r="K1011" s="227"/>
      <c r="L1011" s="227"/>
      <c r="M1011" s="227"/>
      <c r="N1011" s="227"/>
      <c r="O1011" s="227"/>
      <c r="P1011" s="227"/>
      <c r="Q1011" s="227">
        <v>-30000</v>
      </c>
    </row>
    <row r="1012" spans="1:17" x14ac:dyDescent="0.3">
      <c r="A1012" s="113">
        <v>1225</v>
      </c>
      <c r="B1012" s="227"/>
      <c r="C1012" s="227"/>
      <c r="D1012" s="227"/>
      <c r="E1012" s="227"/>
      <c r="F1012" s="227"/>
      <c r="G1012" s="227">
        <v>-100</v>
      </c>
      <c r="H1012" s="227"/>
      <c r="I1012" s="227"/>
      <c r="J1012" s="227"/>
      <c r="K1012" s="227"/>
      <c r="L1012" s="227"/>
      <c r="M1012" s="227"/>
      <c r="N1012" s="227"/>
      <c r="O1012" s="227"/>
      <c r="P1012" s="227"/>
      <c r="Q1012" s="227">
        <v>-100</v>
      </c>
    </row>
    <row r="1013" spans="1:17" x14ac:dyDescent="0.3">
      <c r="A1013" s="113">
        <v>1226</v>
      </c>
      <c r="B1013" s="227"/>
      <c r="C1013" s="227"/>
      <c r="D1013" s="227"/>
      <c r="E1013" s="227"/>
      <c r="F1013" s="227"/>
      <c r="G1013" s="227">
        <v>-30</v>
      </c>
      <c r="H1013" s="227"/>
      <c r="I1013" s="227"/>
      <c r="J1013" s="227"/>
      <c r="K1013" s="227"/>
      <c r="L1013" s="227"/>
      <c r="M1013" s="227"/>
      <c r="N1013" s="227"/>
      <c r="O1013" s="227"/>
      <c r="P1013" s="227"/>
      <c r="Q1013" s="227">
        <v>-30</v>
      </c>
    </row>
    <row r="1014" spans="1:17" x14ac:dyDescent="0.3">
      <c r="A1014" s="113">
        <v>1227</v>
      </c>
      <c r="B1014" s="227"/>
      <c r="C1014" s="227"/>
      <c r="D1014" s="227"/>
      <c r="E1014" s="227"/>
      <c r="F1014" s="227"/>
      <c r="G1014" s="227">
        <v>-100</v>
      </c>
      <c r="H1014" s="227"/>
      <c r="I1014" s="227"/>
      <c r="J1014" s="227"/>
      <c r="K1014" s="227"/>
      <c r="L1014" s="227"/>
      <c r="M1014" s="227"/>
      <c r="N1014" s="227"/>
      <c r="O1014" s="227"/>
      <c r="P1014" s="227"/>
      <c r="Q1014" s="227">
        <v>-100</v>
      </c>
    </row>
    <row r="1015" spans="1:17" x14ac:dyDescent="0.3">
      <c r="A1015" s="113">
        <v>1228</v>
      </c>
      <c r="B1015" s="227"/>
      <c r="C1015" s="227"/>
      <c r="D1015" s="227"/>
      <c r="E1015" s="227"/>
      <c r="F1015" s="227"/>
      <c r="G1015" s="227"/>
      <c r="H1015" s="227"/>
      <c r="I1015" s="227">
        <v>-10000</v>
      </c>
      <c r="J1015" s="227"/>
      <c r="K1015" s="227"/>
      <c r="L1015" s="227"/>
      <c r="M1015" s="227"/>
      <c r="N1015" s="227"/>
      <c r="O1015" s="227"/>
      <c r="P1015" s="227"/>
      <c r="Q1015" s="227">
        <v>-10000</v>
      </c>
    </row>
    <row r="1016" spans="1:17" x14ac:dyDescent="0.3">
      <c r="A1016" s="113">
        <v>1229</v>
      </c>
      <c r="B1016" s="227"/>
      <c r="C1016" s="227"/>
      <c r="D1016" s="227"/>
      <c r="E1016" s="227"/>
      <c r="F1016" s="227"/>
      <c r="G1016" s="227"/>
      <c r="H1016" s="227"/>
      <c r="I1016" s="227"/>
      <c r="J1016" s="227"/>
      <c r="K1016" s="227"/>
      <c r="L1016" s="227"/>
      <c r="M1016" s="227"/>
      <c r="N1016" s="227"/>
      <c r="O1016" s="227">
        <v>-15050</v>
      </c>
      <c r="P1016" s="227"/>
      <c r="Q1016" s="227">
        <v>-15050</v>
      </c>
    </row>
    <row r="1017" spans="1:17" x14ac:dyDescent="0.3">
      <c r="A1017" s="113">
        <v>1230</v>
      </c>
      <c r="B1017" s="227">
        <v>150000</v>
      </c>
      <c r="C1017" s="227"/>
      <c r="D1017" s="227"/>
      <c r="E1017" s="227"/>
      <c r="F1017" s="227"/>
      <c r="G1017" s="227"/>
      <c r="H1017" s="227"/>
      <c r="I1017" s="227"/>
      <c r="J1017" s="227"/>
      <c r="K1017" s="227"/>
      <c r="L1017" s="227"/>
      <c r="M1017" s="227"/>
      <c r="N1017" s="227"/>
      <c r="O1017" s="227"/>
      <c r="P1017" s="227"/>
      <c r="Q1017" s="227">
        <v>150000</v>
      </c>
    </row>
    <row r="1018" spans="1:17" x14ac:dyDescent="0.3">
      <c r="A1018" s="113">
        <v>1231</v>
      </c>
      <c r="B1018" s="227"/>
      <c r="C1018" s="227"/>
      <c r="D1018" s="227"/>
      <c r="E1018" s="227">
        <v>-80000</v>
      </c>
      <c r="F1018" s="227"/>
      <c r="G1018" s="227"/>
      <c r="H1018" s="227"/>
      <c r="I1018" s="227"/>
      <c r="J1018" s="227"/>
      <c r="K1018" s="227"/>
      <c r="L1018" s="227"/>
      <c r="M1018" s="227"/>
      <c r="N1018" s="227"/>
      <c r="O1018" s="227"/>
      <c r="P1018" s="227"/>
      <c r="Q1018" s="227">
        <v>-80000</v>
      </c>
    </row>
    <row r="1019" spans="1:17" x14ac:dyDescent="0.3">
      <c r="A1019" s="113">
        <v>1232</v>
      </c>
      <c r="B1019" s="227"/>
      <c r="C1019" s="227"/>
      <c r="D1019" s="227"/>
      <c r="E1019" s="227"/>
      <c r="F1019" s="227"/>
      <c r="G1019" s="227"/>
      <c r="H1019" s="227"/>
      <c r="I1019" s="227">
        <v>-90000</v>
      </c>
      <c r="J1019" s="227"/>
      <c r="K1019" s="227"/>
      <c r="L1019" s="227"/>
      <c r="M1019" s="227"/>
      <c r="N1019" s="227"/>
      <c r="O1019" s="227"/>
      <c r="P1019" s="227"/>
      <c r="Q1019" s="227">
        <v>-90000</v>
      </c>
    </row>
    <row r="1020" spans="1:17" x14ac:dyDescent="0.3">
      <c r="A1020" s="113">
        <v>1233</v>
      </c>
      <c r="B1020" s="227"/>
      <c r="C1020" s="227"/>
      <c r="D1020" s="227"/>
      <c r="E1020" s="227"/>
      <c r="F1020" s="227"/>
      <c r="G1020" s="227"/>
      <c r="H1020" s="227"/>
      <c r="I1020" s="227"/>
      <c r="J1020" s="227"/>
      <c r="K1020" s="227"/>
      <c r="L1020" s="227"/>
      <c r="M1020" s="227"/>
      <c r="N1020" s="227"/>
      <c r="O1020" s="227">
        <v>-1000</v>
      </c>
      <c r="P1020" s="227"/>
      <c r="Q1020" s="227">
        <v>-1000</v>
      </c>
    </row>
    <row r="1021" spans="1:17" x14ac:dyDescent="0.3">
      <c r="A1021" s="113">
        <v>1234</v>
      </c>
      <c r="B1021" s="227"/>
      <c r="C1021" s="227"/>
      <c r="D1021" s="227"/>
      <c r="E1021" s="227"/>
      <c r="F1021" s="227"/>
      <c r="G1021" s="227"/>
      <c r="H1021" s="227"/>
      <c r="I1021" s="227"/>
      <c r="J1021" s="227">
        <v>-10000</v>
      </c>
      <c r="K1021" s="227"/>
      <c r="L1021" s="227"/>
      <c r="M1021" s="227"/>
      <c r="N1021" s="227"/>
      <c r="O1021" s="227"/>
      <c r="P1021" s="227"/>
      <c r="Q1021" s="227">
        <v>-10000</v>
      </c>
    </row>
    <row r="1022" spans="1:17" x14ac:dyDescent="0.3">
      <c r="A1022" s="113">
        <v>1235</v>
      </c>
      <c r="B1022" s="227"/>
      <c r="C1022" s="227"/>
      <c r="D1022" s="227"/>
      <c r="E1022" s="227"/>
      <c r="F1022" s="227"/>
      <c r="G1022" s="227"/>
      <c r="H1022" s="227"/>
      <c r="I1022" s="227">
        <v>-5000</v>
      </c>
      <c r="J1022" s="227"/>
      <c r="K1022" s="227"/>
      <c r="L1022" s="227"/>
      <c r="M1022" s="227"/>
      <c r="N1022" s="227"/>
      <c r="O1022" s="227"/>
      <c r="P1022" s="227"/>
      <c r="Q1022" s="227">
        <v>-5000</v>
      </c>
    </row>
    <row r="1023" spans="1:17" x14ac:dyDescent="0.3">
      <c r="A1023" s="113">
        <v>1236</v>
      </c>
      <c r="B1023" s="227">
        <v>100000</v>
      </c>
      <c r="C1023" s="227"/>
      <c r="D1023" s="227"/>
      <c r="E1023" s="227"/>
      <c r="F1023" s="227"/>
      <c r="G1023" s="227"/>
      <c r="H1023" s="227"/>
      <c r="I1023" s="227"/>
      <c r="J1023" s="227"/>
      <c r="K1023" s="227"/>
      <c r="L1023" s="227"/>
      <c r="M1023" s="227"/>
      <c r="N1023" s="227"/>
      <c r="O1023" s="227"/>
      <c r="P1023" s="227"/>
      <c r="Q1023" s="227">
        <v>100000</v>
      </c>
    </row>
    <row r="1024" spans="1:17" x14ac:dyDescent="0.3">
      <c r="A1024" s="113">
        <v>1237</v>
      </c>
      <c r="B1024" s="227"/>
      <c r="C1024" s="227"/>
      <c r="D1024" s="227"/>
      <c r="E1024" s="227"/>
      <c r="F1024" s="227"/>
      <c r="G1024" s="227"/>
      <c r="H1024" s="227"/>
      <c r="I1024" s="227"/>
      <c r="J1024" s="227"/>
      <c r="K1024" s="227"/>
      <c r="L1024" s="227">
        <v>-60000</v>
      </c>
      <c r="M1024" s="227"/>
      <c r="N1024" s="227"/>
      <c r="O1024" s="227"/>
      <c r="P1024" s="227"/>
      <c r="Q1024" s="227">
        <v>-60000</v>
      </c>
    </row>
    <row r="1025" spans="1:17" x14ac:dyDescent="0.3">
      <c r="A1025" s="113">
        <v>1238</v>
      </c>
      <c r="B1025" s="227"/>
      <c r="C1025" s="227"/>
      <c r="D1025" s="227"/>
      <c r="E1025" s="227">
        <v>-50000</v>
      </c>
      <c r="F1025" s="227"/>
      <c r="G1025" s="227"/>
      <c r="H1025" s="227"/>
      <c r="I1025" s="227"/>
      <c r="J1025" s="227"/>
      <c r="K1025" s="227"/>
      <c r="L1025" s="227"/>
      <c r="M1025" s="227"/>
      <c r="N1025" s="227"/>
      <c r="O1025" s="227"/>
      <c r="P1025" s="227"/>
      <c r="Q1025" s="227">
        <v>-50000</v>
      </c>
    </row>
    <row r="1026" spans="1:17" x14ac:dyDescent="0.3">
      <c r="A1026" s="113">
        <v>1239</v>
      </c>
      <c r="B1026" s="227"/>
      <c r="C1026" s="227"/>
      <c r="D1026" s="227"/>
      <c r="E1026" s="227"/>
      <c r="F1026" s="227"/>
      <c r="G1026" s="227"/>
      <c r="H1026" s="227"/>
      <c r="I1026" s="227"/>
      <c r="J1026" s="227"/>
      <c r="K1026" s="227"/>
      <c r="L1026" s="227"/>
      <c r="M1026" s="227"/>
      <c r="N1026" s="227"/>
      <c r="O1026" s="227">
        <v>-5000</v>
      </c>
      <c r="P1026" s="227"/>
      <c r="Q1026" s="227">
        <v>-5000</v>
      </c>
    </row>
    <row r="1027" spans="1:17" x14ac:dyDescent="0.3">
      <c r="A1027" s="113">
        <v>1240</v>
      </c>
      <c r="B1027" s="227"/>
      <c r="C1027" s="227"/>
      <c r="D1027" s="227"/>
      <c r="E1027" s="227"/>
      <c r="F1027" s="227"/>
      <c r="G1027" s="227"/>
      <c r="H1027" s="227"/>
      <c r="I1027" s="227">
        <v>-2000</v>
      </c>
      <c r="J1027" s="227"/>
      <c r="K1027" s="227"/>
      <c r="L1027" s="227"/>
      <c r="M1027" s="227"/>
      <c r="N1027" s="227"/>
      <c r="O1027" s="227"/>
      <c r="P1027" s="227"/>
      <c r="Q1027" s="227">
        <v>-2000</v>
      </c>
    </row>
    <row r="1028" spans="1:17" x14ac:dyDescent="0.3">
      <c r="A1028" s="113">
        <v>1241</v>
      </c>
      <c r="B1028" s="227"/>
      <c r="C1028" s="227"/>
      <c r="D1028" s="227">
        <v>-18000</v>
      </c>
      <c r="E1028" s="227"/>
      <c r="F1028" s="227"/>
      <c r="G1028" s="227"/>
      <c r="H1028" s="227"/>
      <c r="I1028" s="227"/>
      <c r="J1028" s="227"/>
      <c r="K1028" s="227"/>
      <c r="L1028" s="227"/>
      <c r="M1028" s="227"/>
      <c r="N1028" s="227"/>
      <c r="O1028" s="227"/>
      <c r="P1028" s="227"/>
      <c r="Q1028" s="227">
        <v>-18000</v>
      </c>
    </row>
    <row r="1029" spans="1:17" x14ac:dyDescent="0.3">
      <c r="A1029" s="113">
        <v>1242</v>
      </c>
      <c r="B1029" s="227">
        <v>30000</v>
      </c>
      <c r="C1029" s="227"/>
      <c r="D1029" s="227"/>
      <c r="E1029" s="227"/>
      <c r="F1029" s="227"/>
      <c r="G1029" s="227"/>
      <c r="H1029" s="227"/>
      <c r="I1029" s="227"/>
      <c r="J1029" s="227"/>
      <c r="K1029" s="227"/>
      <c r="L1029" s="227"/>
      <c r="M1029" s="227"/>
      <c r="N1029" s="227"/>
      <c r="O1029" s="227"/>
      <c r="P1029" s="227"/>
      <c r="Q1029" s="227">
        <v>30000</v>
      </c>
    </row>
    <row r="1030" spans="1:17" x14ac:dyDescent="0.3">
      <c r="A1030" s="113">
        <v>1243</v>
      </c>
      <c r="B1030" s="227"/>
      <c r="C1030" s="227"/>
      <c r="D1030" s="227"/>
      <c r="E1030" s="227">
        <v>-30000</v>
      </c>
      <c r="F1030" s="227"/>
      <c r="G1030" s="227"/>
      <c r="H1030" s="227"/>
      <c r="I1030" s="227"/>
      <c r="J1030" s="227"/>
      <c r="K1030" s="227"/>
      <c r="L1030" s="227"/>
      <c r="M1030" s="227"/>
      <c r="N1030" s="227"/>
      <c r="O1030" s="227"/>
      <c r="P1030" s="227"/>
      <c r="Q1030" s="227">
        <v>-30000</v>
      </c>
    </row>
    <row r="1031" spans="1:17" x14ac:dyDescent="0.3">
      <c r="A1031" s="113">
        <v>1244</v>
      </c>
      <c r="B1031" s="227">
        <v>30000</v>
      </c>
      <c r="C1031" s="227"/>
      <c r="D1031" s="227"/>
      <c r="E1031" s="227"/>
      <c r="F1031" s="227"/>
      <c r="G1031" s="227"/>
      <c r="H1031" s="227"/>
      <c r="I1031" s="227"/>
      <c r="J1031" s="227"/>
      <c r="K1031" s="227"/>
      <c r="L1031" s="227"/>
      <c r="M1031" s="227"/>
      <c r="N1031" s="227"/>
      <c r="O1031" s="227"/>
      <c r="P1031" s="227"/>
      <c r="Q1031" s="227">
        <v>30000</v>
      </c>
    </row>
    <row r="1032" spans="1:17" x14ac:dyDescent="0.3">
      <c r="A1032" s="113">
        <v>1245</v>
      </c>
      <c r="B1032" s="227"/>
      <c r="C1032" s="227"/>
      <c r="D1032" s="227"/>
      <c r="E1032" s="227"/>
      <c r="F1032" s="227"/>
      <c r="G1032" s="227"/>
      <c r="H1032" s="227"/>
      <c r="I1032" s="227"/>
      <c r="J1032" s="227"/>
      <c r="K1032" s="227"/>
      <c r="L1032" s="227"/>
      <c r="M1032" s="227"/>
      <c r="N1032" s="227"/>
      <c r="O1032" s="227">
        <v>-500</v>
      </c>
      <c r="P1032" s="227"/>
      <c r="Q1032" s="227">
        <v>-500</v>
      </c>
    </row>
    <row r="1033" spans="1:17" x14ac:dyDescent="0.3">
      <c r="A1033" s="113">
        <v>1246</v>
      </c>
      <c r="B1033" s="227"/>
      <c r="C1033" s="227"/>
      <c r="D1033" s="227"/>
      <c r="E1033" s="227"/>
      <c r="F1033" s="227"/>
      <c r="G1033" s="227"/>
      <c r="H1033" s="227"/>
      <c r="I1033" s="227">
        <v>-12000</v>
      </c>
      <c r="J1033" s="227"/>
      <c r="K1033" s="227"/>
      <c r="L1033" s="227"/>
      <c r="M1033" s="227"/>
      <c r="N1033" s="227"/>
      <c r="O1033" s="227"/>
      <c r="P1033" s="227"/>
      <c r="Q1033" s="227">
        <v>-12000</v>
      </c>
    </row>
    <row r="1034" spans="1:17" x14ac:dyDescent="0.3">
      <c r="A1034" s="113">
        <v>1247</v>
      </c>
      <c r="B1034" s="227"/>
      <c r="C1034" s="227"/>
      <c r="D1034" s="227"/>
      <c r="E1034" s="227"/>
      <c r="F1034" s="227"/>
      <c r="G1034" s="227"/>
      <c r="H1034" s="227"/>
      <c r="I1034" s="227"/>
      <c r="J1034" s="227">
        <v>-20000</v>
      </c>
      <c r="K1034" s="227"/>
      <c r="L1034" s="227"/>
      <c r="M1034" s="227"/>
      <c r="N1034" s="227"/>
      <c r="O1034" s="227"/>
      <c r="P1034" s="227"/>
      <c r="Q1034" s="227">
        <v>-20000</v>
      </c>
    </row>
    <row r="1035" spans="1:17" x14ac:dyDescent="0.3">
      <c r="A1035" s="113">
        <v>1248</v>
      </c>
      <c r="B1035" s="227"/>
      <c r="C1035" s="227"/>
      <c r="D1035" s="227"/>
      <c r="E1035" s="227"/>
      <c r="F1035" s="227"/>
      <c r="G1035" s="227"/>
      <c r="H1035" s="227"/>
      <c r="I1035" s="227">
        <v>-2000</v>
      </c>
      <c r="J1035" s="227"/>
      <c r="K1035" s="227"/>
      <c r="L1035" s="227"/>
      <c r="M1035" s="227"/>
      <c r="N1035" s="227"/>
      <c r="O1035" s="227"/>
      <c r="P1035" s="227"/>
      <c r="Q1035" s="227">
        <v>-2000</v>
      </c>
    </row>
    <row r="1036" spans="1:17" x14ac:dyDescent="0.3">
      <c r="A1036" s="113">
        <v>1249</v>
      </c>
      <c r="B1036" s="227"/>
      <c r="C1036" s="227"/>
      <c r="D1036" s="227"/>
      <c r="E1036" s="227"/>
      <c r="F1036" s="227"/>
      <c r="G1036" s="227">
        <v>-100</v>
      </c>
      <c r="H1036" s="227"/>
      <c r="I1036" s="227"/>
      <c r="J1036" s="227"/>
      <c r="K1036" s="227"/>
      <c r="L1036" s="227"/>
      <c r="M1036" s="227"/>
      <c r="N1036" s="227"/>
      <c r="O1036" s="227"/>
      <c r="P1036" s="227"/>
      <c r="Q1036" s="227">
        <v>-100</v>
      </c>
    </row>
    <row r="1037" spans="1:17" x14ac:dyDescent="0.3">
      <c r="A1037" s="113">
        <v>1250</v>
      </c>
      <c r="B1037" s="227"/>
      <c r="C1037" s="227"/>
      <c r="D1037" s="227"/>
      <c r="E1037" s="227">
        <v>-5000</v>
      </c>
      <c r="F1037" s="227"/>
      <c r="G1037" s="227"/>
      <c r="H1037" s="227"/>
      <c r="I1037" s="227"/>
      <c r="J1037" s="227"/>
      <c r="K1037" s="227"/>
      <c r="L1037" s="227"/>
      <c r="M1037" s="227"/>
      <c r="N1037" s="227"/>
      <c r="O1037" s="227"/>
      <c r="P1037" s="227"/>
      <c r="Q1037" s="227">
        <v>-5000</v>
      </c>
    </row>
    <row r="1038" spans="1:17" x14ac:dyDescent="0.3">
      <c r="A1038" s="113">
        <v>1251</v>
      </c>
      <c r="B1038" s="227"/>
      <c r="C1038" s="227"/>
      <c r="D1038" s="227"/>
      <c r="E1038" s="227"/>
      <c r="F1038" s="227"/>
      <c r="G1038" s="227"/>
      <c r="H1038" s="227"/>
      <c r="I1038" s="227"/>
      <c r="J1038" s="227"/>
      <c r="K1038" s="227"/>
      <c r="L1038" s="227"/>
      <c r="M1038" s="227"/>
      <c r="N1038" s="227"/>
      <c r="O1038" s="227">
        <v>-5000</v>
      </c>
      <c r="P1038" s="227"/>
      <c r="Q1038" s="227">
        <v>-5000</v>
      </c>
    </row>
    <row r="1039" spans="1:17" x14ac:dyDescent="0.3">
      <c r="A1039" s="113">
        <v>1252</v>
      </c>
      <c r="B1039" s="227"/>
      <c r="C1039" s="227"/>
      <c r="D1039" s="227"/>
      <c r="E1039" s="227"/>
      <c r="F1039" s="227"/>
      <c r="G1039" s="227"/>
      <c r="H1039" s="227"/>
      <c r="I1039" s="227">
        <v>-2000</v>
      </c>
      <c r="J1039" s="227"/>
      <c r="K1039" s="227"/>
      <c r="L1039" s="227"/>
      <c r="M1039" s="227"/>
      <c r="N1039" s="227"/>
      <c r="O1039" s="227"/>
      <c r="P1039" s="227"/>
      <c r="Q1039" s="227">
        <v>-2000</v>
      </c>
    </row>
    <row r="1040" spans="1:17" x14ac:dyDescent="0.3">
      <c r="A1040" s="113">
        <v>1253</v>
      </c>
      <c r="B1040" s="227">
        <v>30000</v>
      </c>
      <c r="C1040" s="227"/>
      <c r="D1040" s="227"/>
      <c r="E1040" s="227"/>
      <c r="F1040" s="227"/>
      <c r="G1040" s="227"/>
      <c r="H1040" s="227"/>
      <c r="I1040" s="227"/>
      <c r="J1040" s="227"/>
      <c r="K1040" s="227"/>
      <c r="L1040" s="227"/>
      <c r="M1040" s="227"/>
      <c r="N1040" s="227"/>
      <c r="O1040" s="227"/>
      <c r="P1040" s="227"/>
      <c r="Q1040" s="227">
        <v>30000</v>
      </c>
    </row>
    <row r="1041" spans="1:17" x14ac:dyDescent="0.3">
      <c r="A1041" s="113">
        <v>1254</v>
      </c>
      <c r="B1041" s="227"/>
      <c r="C1041" s="227"/>
      <c r="D1041" s="227"/>
      <c r="E1041" s="227">
        <v>-30000</v>
      </c>
      <c r="F1041" s="227"/>
      <c r="G1041" s="227"/>
      <c r="H1041" s="227"/>
      <c r="I1041" s="227"/>
      <c r="J1041" s="227"/>
      <c r="K1041" s="227"/>
      <c r="L1041" s="227"/>
      <c r="M1041" s="227"/>
      <c r="N1041" s="227"/>
      <c r="O1041" s="227"/>
      <c r="P1041" s="227"/>
      <c r="Q1041" s="227">
        <v>-30000</v>
      </c>
    </row>
    <row r="1042" spans="1:17" x14ac:dyDescent="0.3">
      <c r="A1042" s="113">
        <v>1255</v>
      </c>
      <c r="B1042" s="227"/>
      <c r="C1042" s="227"/>
      <c r="D1042" s="227"/>
      <c r="E1042" s="227"/>
      <c r="F1042" s="227"/>
      <c r="G1042" s="227"/>
      <c r="H1042" s="227"/>
      <c r="I1042" s="227"/>
      <c r="J1042" s="227"/>
      <c r="K1042" s="227"/>
      <c r="L1042" s="227"/>
      <c r="M1042" s="227"/>
      <c r="N1042" s="227">
        <v>-5000</v>
      </c>
      <c r="O1042" s="227"/>
      <c r="P1042" s="227"/>
      <c r="Q1042" s="227">
        <v>-5000</v>
      </c>
    </row>
    <row r="1043" spans="1:17" x14ac:dyDescent="0.3">
      <c r="A1043" s="113">
        <v>1256</v>
      </c>
      <c r="B1043" s="227"/>
      <c r="C1043" s="227"/>
      <c r="D1043" s="227"/>
      <c r="E1043" s="227"/>
      <c r="F1043" s="227"/>
      <c r="G1043" s="227"/>
      <c r="H1043" s="227"/>
      <c r="I1043" s="227">
        <v>-5000</v>
      </c>
      <c r="J1043" s="227"/>
      <c r="K1043" s="227"/>
      <c r="L1043" s="227"/>
      <c r="M1043" s="227"/>
      <c r="N1043" s="227"/>
      <c r="O1043" s="227"/>
      <c r="P1043" s="227"/>
      <c r="Q1043" s="227">
        <v>-5000</v>
      </c>
    </row>
    <row r="1044" spans="1:17" x14ac:dyDescent="0.3">
      <c r="A1044" s="113">
        <v>1257</v>
      </c>
      <c r="B1044" s="227"/>
      <c r="C1044" s="227"/>
      <c r="D1044" s="227"/>
      <c r="E1044" s="227"/>
      <c r="F1044" s="227"/>
      <c r="G1044" s="227">
        <v>-50</v>
      </c>
      <c r="H1044" s="227"/>
      <c r="I1044" s="227"/>
      <c r="J1044" s="227"/>
      <c r="K1044" s="227"/>
      <c r="L1044" s="227"/>
      <c r="M1044" s="227"/>
      <c r="N1044" s="227"/>
      <c r="O1044" s="227"/>
      <c r="P1044" s="227"/>
      <c r="Q1044" s="227">
        <v>-50</v>
      </c>
    </row>
    <row r="1045" spans="1:17" x14ac:dyDescent="0.3">
      <c r="A1045" s="113">
        <v>1258</v>
      </c>
      <c r="B1045" s="227">
        <v>50000</v>
      </c>
      <c r="C1045" s="227"/>
      <c r="D1045" s="227"/>
      <c r="E1045" s="227"/>
      <c r="F1045" s="227"/>
      <c r="G1045" s="227"/>
      <c r="H1045" s="227"/>
      <c r="I1045" s="227"/>
      <c r="J1045" s="227"/>
      <c r="K1045" s="227"/>
      <c r="L1045" s="227"/>
      <c r="M1045" s="227"/>
      <c r="N1045" s="227"/>
      <c r="O1045" s="227"/>
      <c r="P1045" s="227"/>
      <c r="Q1045" s="227">
        <v>50000</v>
      </c>
    </row>
    <row r="1046" spans="1:17" x14ac:dyDescent="0.3">
      <c r="A1046" s="113">
        <v>1259</v>
      </c>
      <c r="B1046" s="227"/>
      <c r="C1046" s="227"/>
      <c r="D1046" s="227"/>
      <c r="E1046" s="227">
        <v>-50000</v>
      </c>
      <c r="F1046" s="227"/>
      <c r="G1046" s="227"/>
      <c r="H1046" s="227"/>
      <c r="I1046" s="227"/>
      <c r="J1046" s="227"/>
      <c r="K1046" s="227"/>
      <c r="L1046" s="227"/>
      <c r="M1046" s="227"/>
      <c r="N1046" s="227"/>
      <c r="O1046" s="227"/>
      <c r="P1046" s="227"/>
      <c r="Q1046" s="227">
        <v>-50000</v>
      </c>
    </row>
    <row r="1047" spans="1:17" x14ac:dyDescent="0.3">
      <c r="A1047" s="113">
        <v>1260</v>
      </c>
      <c r="B1047" s="227"/>
      <c r="C1047" s="227"/>
      <c r="D1047" s="227"/>
      <c r="E1047" s="227"/>
      <c r="F1047" s="227">
        <v>-20000</v>
      </c>
      <c r="G1047" s="227"/>
      <c r="H1047" s="227"/>
      <c r="I1047" s="227"/>
      <c r="J1047" s="227"/>
      <c r="K1047" s="227"/>
      <c r="L1047" s="227"/>
      <c r="M1047" s="227"/>
      <c r="N1047" s="227"/>
      <c r="O1047" s="227"/>
      <c r="P1047" s="227"/>
      <c r="Q1047" s="227">
        <v>-20000</v>
      </c>
    </row>
    <row r="1048" spans="1:17" x14ac:dyDescent="0.3">
      <c r="A1048" s="113">
        <v>1261</v>
      </c>
      <c r="B1048" s="227"/>
      <c r="C1048" s="227"/>
      <c r="D1048" s="227"/>
      <c r="E1048" s="227"/>
      <c r="F1048" s="227"/>
      <c r="G1048" s="227"/>
      <c r="H1048" s="227"/>
      <c r="I1048" s="227"/>
      <c r="J1048" s="227"/>
      <c r="K1048" s="227"/>
      <c r="L1048" s="227"/>
      <c r="M1048" s="227"/>
      <c r="N1048" s="227">
        <v>-5000</v>
      </c>
      <c r="O1048" s="227"/>
      <c r="P1048" s="227"/>
      <c r="Q1048" s="227">
        <v>-5000</v>
      </c>
    </row>
    <row r="1049" spans="1:17" x14ac:dyDescent="0.3">
      <c r="A1049" s="113">
        <v>1262</v>
      </c>
      <c r="B1049" s="227"/>
      <c r="C1049" s="227"/>
      <c r="D1049" s="227"/>
      <c r="E1049" s="227"/>
      <c r="F1049" s="227"/>
      <c r="G1049" s="227"/>
      <c r="H1049" s="227"/>
      <c r="I1049" s="227"/>
      <c r="J1049" s="227"/>
      <c r="K1049" s="227"/>
      <c r="L1049" s="227"/>
      <c r="M1049" s="227"/>
      <c r="N1049" s="227"/>
      <c r="O1049" s="227">
        <v>-4000</v>
      </c>
      <c r="P1049" s="227"/>
      <c r="Q1049" s="227">
        <v>-4000</v>
      </c>
    </row>
    <row r="1050" spans="1:17" x14ac:dyDescent="0.3">
      <c r="A1050" s="113">
        <v>1263</v>
      </c>
      <c r="B1050" s="227">
        <v>50000</v>
      </c>
      <c r="C1050" s="227"/>
      <c r="D1050" s="227"/>
      <c r="E1050" s="227"/>
      <c r="F1050" s="227"/>
      <c r="G1050" s="227"/>
      <c r="H1050" s="227"/>
      <c r="I1050" s="227"/>
      <c r="J1050" s="227"/>
      <c r="K1050" s="227"/>
      <c r="L1050" s="227"/>
      <c r="M1050" s="227"/>
      <c r="N1050" s="227"/>
      <c r="O1050" s="227"/>
      <c r="P1050" s="227"/>
      <c r="Q1050" s="227">
        <v>50000</v>
      </c>
    </row>
    <row r="1051" spans="1:17" x14ac:dyDescent="0.3">
      <c r="A1051" s="113">
        <v>1264</v>
      </c>
      <c r="B1051" s="227"/>
      <c r="C1051" s="227"/>
      <c r="D1051" s="227"/>
      <c r="E1051" s="227"/>
      <c r="F1051" s="227"/>
      <c r="G1051" s="227"/>
      <c r="H1051" s="227"/>
      <c r="I1051" s="227">
        <v>-2000</v>
      </c>
      <c r="J1051" s="227"/>
      <c r="K1051" s="227"/>
      <c r="L1051" s="227"/>
      <c r="M1051" s="227"/>
      <c r="N1051" s="227"/>
      <c r="O1051" s="227"/>
      <c r="P1051" s="227"/>
      <c r="Q1051" s="227">
        <v>-2000</v>
      </c>
    </row>
    <row r="1052" spans="1:17" x14ac:dyDescent="0.3">
      <c r="A1052" s="113">
        <v>1265</v>
      </c>
      <c r="B1052" s="227"/>
      <c r="C1052" s="227"/>
      <c r="D1052" s="227"/>
      <c r="E1052" s="227">
        <v>-10000</v>
      </c>
      <c r="F1052" s="227"/>
      <c r="G1052" s="227"/>
      <c r="H1052" s="227"/>
      <c r="I1052" s="227"/>
      <c r="J1052" s="227"/>
      <c r="K1052" s="227"/>
      <c r="L1052" s="227"/>
      <c r="M1052" s="227"/>
      <c r="N1052" s="227"/>
      <c r="O1052" s="227"/>
      <c r="P1052" s="227"/>
      <c r="Q1052" s="227">
        <v>-10000</v>
      </c>
    </row>
    <row r="1053" spans="1:17" x14ac:dyDescent="0.3">
      <c r="A1053" s="113">
        <v>1266</v>
      </c>
      <c r="B1053" s="227"/>
      <c r="C1053" s="227"/>
      <c r="D1053" s="227"/>
      <c r="E1053" s="227"/>
      <c r="F1053" s="227"/>
      <c r="G1053" s="227"/>
      <c r="H1053" s="227"/>
      <c r="I1053" s="227">
        <v>-20000</v>
      </c>
      <c r="J1053" s="227"/>
      <c r="K1053" s="227"/>
      <c r="L1053" s="227"/>
      <c r="M1053" s="227"/>
      <c r="N1053" s="227"/>
      <c r="O1053" s="227"/>
      <c r="P1053" s="227"/>
      <c r="Q1053" s="227">
        <v>-20000</v>
      </c>
    </row>
    <row r="1054" spans="1:17" x14ac:dyDescent="0.3">
      <c r="A1054" s="113">
        <v>1267</v>
      </c>
      <c r="B1054" s="227">
        <v>125000</v>
      </c>
      <c r="C1054" s="227"/>
      <c r="D1054" s="227"/>
      <c r="E1054" s="227"/>
      <c r="F1054" s="227"/>
      <c r="G1054" s="227"/>
      <c r="H1054" s="227"/>
      <c r="I1054" s="227"/>
      <c r="J1054" s="227"/>
      <c r="K1054" s="227"/>
      <c r="L1054" s="227"/>
      <c r="M1054" s="227"/>
      <c r="N1054" s="227"/>
      <c r="O1054" s="227"/>
      <c r="P1054" s="227"/>
      <c r="Q1054" s="227">
        <v>125000</v>
      </c>
    </row>
    <row r="1055" spans="1:17" x14ac:dyDescent="0.3">
      <c r="A1055" s="113">
        <v>1268</v>
      </c>
      <c r="B1055" s="227"/>
      <c r="C1055" s="227"/>
      <c r="D1055" s="227"/>
      <c r="E1055" s="227"/>
      <c r="F1055" s="227">
        <v>-50000</v>
      </c>
      <c r="G1055" s="227"/>
      <c r="H1055" s="227"/>
      <c r="I1055" s="227"/>
      <c r="J1055" s="227"/>
      <c r="K1055" s="227"/>
      <c r="L1055" s="227"/>
      <c r="M1055" s="227"/>
      <c r="N1055" s="227"/>
      <c r="O1055" s="227"/>
      <c r="P1055" s="227"/>
      <c r="Q1055" s="227">
        <v>-50000</v>
      </c>
    </row>
    <row r="1056" spans="1:17" x14ac:dyDescent="0.3">
      <c r="A1056" s="113">
        <v>1269</v>
      </c>
      <c r="B1056" s="227"/>
      <c r="C1056" s="227"/>
      <c r="D1056" s="227"/>
      <c r="E1056" s="227">
        <v>-50000</v>
      </c>
      <c r="F1056" s="227"/>
      <c r="G1056" s="227"/>
      <c r="H1056" s="227"/>
      <c r="I1056" s="227"/>
      <c r="J1056" s="227"/>
      <c r="K1056" s="227"/>
      <c r="L1056" s="227"/>
      <c r="M1056" s="227"/>
      <c r="N1056" s="227"/>
      <c r="O1056" s="227"/>
      <c r="P1056" s="227"/>
      <c r="Q1056" s="227">
        <v>-50000</v>
      </c>
    </row>
    <row r="1057" spans="1:17" x14ac:dyDescent="0.3">
      <c r="A1057" s="113">
        <v>1270</v>
      </c>
      <c r="B1057" s="227"/>
      <c r="C1057" s="227"/>
      <c r="D1057" s="227"/>
      <c r="E1057" s="227"/>
      <c r="F1057" s="227"/>
      <c r="G1057" s="227"/>
      <c r="H1057" s="227"/>
      <c r="I1057" s="227">
        <v>-2000</v>
      </c>
      <c r="J1057" s="227"/>
      <c r="K1057" s="227"/>
      <c r="L1057" s="227"/>
      <c r="M1057" s="227"/>
      <c r="N1057" s="227"/>
      <c r="O1057" s="227"/>
      <c r="P1057" s="227"/>
      <c r="Q1057" s="227">
        <v>-2000</v>
      </c>
    </row>
    <row r="1058" spans="1:17" x14ac:dyDescent="0.3">
      <c r="A1058" s="113">
        <v>1271</v>
      </c>
      <c r="B1058" s="227"/>
      <c r="C1058" s="227"/>
      <c r="D1058" s="227"/>
      <c r="E1058" s="227"/>
      <c r="F1058" s="227"/>
      <c r="G1058" s="227"/>
      <c r="H1058" s="227"/>
      <c r="I1058" s="227"/>
      <c r="J1058" s="227"/>
      <c r="K1058" s="227"/>
      <c r="L1058" s="227"/>
      <c r="M1058" s="227"/>
      <c r="N1058" s="227"/>
      <c r="O1058" s="227">
        <v>-2700</v>
      </c>
      <c r="P1058" s="227"/>
      <c r="Q1058" s="227">
        <v>-2700</v>
      </c>
    </row>
    <row r="1059" spans="1:17" x14ac:dyDescent="0.3">
      <c r="A1059" s="113">
        <v>1272</v>
      </c>
      <c r="B1059" s="227"/>
      <c r="C1059" s="227"/>
      <c r="D1059" s="227"/>
      <c r="E1059" s="227"/>
      <c r="F1059" s="227"/>
      <c r="G1059" s="227"/>
      <c r="H1059" s="227"/>
      <c r="I1059" s="227"/>
      <c r="J1059" s="227"/>
      <c r="K1059" s="227"/>
      <c r="L1059" s="227"/>
      <c r="M1059" s="227"/>
      <c r="N1059" s="227"/>
      <c r="O1059" s="227">
        <v>-300</v>
      </c>
      <c r="P1059" s="227"/>
      <c r="Q1059" s="227">
        <v>-300</v>
      </c>
    </row>
    <row r="1060" spans="1:17" x14ac:dyDescent="0.3">
      <c r="A1060" s="113">
        <v>1273</v>
      </c>
      <c r="B1060" s="227">
        <v>50000</v>
      </c>
      <c r="C1060" s="227"/>
      <c r="D1060" s="227"/>
      <c r="E1060" s="227"/>
      <c r="F1060" s="227"/>
      <c r="G1060" s="227"/>
      <c r="H1060" s="227"/>
      <c r="I1060" s="227"/>
      <c r="J1060" s="227"/>
      <c r="K1060" s="227"/>
      <c r="L1060" s="227"/>
      <c r="M1060" s="227"/>
      <c r="N1060" s="227"/>
      <c r="O1060" s="227"/>
      <c r="P1060" s="227"/>
      <c r="Q1060" s="227">
        <v>50000</v>
      </c>
    </row>
    <row r="1061" spans="1:17" x14ac:dyDescent="0.3">
      <c r="A1061" s="113">
        <v>1274</v>
      </c>
      <c r="B1061" s="227">
        <v>100000</v>
      </c>
      <c r="C1061" s="227"/>
      <c r="D1061" s="227"/>
      <c r="E1061" s="227"/>
      <c r="F1061" s="227"/>
      <c r="G1061" s="227"/>
      <c r="H1061" s="227"/>
      <c r="I1061" s="227"/>
      <c r="J1061" s="227"/>
      <c r="K1061" s="227"/>
      <c r="L1061" s="227"/>
      <c r="M1061" s="227"/>
      <c r="N1061" s="227"/>
      <c r="O1061" s="227"/>
      <c r="P1061" s="227"/>
      <c r="Q1061" s="227">
        <v>100000</v>
      </c>
    </row>
    <row r="1062" spans="1:17" x14ac:dyDescent="0.3">
      <c r="A1062" s="113">
        <v>1275</v>
      </c>
      <c r="B1062" s="227"/>
      <c r="C1062" s="227"/>
      <c r="D1062" s="227"/>
      <c r="E1062" s="227"/>
      <c r="F1062" s="227">
        <v>-30000</v>
      </c>
      <c r="G1062" s="227"/>
      <c r="H1062" s="227"/>
      <c r="I1062" s="227"/>
      <c r="J1062" s="227"/>
      <c r="K1062" s="227"/>
      <c r="L1062" s="227"/>
      <c r="M1062" s="227"/>
      <c r="N1062" s="227"/>
      <c r="O1062" s="227"/>
      <c r="P1062" s="227"/>
      <c r="Q1062" s="227">
        <v>-30000</v>
      </c>
    </row>
    <row r="1063" spans="1:17" x14ac:dyDescent="0.3">
      <c r="A1063" s="113">
        <v>1276</v>
      </c>
      <c r="B1063" s="227"/>
      <c r="C1063" s="227"/>
      <c r="D1063" s="227"/>
      <c r="E1063" s="227">
        <v>-50000</v>
      </c>
      <c r="F1063" s="227"/>
      <c r="G1063" s="227"/>
      <c r="H1063" s="227"/>
      <c r="I1063" s="227"/>
      <c r="J1063" s="227"/>
      <c r="K1063" s="227"/>
      <c r="L1063" s="227"/>
      <c r="M1063" s="227"/>
      <c r="N1063" s="227"/>
      <c r="O1063" s="227"/>
      <c r="P1063" s="227"/>
      <c r="Q1063" s="227">
        <v>-50000</v>
      </c>
    </row>
    <row r="1064" spans="1:17" x14ac:dyDescent="0.3">
      <c r="A1064" s="113">
        <v>1277</v>
      </c>
      <c r="B1064" s="227"/>
      <c r="C1064" s="227"/>
      <c r="D1064" s="227"/>
      <c r="E1064" s="227"/>
      <c r="F1064" s="227"/>
      <c r="G1064" s="227"/>
      <c r="H1064" s="227"/>
      <c r="I1064" s="227"/>
      <c r="J1064" s="227"/>
      <c r="K1064" s="227"/>
      <c r="L1064" s="227">
        <v>-60000</v>
      </c>
      <c r="M1064" s="227"/>
      <c r="N1064" s="227"/>
      <c r="O1064" s="227"/>
      <c r="P1064" s="227"/>
      <c r="Q1064" s="227">
        <v>-60000</v>
      </c>
    </row>
    <row r="1065" spans="1:17" x14ac:dyDescent="0.3">
      <c r="A1065" s="113">
        <v>1278</v>
      </c>
      <c r="B1065" s="227"/>
      <c r="C1065" s="227"/>
      <c r="D1065" s="227"/>
      <c r="E1065" s="227"/>
      <c r="F1065" s="227"/>
      <c r="G1065" s="227"/>
      <c r="H1065" s="227"/>
      <c r="I1065" s="227"/>
      <c r="J1065" s="227"/>
      <c r="K1065" s="227"/>
      <c r="L1065" s="227"/>
      <c r="M1065" s="227"/>
      <c r="N1065" s="227"/>
      <c r="O1065" s="227">
        <v>-12400</v>
      </c>
      <c r="P1065" s="227"/>
      <c r="Q1065" s="227">
        <v>-12400</v>
      </c>
    </row>
    <row r="1066" spans="1:17" x14ac:dyDescent="0.3">
      <c r="A1066" s="113">
        <v>1279</v>
      </c>
      <c r="B1066" s="227"/>
      <c r="C1066" s="227"/>
      <c r="D1066" s="227"/>
      <c r="E1066" s="227"/>
      <c r="F1066" s="227"/>
      <c r="G1066" s="227"/>
      <c r="H1066" s="227"/>
      <c r="I1066" s="227">
        <v>-2000</v>
      </c>
      <c r="J1066" s="227"/>
      <c r="K1066" s="227"/>
      <c r="L1066" s="227"/>
      <c r="M1066" s="227"/>
      <c r="N1066" s="227"/>
      <c r="O1066" s="227"/>
      <c r="P1066" s="227"/>
      <c r="Q1066" s="227">
        <v>-2000</v>
      </c>
    </row>
    <row r="1067" spans="1:17" x14ac:dyDescent="0.3">
      <c r="A1067" s="113">
        <v>1280</v>
      </c>
      <c r="B1067" s="227"/>
      <c r="C1067" s="227"/>
      <c r="D1067" s="227"/>
      <c r="E1067" s="227"/>
      <c r="F1067" s="227"/>
      <c r="G1067" s="227"/>
      <c r="H1067" s="227"/>
      <c r="I1067" s="227"/>
      <c r="J1067" s="227"/>
      <c r="K1067" s="227"/>
      <c r="L1067" s="227"/>
      <c r="M1067" s="227"/>
      <c r="N1067" s="227"/>
      <c r="O1067" s="227">
        <v>-4500</v>
      </c>
      <c r="P1067" s="227"/>
      <c r="Q1067" s="227">
        <v>-4500</v>
      </c>
    </row>
    <row r="1068" spans="1:17" x14ac:dyDescent="0.3">
      <c r="A1068" s="113">
        <v>1281</v>
      </c>
      <c r="B1068" s="227">
        <v>80000</v>
      </c>
      <c r="C1068" s="227"/>
      <c r="D1068" s="227"/>
      <c r="E1068" s="227"/>
      <c r="F1068" s="227"/>
      <c r="G1068" s="227"/>
      <c r="H1068" s="227"/>
      <c r="I1068" s="227"/>
      <c r="J1068" s="227"/>
      <c r="K1068" s="227"/>
      <c r="L1068" s="227"/>
      <c r="M1068" s="227"/>
      <c r="N1068" s="227"/>
      <c r="O1068" s="227"/>
      <c r="P1068" s="227"/>
      <c r="Q1068" s="227">
        <v>80000</v>
      </c>
    </row>
    <row r="1069" spans="1:17" x14ac:dyDescent="0.3">
      <c r="A1069" s="113">
        <v>1282</v>
      </c>
      <c r="B1069" s="227"/>
      <c r="C1069" s="227"/>
      <c r="D1069" s="227"/>
      <c r="E1069" s="227"/>
      <c r="F1069" s="227">
        <v>-20000</v>
      </c>
      <c r="G1069" s="227"/>
      <c r="H1069" s="227"/>
      <c r="I1069" s="227"/>
      <c r="J1069" s="227"/>
      <c r="K1069" s="227"/>
      <c r="L1069" s="227"/>
      <c r="M1069" s="227"/>
      <c r="N1069" s="227"/>
      <c r="O1069" s="227"/>
      <c r="P1069" s="227"/>
      <c r="Q1069" s="227">
        <v>-20000</v>
      </c>
    </row>
    <row r="1070" spans="1:17" x14ac:dyDescent="0.3">
      <c r="A1070" s="113">
        <v>1283</v>
      </c>
      <c r="B1070" s="227"/>
      <c r="C1070" s="227"/>
      <c r="D1070" s="227"/>
      <c r="E1070" s="227"/>
      <c r="F1070" s="227"/>
      <c r="G1070" s="227"/>
      <c r="H1070" s="227"/>
      <c r="I1070" s="227">
        <v>-10000</v>
      </c>
      <c r="J1070" s="227"/>
      <c r="K1070" s="227"/>
      <c r="L1070" s="227"/>
      <c r="M1070" s="227"/>
      <c r="N1070" s="227"/>
      <c r="O1070" s="227"/>
      <c r="P1070" s="227"/>
      <c r="Q1070" s="227">
        <v>-10000</v>
      </c>
    </row>
    <row r="1071" spans="1:17" x14ac:dyDescent="0.3">
      <c r="A1071" s="113">
        <v>1284</v>
      </c>
      <c r="B1071" s="227"/>
      <c r="C1071" s="227"/>
      <c r="D1071" s="227"/>
      <c r="E1071" s="227">
        <v>-13000</v>
      </c>
      <c r="F1071" s="227"/>
      <c r="G1071" s="227"/>
      <c r="H1071" s="227"/>
      <c r="I1071" s="227"/>
      <c r="J1071" s="227"/>
      <c r="K1071" s="227"/>
      <c r="L1071" s="227"/>
      <c r="M1071" s="227"/>
      <c r="N1071" s="227"/>
      <c r="O1071" s="227"/>
      <c r="P1071" s="227"/>
      <c r="Q1071" s="227">
        <v>-13000</v>
      </c>
    </row>
    <row r="1072" spans="1:17" x14ac:dyDescent="0.3">
      <c r="A1072" s="113">
        <v>1285</v>
      </c>
      <c r="B1072" s="227">
        <v>50000</v>
      </c>
      <c r="C1072" s="227"/>
      <c r="D1072" s="227"/>
      <c r="E1072" s="227"/>
      <c r="F1072" s="227"/>
      <c r="G1072" s="227"/>
      <c r="H1072" s="227"/>
      <c r="I1072" s="227"/>
      <c r="J1072" s="227"/>
      <c r="K1072" s="227"/>
      <c r="L1072" s="227"/>
      <c r="M1072" s="227"/>
      <c r="N1072" s="227"/>
      <c r="O1072" s="227"/>
      <c r="P1072" s="227"/>
      <c r="Q1072" s="227">
        <v>50000</v>
      </c>
    </row>
    <row r="1073" spans="1:17" x14ac:dyDescent="0.3">
      <c r="A1073" s="113">
        <v>1286</v>
      </c>
      <c r="B1073" s="227"/>
      <c r="C1073" s="227"/>
      <c r="D1073" s="227"/>
      <c r="E1073" s="227">
        <v>-50000</v>
      </c>
      <c r="F1073" s="227"/>
      <c r="G1073" s="227"/>
      <c r="H1073" s="227"/>
      <c r="I1073" s="227"/>
      <c r="J1073" s="227"/>
      <c r="K1073" s="227"/>
      <c r="L1073" s="227"/>
      <c r="M1073" s="227"/>
      <c r="N1073" s="227"/>
      <c r="O1073" s="227"/>
      <c r="P1073" s="227"/>
      <c r="Q1073" s="227">
        <v>-50000</v>
      </c>
    </row>
    <row r="1074" spans="1:17" x14ac:dyDescent="0.3">
      <c r="A1074" s="113">
        <v>1287</v>
      </c>
      <c r="B1074" s="227"/>
      <c r="C1074" s="227"/>
      <c r="D1074" s="227"/>
      <c r="E1074" s="227"/>
      <c r="F1074" s="227"/>
      <c r="G1074" s="227"/>
      <c r="H1074" s="227"/>
      <c r="I1074" s="227"/>
      <c r="J1074" s="227"/>
      <c r="K1074" s="227"/>
      <c r="L1074" s="227"/>
      <c r="M1074" s="227"/>
      <c r="N1074" s="227"/>
      <c r="O1074" s="227">
        <v>-6650</v>
      </c>
      <c r="P1074" s="227"/>
      <c r="Q1074" s="227">
        <v>-6650</v>
      </c>
    </row>
    <row r="1075" spans="1:17" x14ac:dyDescent="0.3">
      <c r="A1075" s="113">
        <v>1288</v>
      </c>
      <c r="B1075" s="227"/>
      <c r="C1075" s="227"/>
      <c r="D1075" s="227"/>
      <c r="E1075" s="227"/>
      <c r="F1075" s="227"/>
      <c r="G1075" s="227"/>
      <c r="H1075" s="227"/>
      <c r="I1075" s="227">
        <v>-10000</v>
      </c>
      <c r="J1075" s="227"/>
      <c r="K1075" s="227"/>
      <c r="L1075" s="227"/>
      <c r="M1075" s="227"/>
      <c r="N1075" s="227"/>
      <c r="O1075" s="227"/>
      <c r="P1075" s="227"/>
      <c r="Q1075" s="227">
        <v>-10000</v>
      </c>
    </row>
    <row r="1076" spans="1:17" x14ac:dyDescent="0.3">
      <c r="A1076" s="113">
        <v>1289</v>
      </c>
      <c r="B1076" s="227"/>
      <c r="C1076" s="227"/>
      <c r="D1076" s="227"/>
      <c r="E1076" s="227"/>
      <c r="F1076" s="227"/>
      <c r="G1076" s="227"/>
      <c r="H1076" s="227"/>
      <c r="I1076" s="227"/>
      <c r="J1076" s="227"/>
      <c r="K1076" s="227"/>
      <c r="L1076" s="227">
        <v>-60000</v>
      </c>
      <c r="M1076" s="227"/>
      <c r="N1076" s="227"/>
      <c r="O1076" s="227"/>
      <c r="P1076" s="227"/>
      <c r="Q1076" s="227">
        <v>-60000</v>
      </c>
    </row>
    <row r="1077" spans="1:17" x14ac:dyDescent="0.3">
      <c r="A1077" s="113">
        <v>1290</v>
      </c>
      <c r="B1077" s="227"/>
      <c r="C1077" s="227"/>
      <c r="D1077" s="227"/>
      <c r="E1077" s="227"/>
      <c r="F1077" s="227"/>
      <c r="G1077" s="227"/>
      <c r="H1077" s="227"/>
      <c r="I1077" s="227"/>
      <c r="J1077" s="227"/>
      <c r="K1077" s="227"/>
      <c r="L1077" s="227"/>
      <c r="M1077" s="227"/>
      <c r="N1077" s="227"/>
      <c r="O1077" s="227">
        <v>-1000</v>
      </c>
      <c r="P1077" s="227"/>
      <c r="Q1077" s="227">
        <v>-1000</v>
      </c>
    </row>
    <row r="1078" spans="1:17" x14ac:dyDescent="0.3">
      <c r="A1078" s="113">
        <v>1291</v>
      </c>
      <c r="B1078" s="227"/>
      <c r="C1078" s="227"/>
      <c r="D1078" s="227"/>
      <c r="E1078" s="227"/>
      <c r="F1078" s="227"/>
      <c r="G1078" s="227"/>
      <c r="H1078" s="227"/>
      <c r="I1078" s="227"/>
      <c r="J1078" s="227"/>
      <c r="K1078" s="227"/>
      <c r="L1078" s="227"/>
      <c r="M1078" s="227"/>
      <c r="N1078" s="227"/>
      <c r="O1078" s="227">
        <v>-2000</v>
      </c>
      <c r="P1078" s="227"/>
      <c r="Q1078" s="227">
        <v>-2000</v>
      </c>
    </row>
    <row r="1079" spans="1:17" x14ac:dyDescent="0.3">
      <c r="A1079" s="113">
        <v>1292</v>
      </c>
      <c r="B1079" s="227"/>
      <c r="C1079" s="227"/>
      <c r="D1079" s="227"/>
      <c r="E1079" s="227"/>
      <c r="F1079" s="227"/>
      <c r="G1079" s="227"/>
      <c r="H1079" s="227"/>
      <c r="I1079" s="227"/>
      <c r="J1079" s="227"/>
      <c r="K1079" s="227"/>
      <c r="L1079" s="227"/>
      <c r="M1079" s="227"/>
      <c r="N1079" s="227"/>
      <c r="O1079" s="227">
        <v>-6500</v>
      </c>
      <c r="P1079" s="227"/>
      <c r="Q1079" s="227">
        <v>-6500</v>
      </c>
    </row>
    <row r="1080" spans="1:17" x14ac:dyDescent="0.3">
      <c r="A1080" s="113">
        <v>1293</v>
      </c>
      <c r="B1080" s="227">
        <v>80000</v>
      </c>
      <c r="C1080" s="227"/>
      <c r="D1080" s="227"/>
      <c r="E1080" s="227"/>
      <c r="F1080" s="227"/>
      <c r="G1080" s="227"/>
      <c r="H1080" s="227"/>
      <c r="I1080" s="227"/>
      <c r="J1080" s="227"/>
      <c r="K1080" s="227"/>
      <c r="L1080" s="227"/>
      <c r="M1080" s="227"/>
      <c r="N1080" s="227"/>
      <c r="O1080" s="227"/>
      <c r="P1080" s="227"/>
      <c r="Q1080" s="227">
        <v>80000</v>
      </c>
    </row>
    <row r="1081" spans="1:17" x14ac:dyDescent="0.3">
      <c r="A1081" s="113">
        <v>1294</v>
      </c>
      <c r="B1081" s="227"/>
      <c r="C1081" s="227"/>
      <c r="D1081" s="227"/>
      <c r="E1081" s="227"/>
      <c r="F1081" s="227"/>
      <c r="G1081" s="227"/>
      <c r="H1081" s="227"/>
      <c r="I1081" s="227"/>
      <c r="J1081" s="227"/>
      <c r="K1081" s="227"/>
      <c r="L1081" s="227"/>
      <c r="M1081" s="227"/>
      <c r="N1081" s="227"/>
      <c r="O1081" s="227">
        <v>-2600</v>
      </c>
      <c r="P1081" s="227"/>
      <c r="Q1081" s="227">
        <v>-2600</v>
      </c>
    </row>
    <row r="1082" spans="1:17" x14ac:dyDescent="0.3">
      <c r="A1082" s="113">
        <v>1295</v>
      </c>
      <c r="B1082" s="227"/>
      <c r="C1082" s="227"/>
      <c r="D1082" s="227"/>
      <c r="E1082" s="227"/>
      <c r="F1082" s="227"/>
      <c r="G1082" s="227"/>
      <c r="H1082" s="227"/>
      <c r="I1082" s="227">
        <v>-5000</v>
      </c>
      <c r="J1082" s="227"/>
      <c r="K1082" s="227"/>
      <c r="L1082" s="227"/>
      <c r="M1082" s="227"/>
      <c r="N1082" s="227"/>
      <c r="O1082" s="227"/>
      <c r="P1082" s="227"/>
      <c r="Q1082" s="227">
        <v>-5000</v>
      </c>
    </row>
    <row r="1083" spans="1:17" x14ac:dyDescent="0.3">
      <c r="A1083" s="113">
        <v>1296</v>
      </c>
      <c r="B1083" s="227"/>
      <c r="C1083" s="227"/>
      <c r="D1083" s="227"/>
      <c r="E1083" s="227"/>
      <c r="F1083" s="227"/>
      <c r="G1083" s="227"/>
      <c r="H1083" s="227"/>
      <c r="I1083" s="227"/>
      <c r="J1083" s="227"/>
      <c r="K1083" s="227"/>
      <c r="L1083" s="227"/>
      <c r="M1083" s="227"/>
      <c r="N1083" s="227"/>
      <c r="O1083" s="227">
        <v>-1000</v>
      </c>
      <c r="P1083" s="227"/>
      <c r="Q1083" s="227">
        <v>-1000</v>
      </c>
    </row>
    <row r="1084" spans="1:17" x14ac:dyDescent="0.3">
      <c r="A1084" s="113">
        <v>1297</v>
      </c>
      <c r="B1084" s="227"/>
      <c r="C1084" s="227"/>
      <c r="D1084" s="227"/>
      <c r="E1084" s="227"/>
      <c r="F1084" s="227"/>
      <c r="G1084" s="227"/>
      <c r="H1084" s="227"/>
      <c r="I1084" s="227"/>
      <c r="J1084" s="227"/>
      <c r="K1084" s="227"/>
      <c r="L1084" s="227"/>
      <c r="M1084" s="227"/>
      <c r="N1084" s="227"/>
      <c r="O1084" s="227">
        <v>-1000</v>
      </c>
      <c r="P1084" s="227"/>
      <c r="Q1084" s="227">
        <v>-1000</v>
      </c>
    </row>
    <row r="1085" spans="1:17" x14ac:dyDescent="0.3">
      <c r="A1085" s="113">
        <v>1298</v>
      </c>
      <c r="B1085" s="227">
        <v>100000</v>
      </c>
      <c r="C1085" s="227"/>
      <c r="D1085" s="227"/>
      <c r="E1085" s="227"/>
      <c r="F1085" s="227"/>
      <c r="G1085" s="227"/>
      <c r="H1085" s="227"/>
      <c r="I1085" s="227"/>
      <c r="J1085" s="227"/>
      <c r="K1085" s="227"/>
      <c r="L1085" s="227"/>
      <c r="M1085" s="227"/>
      <c r="N1085" s="227"/>
      <c r="O1085" s="227"/>
      <c r="P1085" s="227"/>
      <c r="Q1085" s="227">
        <v>100000</v>
      </c>
    </row>
    <row r="1086" spans="1:17" x14ac:dyDescent="0.3">
      <c r="A1086" s="113">
        <v>1299</v>
      </c>
      <c r="B1086" s="227"/>
      <c r="C1086" s="227"/>
      <c r="D1086" s="227"/>
      <c r="E1086" s="227"/>
      <c r="F1086" s="227"/>
      <c r="G1086" s="227"/>
      <c r="H1086" s="227"/>
      <c r="I1086" s="227"/>
      <c r="J1086" s="227"/>
      <c r="K1086" s="227">
        <v>-55000</v>
      </c>
      <c r="L1086" s="227"/>
      <c r="M1086" s="227"/>
      <c r="N1086" s="227"/>
      <c r="O1086" s="227"/>
      <c r="P1086" s="227"/>
      <c r="Q1086" s="227">
        <v>-55000</v>
      </c>
    </row>
    <row r="1087" spans="1:17" x14ac:dyDescent="0.3">
      <c r="A1087" s="113">
        <v>1300</v>
      </c>
      <c r="B1087" s="227"/>
      <c r="C1087" s="227"/>
      <c r="D1087" s="227"/>
      <c r="E1087" s="227"/>
      <c r="F1087" s="227"/>
      <c r="G1087" s="227"/>
      <c r="H1087" s="227"/>
      <c r="I1087" s="227"/>
      <c r="J1087" s="227"/>
      <c r="K1087" s="227"/>
      <c r="L1087" s="227"/>
      <c r="M1087" s="227"/>
      <c r="N1087" s="227"/>
      <c r="O1087" s="227">
        <v>-26500</v>
      </c>
      <c r="P1087" s="227"/>
      <c r="Q1087" s="227">
        <v>-26500</v>
      </c>
    </row>
    <row r="1088" spans="1:17" x14ac:dyDescent="0.3">
      <c r="A1088" s="113">
        <v>1301</v>
      </c>
      <c r="B1088" s="227"/>
      <c r="C1088" s="227"/>
      <c r="D1088" s="227"/>
      <c r="E1088" s="227"/>
      <c r="F1088" s="227"/>
      <c r="G1088" s="227">
        <v>-450</v>
      </c>
      <c r="H1088" s="227"/>
      <c r="I1088" s="227"/>
      <c r="J1088" s="227"/>
      <c r="K1088" s="227"/>
      <c r="L1088" s="227"/>
      <c r="M1088" s="227"/>
      <c r="N1088" s="227"/>
      <c r="O1088" s="227"/>
      <c r="P1088" s="227"/>
      <c r="Q1088" s="227">
        <v>-450</v>
      </c>
    </row>
    <row r="1089" spans="1:17" x14ac:dyDescent="0.3">
      <c r="A1089" s="113">
        <v>1302</v>
      </c>
      <c r="B1089" s="227"/>
      <c r="C1089" s="227"/>
      <c r="D1089" s="227"/>
      <c r="E1089" s="227"/>
      <c r="F1089" s="227"/>
      <c r="G1089" s="227"/>
      <c r="H1089" s="227"/>
      <c r="I1089" s="227"/>
      <c r="J1089" s="227"/>
      <c r="K1089" s="227"/>
      <c r="L1089" s="227"/>
      <c r="M1089" s="227"/>
      <c r="N1089" s="227"/>
      <c r="O1089" s="227">
        <v>-4600</v>
      </c>
      <c r="P1089" s="227"/>
      <c r="Q1089" s="227">
        <v>-4600</v>
      </c>
    </row>
    <row r="1090" spans="1:17" x14ac:dyDescent="0.3">
      <c r="A1090" s="113">
        <v>1303</v>
      </c>
      <c r="B1090" s="227"/>
      <c r="C1090" s="227"/>
      <c r="D1090" s="227"/>
      <c r="E1090" s="227"/>
      <c r="F1090" s="227"/>
      <c r="G1090" s="227"/>
      <c r="H1090" s="227"/>
      <c r="I1090" s="227">
        <v>-2000</v>
      </c>
      <c r="J1090" s="227"/>
      <c r="K1090" s="227"/>
      <c r="L1090" s="227"/>
      <c r="M1090" s="227"/>
      <c r="N1090" s="227"/>
      <c r="O1090" s="227"/>
      <c r="P1090" s="227"/>
      <c r="Q1090" s="227">
        <v>-2000</v>
      </c>
    </row>
    <row r="1091" spans="1:17" x14ac:dyDescent="0.3">
      <c r="A1091" s="113">
        <v>1304</v>
      </c>
      <c r="B1091" s="227"/>
      <c r="C1091" s="227"/>
      <c r="D1091" s="227"/>
      <c r="E1091" s="227"/>
      <c r="F1091" s="227"/>
      <c r="G1091" s="227"/>
      <c r="H1091" s="227"/>
      <c r="I1091" s="227"/>
      <c r="J1091" s="227"/>
      <c r="K1091" s="227"/>
      <c r="L1091" s="227"/>
      <c r="M1091" s="227"/>
      <c r="N1091" s="227"/>
      <c r="O1091" s="227">
        <v>-3000</v>
      </c>
      <c r="P1091" s="227"/>
      <c r="Q1091" s="227">
        <v>-3000</v>
      </c>
    </row>
    <row r="1092" spans="1:17" x14ac:dyDescent="0.3">
      <c r="A1092" s="113">
        <v>1305</v>
      </c>
      <c r="B1092" s="227"/>
      <c r="C1092" s="227"/>
      <c r="D1092" s="227"/>
      <c r="E1092" s="227"/>
      <c r="F1092" s="227"/>
      <c r="G1092" s="227"/>
      <c r="H1092" s="227"/>
      <c r="I1092" s="227">
        <v>-2000</v>
      </c>
      <c r="J1092" s="227"/>
      <c r="K1092" s="227"/>
      <c r="L1092" s="227"/>
      <c r="M1092" s="227"/>
      <c r="N1092" s="227"/>
      <c r="O1092" s="227"/>
      <c r="P1092" s="227"/>
      <c r="Q1092" s="227">
        <v>-2000</v>
      </c>
    </row>
    <row r="1093" spans="1:17" x14ac:dyDescent="0.3">
      <c r="A1093" s="113">
        <v>1306</v>
      </c>
      <c r="B1093" s="227"/>
      <c r="C1093" s="227"/>
      <c r="D1093" s="227"/>
      <c r="E1093" s="227"/>
      <c r="F1093" s="227"/>
      <c r="G1093" s="227">
        <v>-410</v>
      </c>
      <c r="H1093" s="227"/>
      <c r="I1093" s="227"/>
      <c r="J1093" s="227"/>
      <c r="K1093" s="227"/>
      <c r="L1093" s="227"/>
      <c r="M1093" s="227"/>
      <c r="N1093" s="227"/>
      <c r="O1093" s="227"/>
      <c r="P1093" s="227"/>
      <c r="Q1093" s="227">
        <v>-410</v>
      </c>
    </row>
    <row r="1094" spans="1:17" x14ac:dyDescent="0.3">
      <c r="A1094" s="113">
        <v>1307</v>
      </c>
      <c r="B1094" s="227">
        <v>90000</v>
      </c>
      <c r="C1094" s="227"/>
      <c r="D1094" s="227"/>
      <c r="E1094" s="227"/>
      <c r="F1094" s="227"/>
      <c r="G1094" s="227"/>
      <c r="H1094" s="227"/>
      <c r="I1094" s="227"/>
      <c r="J1094" s="227"/>
      <c r="K1094" s="227"/>
      <c r="L1094" s="227"/>
      <c r="M1094" s="227"/>
      <c r="N1094" s="227"/>
      <c r="O1094" s="227"/>
      <c r="P1094" s="227"/>
      <c r="Q1094" s="227">
        <v>90000</v>
      </c>
    </row>
    <row r="1095" spans="1:17" x14ac:dyDescent="0.3">
      <c r="A1095" s="113">
        <v>1308</v>
      </c>
      <c r="B1095" s="227"/>
      <c r="C1095" s="227"/>
      <c r="D1095" s="227"/>
      <c r="E1095" s="227"/>
      <c r="F1095" s="227"/>
      <c r="G1095" s="227"/>
      <c r="H1095" s="227"/>
      <c r="I1095" s="227"/>
      <c r="J1095" s="227">
        <v>-10000</v>
      </c>
      <c r="K1095" s="227"/>
      <c r="L1095" s="227"/>
      <c r="M1095" s="227"/>
      <c r="N1095" s="227"/>
      <c r="O1095" s="227"/>
      <c r="P1095" s="227"/>
      <c r="Q1095" s="227">
        <v>-10000</v>
      </c>
    </row>
    <row r="1096" spans="1:17" x14ac:dyDescent="0.3">
      <c r="A1096" s="113">
        <v>1309</v>
      </c>
      <c r="B1096" s="227"/>
      <c r="C1096" s="227"/>
      <c r="D1096" s="227"/>
      <c r="E1096" s="227"/>
      <c r="F1096" s="227"/>
      <c r="G1096" s="227"/>
      <c r="H1096" s="227"/>
      <c r="I1096" s="227"/>
      <c r="J1096" s="227"/>
      <c r="K1096" s="227"/>
      <c r="L1096" s="227"/>
      <c r="M1096" s="227"/>
      <c r="N1096" s="227"/>
      <c r="O1096" s="227">
        <v>-12300</v>
      </c>
      <c r="P1096" s="227"/>
      <c r="Q1096" s="227">
        <v>-12300</v>
      </c>
    </row>
    <row r="1097" spans="1:17" x14ac:dyDescent="0.3">
      <c r="A1097" s="113">
        <v>1310</v>
      </c>
      <c r="B1097" s="227"/>
      <c r="C1097" s="227"/>
      <c r="D1097" s="227"/>
      <c r="E1097" s="227"/>
      <c r="F1097" s="227"/>
      <c r="G1097" s="227"/>
      <c r="H1097" s="227"/>
      <c r="I1097" s="227"/>
      <c r="J1097" s="227"/>
      <c r="K1097" s="227"/>
      <c r="L1097" s="227"/>
      <c r="M1097" s="227"/>
      <c r="N1097" s="227"/>
      <c r="O1097" s="227">
        <v>-2000</v>
      </c>
      <c r="P1097" s="227"/>
      <c r="Q1097" s="227">
        <v>-2000</v>
      </c>
    </row>
    <row r="1098" spans="1:17" x14ac:dyDescent="0.3">
      <c r="A1098" s="113">
        <v>1311</v>
      </c>
      <c r="B1098" s="227"/>
      <c r="C1098" s="227"/>
      <c r="D1098" s="227"/>
      <c r="E1098" s="227"/>
      <c r="F1098" s="227"/>
      <c r="G1098" s="227"/>
      <c r="H1098" s="227"/>
      <c r="I1098" s="227"/>
      <c r="J1098" s="227"/>
      <c r="K1098" s="227"/>
      <c r="L1098" s="227"/>
      <c r="M1098" s="227"/>
      <c r="N1098" s="227"/>
      <c r="O1098" s="227">
        <v>-1000</v>
      </c>
      <c r="P1098" s="227"/>
      <c r="Q1098" s="227">
        <v>-1000</v>
      </c>
    </row>
    <row r="1099" spans="1:17" x14ac:dyDescent="0.3">
      <c r="A1099" s="113">
        <v>1312</v>
      </c>
      <c r="B1099" s="227">
        <v>180000</v>
      </c>
      <c r="C1099" s="227"/>
      <c r="D1099" s="227"/>
      <c r="E1099" s="227"/>
      <c r="F1099" s="227"/>
      <c r="G1099" s="227"/>
      <c r="H1099" s="227"/>
      <c r="I1099" s="227"/>
      <c r="J1099" s="227"/>
      <c r="K1099" s="227"/>
      <c r="L1099" s="227"/>
      <c r="M1099" s="227"/>
      <c r="N1099" s="227"/>
      <c r="O1099" s="227"/>
      <c r="P1099" s="227"/>
      <c r="Q1099" s="227">
        <v>180000</v>
      </c>
    </row>
    <row r="1100" spans="1:17" x14ac:dyDescent="0.3">
      <c r="A1100" s="113">
        <v>1313</v>
      </c>
      <c r="B1100" s="227"/>
      <c r="C1100" s="227"/>
      <c r="D1100" s="227"/>
      <c r="E1100" s="227">
        <v>-100000</v>
      </c>
      <c r="F1100" s="227"/>
      <c r="G1100" s="227"/>
      <c r="H1100" s="227"/>
      <c r="I1100" s="227"/>
      <c r="J1100" s="227"/>
      <c r="K1100" s="227"/>
      <c r="L1100" s="227"/>
      <c r="M1100" s="227"/>
      <c r="N1100" s="227"/>
      <c r="O1100" s="227"/>
      <c r="P1100" s="227"/>
      <c r="Q1100" s="227">
        <v>-100000</v>
      </c>
    </row>
    <row r="1101" spans="1:17" x14ac:dyDescent="0.3">
      <c r="A1101" s="113">
        <v>1314</v>
      </c>
      <c r="B1101" s="227"/>
      <c r="C1101" s="227"/>
      <c r="D1101" s="227"/>
      <c r="E1101" s="227"/>
      <c r="F1101" s="227"/>
      <c r="G1101" s="227"/>
      <c r="H1101" s="227"/>
      <c r="I1101" s="227"/>
      <c r="J1101" s="227">
        <v>-10000</v>
      </c>
      <c r="K1101" s="227"/>
      <c r="L1101" s="227"/>
      <c r="M1101" s="227"/>
      <c r="N1101" s="227"/>
      <c r="O1101" s="227"/>
      <c r="P1101" s="227"/>
      <c r="Q1101" s="227">
        <v>-10000</v>
      </c>
    </row>
    <row r="1102" spans="1:17" x14ac:dyDescent="0.3">
      <c r="A1102" s="113">
        <v>1315</v>
      </c>
      <c r="B1102" s="227"/>
      <c r="C1102" s="227"/>
      <c r="D1102" s="227"/>
      <c r="E1102" s="227"/>
      <c r="F1102" s="227"/>
      <c r="G1102" s="227"/>
      <c r="H1102" s="227"/>
      <c r="I1102" s="227">
        <v>-25000</v>
      </c>
      <c r="J1102" s="227"/>
      <c r="K1102" s="227"/>
      <c r="L1102" s="227"/>
      <c r="M1102" s="227"/>
      <c r="N1102" s="227"/>
      <c r="O1102" s="227"/>
      <c r="P1102" s="227"/>
      <c r="Q1102" s="227">
        <v>-25000</v>
      </c>
    </row>
    <row r="1103" spans="1:17" x14ac:dyDescent="0.3">
      <c r="A1103" s="113">
        <v>1316</v>
      </c>
      <c r="B1103" s="227"/>
      <c r="C1103" s="227"/>
      <c r="D1103" s="227"/>
      <c r="E1103" s="227"/>
      <c r="F1103" s="227"/>
      <c r="G1103" s="227"/>
      <c r="H1103" s="227"/>
      <c r="I1103" s="227"/>
      <c r="J1103" s="227"/>
      <c r="K1103" s="227"/>
      <c r="L1103" s="227"/>
      <c r="M1103" s="227"/>
      <c r="N1103" s="227"/>
      <c r="O1103" s="227">
        <v>-10000</v>
      </c>
      <c r="P1103" s="227"/>
      <c r="Q1103" s="227">
        <v>-10000</v>
      </c>
    </row>
    <row r="1104" spans="1:17" x14ac:dyDescent="0.3">
      <c r="A1104" s="113">
        <v>1317</v>
      </c>
      <c r="B1104" s="227"/>
      <c r="C1104" s="227"/>
      <c r="D1104" s="227"/>
      <c r="E1104" s="227"/>
      <c r="F1104" s="227"/>
      <c r="G1104" s="227"/>
      <c r="H1104" s="227"/>
      <c r="I1104" s="227"/>
      <c r="J1104" s="227"/>
      <c r="K1104" s="227"/>
      <c r="L1104" s="227">
        <v>-10000</v>
      </c>
      <c r="M1104" s="227"/>
      <c r="N1104" s="227"/>
      <c r="O1104" s="227"/>
      <c r="P1104" s="227"/>
      <c r="Q1104" s="227">
        <v>-10000</v>
      </c>
    </row>
    <row r="1105" spans="1:17" x14ac:dyDescent="0.3">
      <c r="A1105" s="113">
        <v>1318</v>
      </c>
      <c r="B1105" s="227"/>
      <c r="C1105" s="227"/>
      <c r="D1105" s="227"/>
      <c r="E1105" s="227"/>
      <c r="F1105" s="227"/>
      <c r="G1105" s="227"/>
      <c r="H1105" s="227"/>
      <c r="I1105" s="227"/>
      <c r="J1105" s="227"/>
      <c r="K1105" s="227"/>
      <c r="L1105" s="227"/>
      <c r="M1105" s="227"/>
      <c r="N1105" s="227"/>
      <c r="O1105" s="227">
        <v>-2000</v>
      </c>
      <c r="P1105" s="227"/>
      <c r="Q1105" s="227">
        <v>-2000</v>
      </c>
    </row>
    <row r="1106" spans="1:17" x14ac:dyDescent="0.3">
      <c r="A1106" s="113">
        <v>1319</v>
      </c>
      <c r="B1106" s="227"/>
      <c r="C1106" s="227"/>
      <c r="D1106" s="227"/>
      <c r="E1106" s="227"/>
      <c r="F1106" s="227"/>
      <c r="G1106" s="227"/>
      <c r="H1106" s="227"/>
      <c r="I1106" s="227">
        <v>-1000</v>
      </c>
      <c r="J1106" s="227"/>
      <c r="K1106" s="227"/>
      <c r="L1106" s="227"/>
      <c r="M1106" s="227"/>
      <c r="N1106" s="227"/>
      <c r="O1106" s="227"/>
      <c r="P1106" s="227"/>
      <c r="Q1106" s="227">
        <v>-1000</v>
      </c>
    </row>
    <row r="1107" spans="1:17" x14ac:dyDescent="0.3">
      <c r="A1107" s="113">
        <v>1320</v>
      </c>
      <c r="B1107" s="227"/>
      <c r="C1107" s="227"/>
      <c r="D1107" s="227"/>
      <c r="E1107" s="227"/>
      <c r="F1107" s="227"/>
      <c r="G1107" s="227"/>
      <c r="H1107" s="227"/>
      <c r="I1107" s="227"/>
      <c r="J1107" s="227"/>
      <c r="K1107" s="227"/>
      <c r="L1107" s="227"/>
      <c r="M1107" s="227"/>
      <c r="N1107" s="227"/>
      <c r="O1107" s="227">
        <v>-4000</v>
      </c>
      <c r="P1107" s="227"/>
      <c r="Q1107" s="227">
        <v>-4000</v>
      </c>
    </row>
    <row r="1108" spans="1:17" x14ac:dyDescent="0.3">
      <c r="A1108" s="113">
        <v>1321</v>
      </c>
      <c r="B1108" s="227"/>
      <c r="C1108" s="227"/>
      <c r="D1108" s="227"/>
      <c r="E1108" s="227"/>
      <c r="F1108" s="227"/>
      <c r="G1108" s="227"/>
      <c r="H1108" s="227"/>
      <c r="I1108" s="227"/>
      <c r="J1108" s="227"/>
      <c r="K1108" s="227"/>
      <c r="L1108" s="227"/>
      <c r="M1108" s="227"/>
      <c r="N1108" s="227"/>
      <c r="O1108" s="227">
        <v>-8000</v>
      </c>
      <c r="P1108" s="227"/>
      <c r="Q1108" s="227">
        <v>-8000</v>
      </c>
    </row>
    <row r="1109" spans="1:17" x14ac:dyDescent="0.3">
      <c r="A1109" s="113">
        <v>1322</v>
      </c>
      <c r="B1109" s="227">
        <v>200000</v>
      </c>
      <c r="C1109" s="227"/>
      <c r="D1109" s="227"/>
      <c r="E1109" s="227"/>
      <c r="F1109" s="227"/>
      <c r="G1109" s="227"/>
      <c r="H1109" s="227"/>
      <c r="I1109" s="227"/>
      <c r="J1109" s="227"/>
      <c r="K1109" s="227"/>
      <c r="L1109" s="227"/>
      <c r="M1109" s="227"/>
      <c r="N1109" s="227"/>
      <c r="O1109" s="227"/>
      <c r="P1109" s="227"/>
      <c r="Q1109" s="227">
        <v>200000</v>
      </c>
    </row>
    <row r="1110" spans="1:17" x14ac:dyDescent="0.3">
      <c r="A1110" s="113">
        <v>1323</v>
      </c>
      <c r="B1110" s="227"/>
      <c r="C1110" s="227"/>
      <c r="D1110" s="227"/>
      <c r="E1110" s="227"/>
      <c r="F1110" s="227"/>
      <c r="G1110" s="227"/>
      <c r="H1110" s="227"/>
      <c r="I1110" s="227"/>
      <c r="J1110" s="227"/>
      <c r="K1110" s="227"/>
      <c r="L1110" s="227"/>
      <c r="M1110" s="227"/>
      <c r="N1110" s="227"/>
      <c r="O1110" s="227">
        <v>-5000</v>
      </c>
      <c r="P1110" s="227"/>
      <c r="Q1110" s="227">
        <v>-5000</v>
      </c>
    </row>
    <row r="1111" spans="1:17" x14ac:dyDescent="0.3">
      <c r="A1111" s="113">
        <v>1324</v>
      </c>
      <c r="B1111" s="227"/>
      <c r="C1111" s="227"/>
      <c r="D1111" s="227"/>
      <c r="E1111" s="227"/>
      <c r="F1111" s="227"/>
      <c r="G1111" s="227"/>
      <c r="H1111" s="227"/>
      <c r="I1111" s="227"/>
      <c r="J1111" s="227"/>
      <c r="K1111" s="227"/>
      <c r="L1111" s="227"/>
      <c r="M1111" s="227"/>
      <c r="N1111" s="227"/>
      <c r="O1111" s="227">
        <v>-1800</v>
      </c>
      <c r="P1111" s="227"/>
      <c r="Q1111" s="227">
        <v>-1800</v>
      </c>
    </row>
    <row r="1112" spans="1:17" x14ac:dyDescent="0.3">
      <c r="A1112" s="113">
        <v>1325</v>
      </c>
      <c r="B1112" s="227"/>
      <c r="C1112" s="227"/>
      <c r="D1112" s="227"/>
      <c r="E1112" s="227">
        <v>-50000</v>
      </c>
      <c r="F1112" s="227"/>
      <c r="G1112" s="227"/>
      <c r="H1112" s="227"/>
      <c r="I1112" s="227"/>
      <c r="J1112" s="227"/>
      <c r="K1112" s="227"/>
      <c r="L1112" s="227"/>
      <c r="M1112" s="227"/>
      <c r="N1112" s="227"/>
      <c r="O1112" s="227"/>
      <c r="P1112" s="227"/>
      <c r="Q1112" s="227">
        <v>-50000</v>
      </c>
    </row>
    <row r="1113" spans="1:17" x14ac:dyDescent="0.3">
      <c r="A1113" s="113">
        <v>1326</v>
      </c>
      <c r="B1113" s="227"/>
      <c r="C1113" s="227"/>
      <c r="D1113" s="227"/>
      <c r="E1113" s="227"/>
      <c r="F1113" s="227"/>
      <c r="G1113" s="227"/>
      <c r="H1113" s="227"/>
      <c r="I1113" s="227"/>
      <c r="J1113" s="227"/>
      <c r="K1113" s="227"/>
      <c r="L1113" s="227"/>
      <c r="M1113" s="227"/>
      <c r="N1113" s="227"/>
      <c r="O1113" s="227">
        <v>-2000</v>
      </c>
      <c r="P1113" s="227"/>
      <c r="Q1113" s="227">
        <v>-2000</v>
      </c>
    </row>
    <row r="1114" spans="1:17" x14ac:dyDescent="0.3">
      <c r="A1114" s="113">
        <v>1327</v>
      </c>
      <c r="B1114" s="227"/>
      <c r="C1114" s="227"/>
      <c r="D1114" s="227"/>
      <c r="E1114" s="227"/>
      <c r="F1114" s="227"/>
      <c r="G1114" s="227"/>
      <c r="H1114" s="227"/>
      <c r="I1114" s="227"/>
      <c r="J1114" s="227"/>
      <c r="K1114" s="227"/>
      <c r="L1114" s="227"/>
      <c r="M1114" s="227"/>
      <c r="N1114" s="227"/>
      <c r="O1114" s="227">
        <v>-1000</v>
      </c>
      <c r="P1114" s="227"/>
      <c r="Q1114" s="227">
        <v>-1000</v>
      </c>
    </row>
    <row r="1115" spans="1:17" x14ac:dyDescent="0.3">
      <c r="A1115" s="113">
        <v>1328</v>
      </c>
      <c r="B1115" s="227"/>
      <c r="C1115" s="227"/>
      <c r="D1115" s="227"/>
      <c r="E1115" s="227"/>
      <c r="F1115" s="227"/>
      <c r="G1115" s="227">
        <v>-200</v>
      </c>
      <c r="H1115" s="227"/>
      <c r="I1115" s="227"/>
      <c r="J1115" s="227"/>
      <c r="K1115" s="227"/>
      <c r="L1115" s="227"/>
      <c r="M1115" s="227"/>
      <c r="N1115" s="227"/>
      <c r="O1115" s="227"/>
      <c r="P1115" s="227"/>
      <c r="Q1115" s="227">
        <v>-200</v>
      </c>
    </row>
    <row r="1116" spans="1:17" x14ac:dyDescent="0.3">
      <c r="A1116" s="113">
        <v>1329</v>
      </c>
      <c r="B1116" s="227"/>
      <c r="C1116" s="227"/>
      <c r="D1116" s="227"/>
      <c r="E1116" s="227"/>
      <c r="F1116" s="227"/>
      <c r="G1116" s="227"/>
      <c r="H1116" s="227"/>
      <c r="I1116" s="227"/>
      <c r="J1116" s="227"/>
      <c r="K1116" s="227"/>
      <c r="L1116" s="227"/>
      <c r="M1116" s="227"/>
      <c r="N1116" s="227"/>
      <c r="O1116" s="227">
        <v>-3000</v>
      </c>
      <c r="P1116" s="227"/>
      <c r="Q1116" s="227">
        <v>-3000</v>
      </c>
    </row>
    <row r="1117" spans="1:17" x14ac:dyDescent="0.3">
      <c r="A1117" s="113">
        <v>1330</v>
      </c>
      <c r="B1117" s="227"/>
      <c r="C1117" s="227"/>
      <c r="D1117" s="227"/>
      <c r="E1117" s="227"/>
      <c r="F1117" s="227"/>
      <c r="G1117" s="227">
        <v>-200</v>
      </c>
      <c r="H1117" s="227"/>
      <c r="I1117" s="227"/>
      <c r="J1117" s="227"/>
      <c r="K1117" s="227"/>
      <c r="L1117" s="227"/>
      <c r="M1117" s="227"/>
      <c r="N1117" s="227"/>
      <c r="O1117" s="227"/>
      <c r="P1117" s="227"/>
      <c r="Q1117" s="227">
        <v>-200</v>
      </c>
    </row>
    <row r="1118" spans="1:17" x14ac:dyDescent="0.3">
      <c r="A1118" s="113">
        <v>1331</v>
      </c>
      <c r="B1118" s="227"/>
      <c r="C1118" s="227"/>
      <c r="D1118" s="227"/>
      <c r="E1118" s="227"/>
      <c r="F1118" s="227"/>
      <c r="G1118" s="227">
        <v>-100</v>
      </c>
      <c r="H1118" s="227"/>
      <c r="I1118" s="227"/>
      <c r="J1118" s="227"/>
      <c r="K1118" s="227"/>
      <c r="L1118" s="227"/>
      <c r="M1118" s="227"/>
      <c r="N1118" s="227"/>
      <c r="O1118" s="227"/>
      <c r="P1118" s="227"/>
      <c r="Q1118" s="227">
        <v>-100</v>
      </c>
    </row>
    <row r="1119" spans="1:17" x14ac:dyDescent="0.3">
      <c r="A1119" s="113">
        <v>1332</v>
      </c>
      <c r="B1119" s="227"/>
      <c r="C1119" s="227"/>
      <c r="D1119" s="227"/>
      <c r="E1119" s="227"/>
      <c r="F1119" s="227"/>
      <c r="G1119" s="227">
        <v>-7000</v>
      </c>
      <c r="H1119" s="227"/>
      <c r="I1119" s="227"/>
      <c r="J1119" s="227"/>
      <c r="K1119" s="227"/>
      <c r="L1119" s="227"/>
      <c r="M1119" s="227"/>
      <c r="N1119" s="227"/>
      <c r="O1119" s="227"/>
      <c r="P1119" s="227"/>
      <c r="Q1119" s="227">
        <v>-7000</v>
      </c>
    </row>
    <row r="1120" spans="1:17" x14ac:dyDescent="0.3">
      <c r="A1120" s="113">
        <v>1333</v>
      </c>
      <c r="B1120" s="227"/>
      <c r="C1120" s="227"/>
      <c r="D1120" s="227"/>
      <c r="E1120" s="227"/>
      <c r="F1120" s="227"/>
      <c r="G1120" s="227"/>
      <c r="H1120" s="227"/>
      <c r="I1120" s="227"/>
      <c r="J1120" s="227"/>
      <c r="K1120" s="227"/>
      <c r="L1120" s="227"/>
      <c r="M1120" s="227"/>
      <c r="N1120" s="227">
        <v>-2500</v>
      </c>
      <c r="O1120" s="227"/>
      <c r="P1120" s="227"/>
      <c r="Q1120" s="227">
        <v>-2500</v>
      </c>
    </row>
    <row r="1121" spans="1:17" x14ac:dyDescent="0.3">
      <c r="A1121" s="113">
        <v>1334</v>
      </c>
      <c r="B1121" s="227"/>
      <c r="C1121" s="227"/>
      <c r="D1121" s="227"/>
      <c r="E1121" s="227"/>
      <c r="F1121" s="227"/>
      <c r="G1121" s="227"/>
      <c r="H1121" s="227"/>
      <c r="I1121" s="227"/>
      <c r="J1121" s="227"/>
      <c r="K1121" s="227"/>
      <c r="L1121" s="227">
        <v>-60000</v>
      </c>
      <c r="M1121" s="227"/>
      <c r="N1121" s="227"/>
      <c r="O1121" s="227"/>
      <c r="P1121" s="227"/>
      <c r="Q1121" s="227">
        <v>-60000</v>
      </c>
    </row>
    <row r="1122" spans="1:17" x14ac:dyDescent="0.3">
      <c r="A1122" s="113">
        <v>1335</v>
      </c>
      <c r="B1122" s="227">
        <v>150000</v>
      </c>
      <c r="C1122" s="227"/>
      <c r="D1122" s="227"/>
      <c r="E1122" s="227"/>
      <c r="F1122" s="227"/>
      <c r="G1122" s="227"/>
      <c r="H1122" s="227"/>
      <c r="I1122" s="227"/>
      <c r="J1122" s="227"/>
      <c r="K1122" s="227"/>
      <c r="L1122" s="227"/>
      <c r="M1122" s="227"/>
      <c r="N1122" s="227"/>
      <c r="O1122" s="227"/>
      <c r="P1122" s="227"/>
      <c r="Q1122" s="227">
        <v>150000</v>
      </c>
    </row>
    <row r="1123" spans="1:17" x14ac:dyDescent="0.3">
      <c r="A1123" s="113">
        <v>1336</v>
      </c>
      <c r="B1123" s="227"/>
      <c r="C1123" s="227"/>
      <c r="D1123" s="227">
        <v>-50000</v>
      </c>
      <c r="E1123" s="227"/>
      <c r="F1123" s="227"/>
      <c r="G1123" s="227"/>
      <c r="H1123" s="227"/>
      <c r="I1123" s="227"/>
      <c r="J1123" s="227"/>
      <c r="K1123" s="227"/>
      <c r="L1123" s="227"/>
      <c r="M1123" s="227"/>
      <c r="N1123" s="227"/>
      <c r="O1123" s="227"/>
      <c r="P1123" s="227"/>
      <c r="Q1123" s="227">
        <v>-50000</v>
      </c>
    </row>
    <row r="1124" spans="1:17" x14ac:dyDescent="0.3">
      <c r="A1124" s="113">
        <v>1337</v>
      </c>
      <c r="B1124" s="227"/>
      <c r="C1124" s="227"/>
      <c r="D1124" s="227"/>
      <c r="E1124" s="227">
        <v>-35000</v>
      </c>
      <c r="F1124" s="227"/>
      <c r="G1124" s="227"/>
      <c r="H1124" s="227"/>
      <c r="I1124" s="227"/>
      <c r="J1124" s="227"/>
      <c r="K1124" s="227"/>
      <c r="L1124" s="227"/>
      <c r="M1124" s="227"/>
      <c r="N1124" s="227"/>
      <c r="O1124" s="227"/>
      <c r="P1124" s="227"/>
      <c r="Q1124" s="227">
        <v>-35000</v>
      </c>
    </row>
    <row r="1125" spans="1:17" x14ac:dyDescent="0.3">
      <c r="A1125" s="113">
        <v>1338</v>
      </c>
      <c r="B1125" s="227"/>
      <c r="C1125" s="227"/>
      <c r="D1125" s="227"/>
      <c r="E1125" s="227"/>
      <c r="F1125" s="227"/>
      <c r="G1125" s="227"/>
      <c r="H1125" s="227"/>
      <c r="I1125" s="227"/>
      <c r="J1125" s="227"/>
      <c r="K1125" s="227"/>
      <c r="L1125" s="227"/>
      <c r="M1125" s="227"/>
      <c r="N1125" s="227"/>
      <c r="O1125" s="227">
        <v>-900</v>
      </c>
      <c r="P1125" s="227"/>
      <c r="Q1125" s="227">
        <v>-900</v>
      </c>
    </row>
    <row r="1126" spans="1:17" x14ac:dyDescent="0.3">
      <c r="A1126" s="113">
        <v>1339</v>
      </c>
      <c r="B1126" s="227"/>
      <c r="C1126" s="227"/>
      <c r="D1126" s="227"/>
      <c r="E1126" s="227"/>
      <c r="F1126" s="227"/>
      <c r="G1126" s="227">
        <v>-100</v>
      </c>
      <c r="H1126" s="227"/>
      <c r="I1126" s="227"/>
      <c r="J1126" s="227"/>
      <c r="K1126" s="227"/>
      <c r="L1126" s="227"/>
      <c r="M1126" s="227"/>
      <c r="N1126" s="227"/>
      <c r="O1126" s="227"/>
      <c r="P1126" s="227"/>
      <c r="Q1126" s="227">
        <v>-100</v>
      </c>
    </row>
    <row r="1127" spans="1:17" x14ac:dyDescent="0.3">
      <c r="A1127" s="113">
        <v>1340</v>
      </c>
      <c r="B1127" s="227"/>
      <c r="C1127" s="227"/>
      <c r="D1127" s="227"/>
      <c r="E1127" s="227"/>
      <c r="F1127" s="227"/>
      <c r="G1127" s="227"/>
      <c r="H1127" s="227"/>
      <c r="I1127" s="227"/>
      <c r="J1127" s="227"/>
      <c r="K1127" s="227"/>
      <c r="L1127" s="227"/>
      <c r="M1127" s="227">
        <v>-10000</v>
      </c>
      <c r="N1127" s="227"/>
      <c r="O1127" s="227"/>
      <c r="P1127" s="227"/>
      <c r="Q1127" s="227">
        <v>-10000</v>
      </c>
    </row>
    <row r="1128" spans="1:17" x14ac:dyDescent="0.3">
      <c r="A1128" s="113">
        <v>1341</v>
      </c>
      <c r="B1128" s="227"/>
      <c r="C1128" s="227"/>
      <c r="D1128" s="227"/>
      <c r="E1128" s="227"/>
      <c r="F1128" s="227"/>
      <c r="G1128" s="227"/>
      <c r="H1128" s="227"/>
      <c r="I1128" s="227"/>
      <c r="J1128" s="227"/>
      <c r="K1128" s="227"/>
      <c r="L1128" s="227"/>
      <c r="M1128" s="227"/>
      <c r="N1128" s="227"/>
      <c r="O1128" s="227">
        <v>-1000</v>
      </c>
      <c r="P1128" s="227"/>
      <c r="Q1128" s="227">
        <v>-1000</v>
      </c>
    </row>
    <row r="1129" spans="1:17" x14ac:dyDescent="0.3">
      <c r="A1129" s="113">
        <v>1342</v>
      </c>
      <c r="B1129" s="227"/>
      <c r="C1129" s="227"/>
      <c r="D1129" s="227"/>
      <c r="E1129" s="227"/>
      <c r="F1129" s="227"/>
      <c r="G1129" s="227">
        <v>-250</v>
      </c>
      <c r="H1129" s="227"/>
      <c r="I1129" s="227"/>
      <c r="J1129" s="227"/>
      <c r="K1129" s="227"/>
      <c r="L1129" s="227"/>
      <c r="M1129" s="227"/>
      <c r="N1129" s="227"/>
      <c r="O1129" s="227"/>
      <c r="P1129" s="227"/>
      <c r="Q1129" s="227">
        <v>-250</v>
      </c>
    </row>
    <row r="1130" spans="1:17" x14ac:dyDescent="0.3">
      <c r="A1130" s="113">
        <v>1343</v>
      </c>
      <c r="B1130" s="227"/>
      <c r="C1130" s="227"/>
      <c r="D1130" s="227"/>
      <c r="E1130" s="227"/>
      <c r="F1130" s="227"/>
      <c r="G1130" s="227">
        <v>-90</v>
      </c>
      <c r="H1130" s="227"/>
      <c r="I1130" s="227"/>
      <c r="J1130" s="227"/>
      <c r="K1130" s="227"/>
      <c r="L1130" s="227"/>
      <c r="M1130" s="227"/>
      <c r="N1130" s="227"/>
      <c r="O1130" s="227"/>
      <c r="P1130" s="227"/>
      <c r="Q1130" s="227">
        <v>-90</v>
      </c>
    </row>
    <row r="1131" spans="1:17" x14ac:dyDescent="0.3">
      <c r="A1131" s="113">
        <v>1344</v>
      </c>
      <c r="B1131" s="227"/>
      <c r="C1131" s="227"/>
      <c r="D1131" s="227"/>
      <c r="E1131" s="227"/>
      <c r="F1131" s="227"/>
      <c r="G1131" s="227"/>
      <c r="H1131" s="227"/>
      <c r="I1131" s="227"/>
      <c r="J1131" s="227"/>
      <c r="K1131" s="227"/>
      <c r="L1131" s="227"/>
      <c r="M1131" s="227"/>
      <c r="N1131" s="227"/>
      <c r="O1131" s="227">
        <v>-900</v>
      </c>
      <c r="P1131" s="227"/>
      <c r="Q1131" s="227">
        <v>-900</v>
      </c>
    </row>
    <row r="1132" spans="1:17" x14ac:dyDescent="0.3">
      <c r="A1132" s="113">
        <v>1345</v>
      </c>
      <c r="B1132" s="227"/>
      <c r="C1132" s="227"/>
      <c r="D1132" s="227"/>
      <c r="E1132" s="227"/>
      <c r="F1132" s="227"/>
      <c r="G1132" s="227">
        <v>-100</v>
      </c>
      <c r="H1132" s="227"/>
      <c r="I1132" s="227"/>
      <c r="J1132" s="227"/>
      <c r="K1132" s="227"/>
      <c r="L1132" s="227"/>
      <c r="M1132" s="227"/>
      <c r="N1132" s="227"/>
      <c r="O1132" s="227"/>
      <c r="P1132" s="227"/>
      <c r="Q1132" s="227">
        <v>-100</v>
      </c>
    </row>
    <row r="1133" spans="1:17" x14ac:dyDescent="0.3">
      <c r="A1133" s="113">
        <v>1346</v>
      </c>
      <c r="B1133" s="227"/>
      <c r="C1133" s="227"/>
      <c r="D1133" s="227"/>
      <c r="E1133" s="227"/>
      <c r="F1133" s="227"/>
      <c r="G1133" s="227"/>
      <c r="H1133" s="227"/>
      <c r="I1133" s="227"/>
      <c r="J1133" s="227"/>
      <c r="K1133" s="227"/>
      <c r="L1133" s="227"/>
      <c r="M1133" s="227"/>
      <c r="N1133" s="227"/>
      <c r="O1133" s="227">
        <v>-1000</v>
      </c>
      <c r="P1133" s="227"/>
      <c r="Q1133" s="227">
        <v>-1000</v>
      </c>
    </row>
    <row r="1134" spans="1:17" x14ac:dyDescent="0.3">
      <c r="A1134" s="113">
        <v>1347</v>
      </c>
      <c r="B1134" s="227"/>
      <c r="C1134" s="227"/>
      <c r="D1134" s="227"/>
      <c r="E1134" s="227"/>
      <c r="F1134" s="227"/>
      <c r="G1134" s="227"/>
      <c r="H1134" s="227"/>
      <c r="I1134" s="227"/>
      <c r="J1134" s="227"/>
      <c r="K1134" s="227"/>
      <c r="L1134" s="227"/>
      <c r="M1134" s="227"/>
      <c r="N1134" s="227"/>
      <c r="O1134" s="227">
        <v>-1000</v>
      </c>
      <c r="P1134" s="227"/>
      <c r="Q1134" s="227">
        <v>-1000</v>
      </c>
    </row>
    <row r="1135" spans="1:17" x14ac:dyDescent="0.3">
      <c r="A1135" s="113">
        <v>1348</v>
      </c>
      <c r="B1135" s="227"/>
      <c r="C1135" s="227"/>
      <c r="D1135" s="227"/>
      <c r="E1135" s="227"/>
      <c r="F1135" s="227"/>
      <c r="G1135" s="227"/>
      <c r="H1135" s="227"/>
      <c r="I1135" s="227"/>
      <c r="J1135" s="227"/>
      <c r="K1135" s="227"/>
      <c r="L1135" s="227"/>
      <c r="M1135" s="227"/>
      <c r="N1135" s="227"/>
      <c r="O1135" s="227">
        <v>-1000</v>
      </c>
      <c r="P1135" s="227"/>
      <c r="Q1135" s="227">
        <v>-1000</v>
      </c>
    </row>
    <row r="1136" spans="1:17" x14ac:dyDescent="0.3">
      <c r="A1136" s="113">
        <v>1349</v>
      </c>
      <c r="B1136" s="227"/>
      <c r="C1136" s="227"/>
      <c r="D1136" s="227"/>
      <c r="E1136" s="227"/>
      <c r="F1136" s="227"/>
      <c r="G1136" s="227"/>
      <c r="H1136" s="227"/>
      <c r="I1136" s="227"/>
      <c r="J1136" s="227"/>
      <c r="K1136" s="227"/>
      <c r="L1136" s="227"/>
      <c r="M1136" s="227"/>
      <c r="N1136" s="227"/>
      <c r="O1136" s="227">
        <v>-7950</v>
      </c>
      <c r="P1136" s="227"/>
      <c r="Q1136" s="227">
        <v>-7950</v>
      </c>
    </row>
    <row r="1137" spans="1:17" x14ac:dyDescent="0.3">
      <c r="A1137" s="113">
        <v>1350</v>
      </c>
      <c r="B1137" s="227"/>
      <c r="C1137" s="227"/>
      <c r="D1137" s="227"/>
      <c r="E1137" s="227"/>
      <c r="F1137" s="227"/>
      <c r="G1137" s="227"/>
      <c r="H1137" s="227"/>
      <c r="I1137" s="227"/>
      <c r="J1137" s="227"/>
      <c r="K1137" s="227"/>
      <c r="L1137" s="227"/>
      <c r="M1137" s="227">
        <v>-3000</v>
      </c>
      <c r="N1137" s="227"/>
      <c r="O1137" s="227"/>
      <c r="P1137" s="227"/>
      <c r="Q1137" s="227">
        <v>-3000</v>
      </c>
    </row>
    <row r="1138" spans="1:17" x14ac:dyDescent="0.3">
      <c r="A1138" s="113">
        <v>1351</v>
      </c>
      <c r="B1138" s="227"/>
      <c r="C1138" s="227"/>
      <c r="D1138" s="227"/>
      <c r="E1138" s="227"/>
      <c r="F1138" s="227"/>
      <c r="G1138" s="227"/>
      <c r="H1138" s="227"/>
      <c r="I1138" s="227"/>
      <c r="J1138" s="227"/>
      <c r="K1138" s="227"/>
      <c r="L1138" s="227"/>
      <c r="M1138" s="227"/>
      <c r="N1138" s="227"/>
      <c r="O1138" s="227">
        <v>-2000</v>
      </c>
      <c r="P1138" s="227"/>
      <c r="Q1138" s="227">
        <v>-2000</v>
      </c>
    </row>
    <row r="1139" spans="1:17" x14ac:dyDescent="0.3">
      <c r="A1139" s="113">
        <v>1352</v>
      </c>
      <c r="B1139" s="227">
        <v>50000</v>
      </c>
      <c r="C1139" s="227"/>
      <c r="D1139" s="227"/>
      <c r="E1139" s="227"/>
      <c r="F1139" s="227"/>
      <c r="G1139" s="227"/>
      <c r="H1139" s="227"/>
      <c r="I1139" s="227"/>
      <c r="J1139" s="227"/>
      <c r="K1139" s="227"/>
      <c r="L1139" s="227"/>
      <c r="M1139" s="227"/>
      <c r="N1139" s="227"/>
      <c r="O1139" s="227"/>
      <c r="P1139" s="227"/>
      <c r="Q1139" s="227">
        <v>50000</v>
      </c>
    </row>
    <row r="1140" spans="1:17" x14ac:dyDescent="0.3">
      <c r="A1140" s="113">
        <v>1353</v>
      </c>
      <c r="B1140" s="227"/>
      <c r="C1140" s="227"/>
      <c r="D1140" s="227"/>
      <c r="E1140" s="227"/>
      <c r="F1140" s="227"/>
      <c r="G1140" s="227"/>
      <c r="H1140" s="227"/>
      <c r="I1140" s="227"/>
      <c r="J1140" s="227"/>
      <c r="K1140" s="227"/>
      <c r="L1140" s="227"/>
      <c r="M1140" s="227"/>
      <c r="N1140" s="227"/>
      <c r="O1140" s="227">
        <v>-1000</v>
      </c>
      <c r="P1140" s="227"/>
      <c r="Q1140" s="227">
        <v>-1000</v>
      </c>
    </row>
    <row r="1141" spans="1:17" x14ac:dyDescent="0.3">
      <c r="A1141" s="113">
        <v>1354</v>
      </c>
      <c r="B1141" s="227"/>
      <c r="C1141" s="227"/>
      <c r="D1141" s="227"/>
      <c r="E1141" s="227"/>
      <c r="F1141" s="227"/>
      <c r="G1141" s="227"/>
      <c r="H1141" s="227"/>
      <c r="I1141" s="227"/>
      <c r="J1141" s="227"/>
      <c r="K1141" s="227"/>
      <c r="L1141" s="227"/>
      <c r="M1141" s="227"/>
      <c r="N1141" s="227"/>
      <c r="O1141" s="227">
        <v>-1000</v>
      </c>
      <c r="P1141" s="227"/>
      <c r="Q1141" s="227">
        <v>-1000</v>
      </c>
    </row>
    <row r="1142" spans="1:17" x14ac:dyDescent="0.3">
      <c r="A1142" s="113">
        <v>1355</v>
      </c>
      <c r="B1142" s="227"/>
      <c r="C1142" s="227"/>
      <c r="D1142" s="227"/>
      <c r="E1142" s="227"/>
      <c r="F1142" s="227"/>
      <c r="G1142" s="227"/>
      <c r="H1142" s="227"/>
      <c r="I1142" s="227"/>
      <c r="J1142" s="227"/>
      <c r="K1142" s="227"/>
      <c r="L1142" s="227">
        <v>-60000</v>
      </c>
      <c r="M1142" s="227"/>
      <c r="N1142" s="227"/>
      <c r="O1142" s="227"/>
      <c r="P1142" s="227"/>
      <c r="Q1142" s="227">
        <v>-60000</v>
      </c>
    </row>
    <row r="1143" spans="1:17" x14ac:dyDescent="0.3">
      <c r="A1143" s="113">
        <v>1356</v>
      </c>
      <c r="B1143" s="227"/>
      <c r="C1143" s="227"/>
      <c r="D1143" s="227"/>
      <c r="E1143" s="227"/>
      <c r="F1143" s="227"/>
      <c r="G1143" s="227"/>
      <c r="H1143" s="227"/>
      <c r="I1143" s="227"/>
      <c r="J1143" s="227"/>
      <c r="K1143" s="227"/>
      <c r="L1143" s="227"/>
      <c r="M1143" s="227"/>
      <c r="N1143" s="227"/>
      <c r="O1143" s="227">
        <v>-2000</v>
      </c>
      <c r="P1143" s="227"/>
      <c r="Q1143" s="227">
        <v>-2000</v>
      </c>
    </row>
    <row r="1144" spans="1:17" x14ac:dyDescent="0.3">
      <c r="A1144" s="113">
        <v>1357</v>
      </c>
      <c r="B1144" s="227"/>
      <c r="C1144" s="227"/>
      <c r="D1144" s="227"/>
      <c r="E1144" s="227"/>
      <c r="F1144" s="227"/>
      <c r="G1144" s="227"/>
      <c r="H1144" s="227"/>
      <c r="I1144" s="227"/>
      <c r="J1144" s="227"/>
      <c r="K1144" s="227"/>
      <c r="L1144" s="227"/>
      <c r="M1144" s="227"/>
      <c r="N1144" s="227"/>
      <c r="O1144" s="227"/>
      <c r="P1144" s="227">
        <v>-5000</v>
      </c>
      <c r="Q1144" s="227">
        <v>-5000</v>
      </c>
    </row>
    <row r="1145" spans="1:17" x14ac:dyDescent="0.3">
      <c r="A1145" s="113">
        <v>1358</v>
      </c>
      <c r="B1145" s="227"/>
      <c r="C1145" s="227"/>
      <c r="D1145" s="227"/>
      <c r="E1145" s="227"/>
      <c r="F1145" s="227"/>
      <c r="G1145" s="227"/>
      <c r="H1145" s="227"/>
      <c r="I1145" s="227"/>
      <c r="J1145" s="227"/>
      <c r="K1145" s="227"/>
      <c r="L1145" s="227"/>
      <c r="M1145" s="227"/>
      <c r="N1145" s="227"/>
      <c r="O1145" s="227">
        <v>-1800</v>
      </c>
      <c r="P1145" s="227"/>
      <c r="Q1145" s="227">
        <v>-1800</v>
      </c>
    </row>
    <row r="1146" spans="1:17" x14ac:dyDescent="0.3">
      <c r="A1146" s="113">
        <v>1359</v>
      </c>
      <c r="B1146" s="227"/>
      <c r="C1146" s="227"/>
      <c r="D1146" s="227"/>
      <c r="E1146" s="227"/>
      <c r="F1146" s="227"/>
      <c r="G1146" s="227"/>
      <c r="H1146" s="227"/>
      <c r="I1146" s="227"/>
      <c r="J1146" s="227"/>
      <c r="K1146" s="227"/>
      <c r="L1146" s="227"/>
      <c r="M1146" s="227"/>
      <c r="N1146" s="227"/>
      <c r="O1146" s="227"/>
      <c r="P1146" s="227">
        <v>-5000</v>
      </c>
      <c r="Q1146" s="227">
        <v>-5000</v>
      </c>
    </row>
    <row r="1147" spans="1:17" x14ac:dyDescent="0.3">
      <c r="A1147" s="113">
        <v>1360</v>
      </c>
      <c r="B1147" s="227"/>
      <c r="C1147" s="227"/>
      <c r="D1147" s="227"/>
      <c r="E1147" s="227"/>
      <c r="F1147" s="227"/>
      <c r="G1147" s="227">
        <v>-100</v>
      </c>
      <c r="H1147" s="227"/>
      <c r="I1147" s="227"/>
      <c r="J1147" s="227"/>
      <c r="K1147" s="227"/>
      <c r="L1147" s="227"/>
      <c r="M1147" s="227"/>
      <c r="N1147" s="227"/>
      <c r="O1147" s="227"/>
      <c r="P1147" s="227"/>
      <c r="Q1147" s="227">
        <v>-100</v>
      </c>
    </row>
    <row r="1148" spans="1:17" x14ac:dyDescent="0.3">
      <c r="A1148" s="113">
        <v>1361</v>
      </c>
      <c r="B1148" s="227"/>
      <c r="C1148" s="227"/>
      <c r="D1148" s="227"/>
      <c r="E1148" s="227"/>
      <c r="F1148" s="227"/>
      <c r="G1148" s="227">
        <v>-450</v>
      </c>
      <c r="H1148" s="227"/>
      <c r="I1148" s="227"/>
      <c r="J1148" s="227"/>
      <c r="K1148" s="227"/>
      <c r="L1148" s="227"/>
      <c r="M1148" s="227"/>
      <c r="N1148" s="227"/>
      <c r="O1148" s="227"/>
      <c r="P1148" s="227"/>
      <c r="Q1148" s="227">
        <v>-450</v>
      </c>
    </row>
    <row r="1149" spans="1:17" x14ac:dyDescent="0.3">
      <c r="A1149" s="113">
        <v>1362</v>
      </c>
      <c r="B1149" s="227"/>
      <c r="C1149" s="227"/>
      <c r="D1149" s="227"/>
      <c r="E1149" s="227"/>
      <c r="F1149" s="227"/>
      <c r="G1149" s="227">
        <v>-40</v>
      </c>
      <c r="H1149" s="227"/>
      <c r="I1149" s="227"/>
      <c r="J1149" s="227"/>
      <c r="K1149" s="227"/>
      <c r="L1149" s="227"/>
      <c r="M1149" s="227"/>
      <c r="N1149" s="227"/>
      <c r="O1149" s="227"/>
      <c r="P1149" s="227"/>
      <c r="Q1149" s="227">
        <v>-40</v>
      </c>
    </row>
    <row r="1150" spans="1:17" x14ac:dyDescent="0.3">
      <c r="A1150" s="113">
        <v>1363</v>
      </c>
      <c r="B1150" s="227"/>
      <c r="C1150" s="227"/>
      <c r="D1150" s="227"/>
      <c r="E1150" s="227"/>
      <c r="F1150" s="227"/>
      <c r="G1150" s="227"/>
      <c r="H1150" s="227"/>
      <c r="I1150" s="227"/>
      <c r="J1150" s="227"/>
      <c r="K1150" s="227"/>
      <c r="L1150" s="227"/>
      <c r="M1150" s="227"/>
      <c r="N1150" s="227"/>
      <c r="O1150" s="227">
        <v>-1800</v>
      </c>
      <c r="P1150" s="227"/>
      <c r="Q1150" s="227">
        <v>-1800</v>
      </c>
    </row>
    <row r="1151" spans="1:17" x14ac:dyDescent="0.3">
      <c r="A1151" s="113">
        <v>1364</v>
      </c>
      <c r="B1151" s="227"/>
      <c r="C1151" s="227"/>
      <c r="D1151" s="227"/>
      <c r="E1151" s="227"/>
      <c r="F1151" s="227"/>
      <c r="G1151" s="227"/>
      <c r="H1151" s="227"/>
      <c r="I1151" s="227"/>
      <c r="J1151" s="227"/>
      <c r="K1151" s="227"/>
      <c r="L1151" s="227"/>
      <c r="M1151" s="227"/>
      <c r="N1151" s="227"/>
      <c r="O1151" s="227"/>
      <c r="P1151" s="227">
        <v>-1000</v>
      </c>
      <c r="Q1151" s="227">
        <v>-1000</v>
      </c>
    </row>
    <row r="1152" spans="1:17" x14ac:dyDescent="0.3">
      <c r="A1152" s="113">
        <v>1365</v>
      </c>
      <c r="B1152" s="227">
        <v>140000</v>
      </c>
      <c r="C1152" s="227"/>
      <c r="D1152" s="227"/>
      <c r="E1152" s="227"/>
      <c r="F1152" s="227"/>
      <c r="G1152" s="227"/>
      <c r="H1152" s="227"/>
      <c r="I1152" s="227"/>
      <c r="J1152" s="227"/>
      <c r="K1152" s="227"/>
      <c r="L1152" s="227"/>
      <c r="M1152" s="227"/>
      <c r="N1152" s="227"/>
      <c r="O1152" s="227"/>
      <c r="P1152" s="227"/>
      <c r="Q1152" s="227">
        <v>140000</v>
      </c>
    </row>
    <row r="1153" spans="1:17" x14ac:dyDescent="0.3">
      <c r="A1153" s="113">
        <v>1366</v>
      </c>
      <c r="B1153" s="227"/>
      <c r="C1153" s="227"/>
      <c r="D1153" s="227"/>
      <c r="E1153" s="227"/>
      <c r="F1153" s="227"/>
      <c r="G1153" s="227">
        <v>-1200</v>
      </c>
      <c r="H1153" s="227"/>
      <c r="I1153" s="227"/>
      <c r="J1153" s="227"/>
      <c r="K1153" s="227"/>
      <c r="L1153" s="227"/>
      <c r="M1153" s="227"/>
      <c r="N1153" s="227"/>
      <c r="O1153" s="227"/>
      <c r="P1153" s="227"/>
      <c r="Q1153" s="227">
        <v>-1200</v>
      </c>
    </row>
    <row r="1154" spans="1:17" x14ac:dyDescent="0.3">
      <c r="A1154" s="113">
        <v>1367</v>
      </c>
      <c r="B1154" s="227"/>
      <c r="C1154" s="227"/>
      <c r="D1154" s="227"/>
      <c r="E1154" s="227"/>
      <c r="F1154" s="227"/>
      <c r="G1154" s="227"/>
      <c r="H1154" s="227"/>
      <c r="I1154" s="227"/>
      <c r="J1154" s="227">
        <v>-30000</v>
      </c>
      <c r="K1154" s="227"/>
      <c r="L1154" s="227"/>
      <c r="M1154" s="227"/>
      <c r="N1154" s="227"/>
      <c r="O1154" s="227"/>
      <c r="P1154" s="227"/>
      <c r="Q1154" s="227">
        <v>-30000</v>
      </c>
    </row>
    <row r="1155" spans="1:17" x14ac:dyDescent="0.3">
      <c r="A1155" s="113">
        <v>1368</v>
      </c>
      <c r="B1155" s="227"/>
      <c r="C1155" s="227"/>
      <c r="D1155" s="227"/>
      <c r="E1155" s="227"/>
      <c r="F1155" s="227"/>
      <c r="G1155" s="227">
        <v>-100</v>
      </c>
      <c r="H1155" s="227"/>
      <c r="I1155" s="227"/>
      <c r="J1155" s="227"/>
      <c r="K1155" s="227"/>
      <c r="L1155" s="227"/>
      <c r="M1155" s="227"/>
      <c r="N1155" s="227"/>
      <c r="O1155" s="227"/>
      <c r="P1155" s="227"/>
      <c r="Q1155" s="227">
        <v>-100</v>
      </c>
    </row>
    <row r="1156" spans="1:17" x14ac:dyDescent="0.3">
      <c r="A1156" s="113">
        <v>1369</v>
      </c>
      <c r="B1156" s="227"/>
      <c r="C1156" s="227"/>
      <c r="D1156" s="227"/>
      <c r="E1156" s="227"/>
      <c r="F1156" s="227"/>
      <c r="G1156" s="227"/>
      <c r="H1156" s="227"/>
      <c r="I1156" s="227"/>
      <c r="J1156" s="227"/>
      <c r="K1156" s="227"/>
      <c r="L1156" s="227"/>
      <c r="M1156" s="227">
        <v>-10000</v>
      </c>
      <c r="N1156" s="227"/>
      <c r="O1156" s="227"/>
      <c r="P1156" s="227"/>
      <c r="Q1156" s="227">
        <v>-10000</v>
      </c>
    </row>
    <row r="1157" spans="1:17" x14ac:dyDescent="0.3">
      <c r="A1157" s="113">
        <v>1370</v>
      </c>
      <c r="B1157" s="227"/>
      <c r="C1157" s="227"/>
      <c r="D1157" s="227"/>
      <c r="E1157" s="227"/>
      <c r="F1157" s="227">
        <v>-30000</v>
      </c>
      <c r="G1157" s="227"/>
      <c r="H1157" s="227"/>
      <c r="I1157" s="227"/>
      <c r="J1157" s="227"/>
      <c r="K1157" s="227"/>
      <c r="L1157" s="227"/>
      <c r="M1157" s="227"/>
      <c r="N1157" s="227"/>
      <c r="O1157" s="227"/>
      <c r="P1157" s="227"/>
      <c r="Q1157" s="227">
        <v>-30000</v>
      </c>
    </row>
    <row r="1158" spans="1:17" x14ac:dyDescent="0.3">
      <c r="A1158" s="113">
        <v>1371</v>
      </c>
      <c r="B1158" s="227"/>
      <c r="C1158" s="227"/>
      <c r="D1158" s="227"/>
      <c r="E1158" s="227"/>
      <c r="F1158" s="227"/>
      <c r="G1158" s="227">
        <v>-100</v>
      </c>
      <c r="H1158" s="227"/>
      <c r="I1158" s="227"/>
      <c r="J1158" s="227"/>
      <c r="K1158" s="227"/>
      <c r="L1158" s="227"/>
      <c r="M1158" s="227"/>
      <c r="N1158" s="227"/>
      <c r="O1158" s="227"/>
      <c r="P1158" s="227"/>
      <c r="Q1158" s="227">
        <v>-100</v>
      </c>
    </row>
    <row r="1159" spans="1:17" x14ac:dyDescent="0.3">
      <c r="A1159" s="113">
        <v>1372</v>
      </c>
      <c r="B1159" s="227"/>
      <c r="C1159" s="227"/>
      <c r="D1159" s="227"/>
      <c r="E1159" s="227">
        <v>-30000</v>
      </c>
      <c r="F1159" s="227"/>
      <c r="G1159" s="227"/>
      <c r="H1159" s="227"/>
      <c r="I1159" s="227"/>
      <c r="J1159" s="227"/>
      <c r="K1159" s="227"/>
      <c r="L1159" s="227"/>
      <c r="M1159" s="227"/>
      <c r="N1159" s="227"/>
      <c r="O1159" s="227"/>
      <c r="P1159" s="227"/>
      <c r="Q1159" s="227">
        <v>-30000</v>
      </c>
    </row>
    <row r="1160" spans="1:17" x14ac:dyDescent="0.3">
      <c r="A1160" s="113">
        <v>1373</v>
      </c>
      <c r="B1160" s="227"/>
      <c r="C1160" s="227"/>
      <c r="D1160" s="227"/>
      <c r="E1160" s="227"/>
      <c r="F1160" s="227"/>
      <c r="G1160" s="227"/>
      <c r="H1160" s="227"/>
      <c r="I1160" s="227"/>
      <c r="J1160" s="227"/>
      <c r="K1160" s="227"/>
      <c r="L1160" s="227"/>
      <c r="M1160" s="227"/>
      <c r="N1160" s="227"/>
      <c r="O1160" s="227">
        <v>-900</v>
      </c>
      <c r="P1160" s="227"/>
      <c r="Q1160" s="227">
        <v>-900</v>
      </c>
    </row>
    <row r="1161" spans="1:17" x14ac:dyDescent="0.3">
      <c r="A1161" s="113">
        <v>1374</v>
      </c>
      <c r="B1161" s="227"/>
      <c r="C1161" s="227"/>
      <c r="D1161" s="227"/>
      <c r="E1161" s="227"/>
      <c r="F1161" s="227"/>
      <c r="G1161" s="227"/>
      <c r="H1161" s="227"/>
      <c r="I1161" s="227"/>
      <c r="J1161" s="227"/>
      <c r="K1161" s="227"/>
      <c r="L1161" s="227"/>
      <c r="M1161" s="227"/>
      <c r="N1161" s="227"/>
      <c r="O1161" s="227"/>
      <c r="P1161" s="227">
        <v>-5000</v>
      </c>
      <c r="Q1161" s="227">
        <v>-5000</v>
      </c>
    </row>
    <row r="1162" spans="1:17" x14ac:dyDescent="0.3">
      <c r="A1162" s="113">
        <v>1375</v>
      </c>
      <c r="B1162" s="227"/>
      <c r="C1162" s="227"/>
      <c r="D1162" s="227"/>
      <c r="E1162" s="227"/>
      <c r="F1162" s="227"/>
      <c r="G1162" s="227"/>
      <c r="H1162" s="227"/>
      <c r="I1162" s="227"/>
      <c r="J1162" s="227"/>
      <c r="K1162" s="227"/>
      <c r="L1162" s="227"/>
      <c r="M1162" s="227"/>
      <c r="N1162" s="227"/>
      <c r="O1162" s="227">
        <v>-11000</v>
      </c>
      <c r="P1162" s="227"/>
      <c r="Q1162" s="227">
        <v>-11000</v>
      </c>
    </row>
    <row r="1163" spans="1:17" x14ac:dyDescent="0.3">
      <c r="A1163" s="113">
        <v>1376</v>
      </c>
      <c r="B1163" s="227"/>
      <c r="C1163" s="227"/>
      <c r="D1163" s="227"/>
      <c r="E1163" s="227"/>
      <c r="F1163" s="227"/>
      <c r="G1163" s="227"/>
      <c r="H1163" s="227"/>
      <c r="I1163" s="227"/>
      <c r="J1163" s="227"/>
      <c r="K1163" s="227"/>
      <c r="L1163" s="227"/>
      <c r="M1163" s="227"/>
      <c r="N1163" s="227"/>
      <c r="O1163" s="227"/>
      <c r="P1163" s="227">
        <v>-7000</v>
      </c>
      <c r="Q1163" s="227">
        <v>-7000</v>
      </c>
    </row>
    <row r="1164" spans="1:17" x14ac:dyDescent="0.3">
      <c r="A1164" s="113">
        <v>1377</v>
      </c>
      <c r="B1164" s="227"/>
      <c r="C1164" s="227"/>
      <c r="D1164" s="227"/>
      <c r="E1164" s="227"/>
      <c r="F1164" s="227"/>
      <c r="G1164" s="227">
        <v>-40</v>
      </c>
      <c r="H1164" s="227"/>
      <c r="I1164" s="227"/>
      <c r="J1164" s="227"/>
      <c r="K1164" s="227"/>
      <c r="L1164" s="227"/>
      <c r="M1164" s="227"/>
      <c r="N1164" s="227"/>
      <c r="O1164" s="227"/>
      <c r="P1164" s="227"/>
      <c r="Q1164" s="227">
        <v>-40</v>
      </c>
    </row>
    <row r="1165" spans="1:17" x14ac:dyDescent="0.3">
      <c r="A1165" s="113">
        <v>1378</v>
      </c>
      <c r="B1165" s="227"/>
      <c r="C1165" s="227"/>
      <c r="D1165" s="227"/>
      <c r="E1165" s="227"/>
      <c r="F1165" s="227"/>
      <c r="G1165" s="227"/>
      <c r="H1165" s="227"/>
      <c r="I1165" s="227">
        <v>-5000</v>
      </c>
      <c r="J1165" s="227"/>
      <c r="K1165" s="227"/>
      <c r="L1165" s="227"/>
      <c r="M1165" s="227"/>
      <c r="N1165" s="227"/>
      <c r="O1165" s="227"/>
      <c r="P1165" s="227"/>
      <c r="Q1165" s="227">
        <v>-5000</v>
      </c>
    </row>
    <row r="1166" spans="1:17" x14ac:dyDescent="0.3">
      <c r="A1166" s="113">
        <v>1379</v>
      </c>
      <c r="B1166" s="227"/>
      <c r="C1166" s="227"/>
      <c r="D1166" s="227"/>
      <c r="E1166" s="227"/>
      <c r="F1166" s="227"/>
      <c r="G1166" s="227"/>
      <c r="H1166" s="227"/>
      <c r="I1166" s="227">
        <v>-1000</v>
      </c>
      <c r="J1166" s="227"/>
      <c r="K1166" s="227"/>
      <c r="L1166" s="227"/>
      <c r="M1166" s="227"/>
      <c r="N1166" s="227"/>
      <c r="O1166" s="227"/>
      <c r="P1166" s="227"/>
      <c r="Q1166" s="227">
        <v>-1000</v>
      </c>
    </row>
    <row r="1167" spans="1:17" x14ac:dyDescent="0.3">
      <c r="A1167" s="113">
        <v>1380</v>
      </c>
      <c r="B1167" s="227"/>
      <c r="C1167" s="227"/>
      <c r="D1167" s="227"/>
      <c r="E1167" s="227"/>
      <c r="F1167" s="227"/>
      <c r="G1167" s="227"/>
      <c r="H1167" s="227"/>
      <c r="I1167" s="227"/>
      <c r="J1167" s="227"/>
      <c r="K1167" s="227"/>
      <c r="L1167" s="227"/>
      <c r="M1167" s="227"/>
      <c r="N1167" s="227"/>
      <c r="O1167" s="227">
        <v>-1100</v>
      </c>
      <c r="P1167" s="227"/>
      <c r="Q1167" s="227">
        <v>-1100</v>
      </c>
    </row>
    <row r="1168" spans="1:17" x14ac:dyDescent="0.3">
      <c r="A1168" s="113">
        <v>1381</v>
      </c>
      <c r="B1168" s="227">
        <v>100000</v>
      </c>
      <c r="C1168" s="227"/>
      <c r="D1168" s="227"/>
      <c r="E1168" s="227"/>
      <c r="F1168" s="227"/>
      <c r="G1168" s="227"/>
      <c r="H1168" s="227"/>
      <c r="I1168" s="227"/>
      <c r="J1168" s="227"/>
      <c r="K1168" s="227"/>
      <c r="L1168" s="227"/>
      <c r="M1168" s="227"/>
      <c r="N1168" s="227"/>
      <c r="O1168" s="227"/>
      <c r="P1168" s="227"/>
      <c r="Q1168" s="227">
        <v>100000</v>
      </c>
    </row>
    <row r="1169" spans="1:17" x14ac:dyDescent="0.3">
      <c r="A1169" s="113">
        <v>1382</v>
      </c>
      <c r="B1169" s="227"/>
      <c r="C1169" s="227"/>
      <c r="D1169" s="227"/>
      <c r="E1169" s="227">
        <v>-20000</v>
      </c>
      <c r="F1169" s="227"/>
      <c r="G1169" s="227"/>
      <c r="H1169" s="227"/>
      <c r="I1169" s="227"/>
      <c r="J1169" s="227"/>
      <c r="K1169" s="227"/>
      <c r="L1169" s="227"/>
      <c r="M1169" s="227"/>
      <c r="N1169" s="227"/>
      <c r="O1169" s="227"/>
      <c r="P1169" s="227"/>
      <c r="Q1169" s="227">
        <v>-20000</v>
      </c>
    </row>
    <row r="1170" spans="1:17" x14ac:dyDescent="0.3">
      <c r="A1170" s="113">
        <v>1383</v>
      </c>
      <c r="B1170" s="227"/>
      <c r="C1170" s="227"/>
      <c r="D1170" s="227"/>
      <c r="E1170" s="227">
        <v>-10000</v>
      </c>
      <c r="F1170" s="227"/>
      <c r="G1170" s="227"/>
      <c r="H1170" s="227"/>
      <c r="I1170" s="227"/>
      <c r="J1170" s="227"/>
      <c r="K1170" s="227"/>
      <c r="L1170" s="227"/>
      <c r="M1170" s="227"/>
      <c r="N1170" s="227"/>
      <c r="O1170" s="227"/>
      <c r="P1170" s="227"/>
      <c r="Q1170" s="227">
        <v>-10000</v>
      </c>
    </row>
    <row r="1171" spans="1:17" x14ac:dyDescent="0.3">
      <c r="A1171" s="113">
        <v>1384</v>
      </c>
      <c r="B1171" s="227"/>
      <c r="C1171" s="227"/>
      <c r="D1171" s="227"/>
      <c r="E1171" s="227"/>
      <c r="F1171" s="227"/>
      <c r="G1171" s="227"/>
      <c r="H1171" s="227"/>
      <c r="I1171" s="227">
        <v>-2000</v>
      </c>
      <c r="J1171" s="227"/>
      <c r="K1171" s="227"/>
      <c r="L1171" s="227"/>
      <c r="M1171" s="227"/>
      <c r="N1171" s="227"/>
      <c r="O1171" s="227"/>
      <c r="P1171" s="227"/>
      <c r="Q1171" s="227">
        <v>-2000</v>
      </c>
    </row>
    <row r="1172" spans="1:17" x14ac:dyDescent="0.3">
      <c r="A1172" s="113">
        <v>1385</v>
      </c>
      <c r="B1172" s="227"/>
      <c r="C1172" s="227"/>
      <c r="D1172" s="227"/>
      <c r="E1172" s="227"/>
      <c r="F1172" s="227"/>
      <c r="G1172" s="227"/>
      <c r="H1172" s="227"/>
      <c r="I1172" s="227"/>
      <c r="J1172" s="227"/>
      <c r="K1172" s="227"/>
      <c r="L1172" s="227"/>
      <c r="M1172" s="227"/>
      <c r="N1172" s="227"/>
      <c r="O1172" s="227">
        <v>-1000</v>
      </c>
      <c r="P1172" s="227"/>
      <c r="Q1172" s="227">
        <v>-1000</v>
      </c>
    </row>
    <row r="1173" spans="1:17" x14ac:dyDescent="0.3">
      <c r="A1173" s="113">
        <v>1386</v>
      </c>
      <c r="B1173" s="227"/>
      <c r="C1173" s="227"/>
      <c r="D1173" s="227"/>
      <c r="E1173" s="227"/>
      <c r="F1173" s="227"/>
      <c r="G1173" s="227"/>
      <c r="H1173" s="227"/>
      <c r="I1173" s="227">
        <v>-5000</v>
      </c>
      <c r="J1173" s="227"/>
      <c r="K1173" s="227"/>
      <c r="L1173" s="227"/>
      <c r="M1173" s="227"/>
      <c r="N1173" s="227"/>
      <c r="O1173" s="227"/>
      <c r="P1173" s="227"/>
      <c r="Q1173" s="227">
        <v>-5000</v>
      </c>
    </row>
    <row r="1174" spans="1:17" x14ac:dyDescent="0.3">
      <c r="A1174" s="113">
        <v>1387</v>
      </c>
      <c r="B1174" s="227"/>
      <c r="C1174" s="227"/>
      <c r="D1174" s="227"/>
      <c r="E1174" s="227"/>
      <c r="F1174" s="227"/>
      <c r="G1174" s="227"/>
      <c r="H1174" s="227"/>
      <c r="I1174" s="227"/>
      <c r="J1174" s="227"/>
      <c r="K1174" s="227"/>
      <c r="L1174" s="227"/>
      <c r="M1174" s="227"/>
      <c r="N1174" s="227"/>
      <c r="O1174" s="227">
        <v>-6500</v>
      </c>
      <c r="P1174" s="227"/>
      <c r="Q1174" s="227">
        <v>-6500</v>
      </c>
    </row>
    <row r="1175" spans="1:17" x14ac:dyDescent="0.3">
      <c r="A1175" s="113">
        <v>1388</v>
      </c>
      <c r="B1175" s="227"/>
      <c r="C1175" s="227"/>
      <c r="D1175" s="227"/>
      <c r="E1175" s="227"/>
      <c r="F1175" s="227"/>
      <c r="G1175" s="227"/>
      <c r="H1175" s="227"/>
      <c r="I1175" s="227"/>
      <c r="J1175" s="227"/>
      <c r="K1175" s="227"/>
      <c r="L1175" s="227">
        <v>-60000</v>
      </c>
      <c r="M1175" s="227"/>
      <c r="N1175" s="227"/>
      <c r="O1175" s="227"/>
      <c r="P1175" s="227"/>
      <c r="Q1175" s="227">
        <v>-60000</v>
      </c>
    </row>
    <row r="1176" spans="1:17" x14ac:dyDescent="0.3">
      <c r="A1176" s="113">
        <v>1389</v>
      </c>
      <c r="B1176" s="227"/>
      <c r="C1176" s="227"/>
      <c r="D1176" s="227"/>
      <c r="E1176" s="227"/>
      <c r="F1176" s="227">
        <v>-10000</v>
      </c>
      <c r="G1176" s="227"/>
      <c r="H1176" s="227"/>
      <c r="I1176" s="227"/>
      <c r="J1176" s="227"/>
      <c r="K1176" s="227"/>
      <c r="L1176" s="227"/>
      <c r="M1176" s="227"/>
      <c r="N1176" s="227"/>
      <c r="O1176" s="227"/>
      <c r="P1176" s="227"/>
      <c r="Q1176" s="227">
        <v>-10000</v>
      </c>
    </row>
    <row r="1177" spans="1:17" x14ac:dyDescent="0.3">
      <c r="A1177" s="113">
        <v>1390</v>
      </c>
      <c r="B1177" s="227"/>
      <c r="C1177" s="227"/>
      <c r="D1177" s="227"/>
      <c r="E1177" s="227"/>
      <c r="F1177" s="227"/>
      <c r="G1177" s="227"/>
      <c r="H1177" s="227"/>
      <c r="I1177" s="227"/>
      <c r="J1177" s="227">
        <v>-10000</v>
      </c>
      <c r="K1177" s="227"/>
      <c r="L1177" s="227"/>
      <c r="M1177" s="227"/>
      <c r="N1177" s="227"/>
      <c r="O1177" s="227"/>
      <c r="P1177" s="227"/>
      <c r="Q1177" s="227">
        <v>-10000</v>
      </c>
    </row>
    <row r="1178" spans="1:17" x14ac:dyDescent="0.3">
      <c r="A1178" s="113">
        <v>1391</v>
      </c>
      <c r="B1178" s="227"/>
      <c r="C1178" s="227"/>
      <c r="D1178" s="227"/>
      <c r="E1178" s="227"/>
      <c r="F1178" s="227"/>
      <c r="G1178" s="227"/>
      <c r="H1178" s="227"/>
      <c r="I1178" s="227"/>
      <c r="J1178" s="227"/>
      <c r="K1178" s="227"/>
      <c r="L1178" s="227"/>
      <c r="M1178" s="227"/>
      <c r="N1178" s="227"/>
      <c r="O1178" s="227">
        <v>-5000</v>
      </c>
      <c r="P1178" s="227"/>
      <c r="Q1178" s="227">
        <v>-5000</v>
      </c>
    </row>
    <row r="1179" spans="1:17" x14ac:dyDescent="0.3">
      <c r="A1179" s="113">
        <v>1392</v>
      </c>
      <c r="B1179" s="227"/>
      <c r="C1179" s="227"/>
      <c r="D1179" s="227"/>
      <c r="E1179" s="227">
        <v>-10000</v>
      </c>
      <c r="F1179" s="227"/>
      <c r="G1179" s="227"/>
      <c r="H1179" s="227"/>
      <c r="I1179" s="227"/>
      <c r="J1179" s="227"/>
      <c r="K1179" s="227"/>
      <c r="L1179" s="227"/>
      <c r="M1179" s="227"/>
      <c r="N1179" s="227"/>
      <c r="O1179" s="227"/>
      <c r="P1179" s="227"/>
      <c r="Q1179" s="227">
        <v>-10000</v>
      </c>
    </row>
    <row r="1180" spans="1:17" x14ac:dyDescent="0.3">
      <c r="A1180" s="113">
        <v>1393</v>
      </c>
      <c r="B1180" s="227"/>
      <c r="C1180" s="227"/>
      <c r="D1180" s="227"/>
      <c r="E1180" s="227"/>
      <c r="F1180" s="227"/>
      <c r="G1180" s="227"/>
      <c r="H1180" s="227"/>
      <c r="I1180" s="227">
        <v>-2000</v>
      </c>
      <c r="J1180" s="227"/>
      <c r="K1180" s="227"/>
      <c r="L1180" s="227"/>
      <c r="M1180" s="227"/>
      <c r="N1180" s="227"/>
      <c r="O1180" s="227"/>
      <c r="P1180" s="227"/>
      <c r="Q1180" s="227">
        <v>-2000</v>
      </c>
    </row>
    <row r="1181" spans="1:17" x14ac:dyDescent="0.3">
      <c r="A1181" s="113">
        <v>1394</v>
      </c>
      <c r="B1181" s="227"/>
      <c r="C1181" s="227"/>
      <c r="D1181" s="227"/>
      <c r="E1181" s="227"/>
      <c r="F1181" s="227"/>
      <c r="G1181" s="227"/>
      <c r="H1181" s="227"/>
      <c r="I1181" s="227">
        <v>-2000</v>
      </c>
      <c r="J1181" s="227"/>
      <c r="K1181" s="227"/>
      <c r="L1181" s="227"/>
      <c r="M1181" s="227"/>
      <c r="N1181" s="227"/>
      <c r="O1181" s="227"/>
      <c r="P1181" s="227"/>
      <c r="Q1181" s="227">
        <v>-2000</v>
      </c>
    </row>
    <row r="1182" spans="1:17" x14ac:dyDescent="0.3">
      <c r="A1182" s="113">
        <v>1395</v>
      </c>
      <c r="B1182" s="227"/>
      <c r="C1182" s="227"/>
      <c r="D1182" s="227"/>
      <c r="E1182" s="227"/>
      <c r="F1182" s="227"/>
      <c r="G1182" s="227">
        <v>-7000</v>
      </c>
      <c r="H1182" s="227"/>
      <c r="I1182" s="227"/>
      <c r="J1182" s="227"/>
      <c r="K1182" s="227"/>
      <c r="L1182" s="227"/>
      <c r="M1182" s="227"/>
      <c r="N1182" s="227"/>
      <c r="O1182" s="227"/>
      <c r="P1182" s="227"/>
      <c r="Q1182" s="227">
        <v>-7000</v>
      </c>
    </row>
    <row r="1183" spans="1:17" x14ac:dyDescent="0.3">
      <c r="A1183" s="113">
        <v>1396</v>
      </c>
      <c r="B1183" s="227">
        <v>50000</v>
      </c>
      <c r="C1183" s="227"/>
      <c r="D1183" s="227"/>
      <c r="E1183" s="227"/>
      <c r="F1183" s="227"/>
      <c r="G1183" s="227"/>
      <c r="H1183" s="227"/>
      <c r="I1183" s="227"/>
      <c r="J1183" s="227"/>
      <c r="K1183" s="227"/>
      <c r="L1183" s="227"/>
      <c r="M1183" s="227"/>
      <c r="N1183" s="227"/>
      <c r="O1183" s="227"/>
      <c r="P1183" s="227"/>
      <c r="Q1183" s="227">
        <v>50000</v>
      </c>
    </row>
    <row r="1184" spans="1:17" x14ac:dyDescent="0.3">
      <c r="A1184" s="113">
        <v>1397</v>
      </c>
      <c r="B1184" s="227"/>
      <c r="C1184" s="227"/>
      <c r="D1184" s="227"/>
      <c r="E1184" s="227">
        <v>-20000</v>
      </c>
      <c r="F1184" s="227"/>
      <c r="G1184" s="227"/>
      <c r="H1184" s="227"/>
      <c r="I1184" s="227"/>
      <c r="J1184" s="227"/>
      <c r="K1184" s="227"/>
      <c r="L1184" s="227"/>
      <c r="M1184" s="227"/>
      <c r="N1184" s="227"/>
      <c r="O1184" s="227"/>
      <c r="P1184" s="227"/>
      <c r="Q1184" s="227">
        <v>-20000</v>
      </c>
    </row>
    <row r="1185" spans="1:17" x14ac:dyDescent="0.3">
      <c r="A1185" s="113">
        <v>1398</v>
      </c>
      <c r="B1185" s="227"/>
      <c r="C1185" s="227"/>
      <c r="D1185" s="227"/>
      <c r="E1185" s="227"/>
      <c r="F1185" s="227"/>
      <c r="G1185" s="227">
        <v>-100</v>
      </c>
      <c r="H1185" s="227"/>
      <c r="I1185" s="227"/>
      <c r="J1185" s="227"/>
      <c r="K1185" s="227"/>
      <c r="L1185" s="227"/>
      <c r="M1185" s="227"/>
      <c r="N1185" s="227"/>
      <c r="O1185" s="227"/>
      <c r="P1185" s="227"/>
      <c r="Q1185" s="227">
        <v>-100</v>
      </c>
    </row>
    <row r="1186" spans="1:17" x14ac:dyDescent="0.3">
      <c r="A1186" s="113">
        <v>1399</v>
      </c>
      <c r="B1186" s="227"/>
      <c r="C1186" s="227"/>
      <c r="D1186" s="227"/>
      <c r="E1186" s="227"/>
      <c r="F1186" s="227"/>
      <c r="G1186" s="227">
        <v>-2000</v>
      </c>
      <c r="H1186" s="227"/>
      <c r="I1186" s="227"/>
      <c r="J1186" s="227"/>
      <c r="K1186" s="227"/>
      <c r="L1186" s="227"/>
      <c r="M1186" s="227"/>
      <c r="N1186" s="227"/>
      <c r="O1186" s="227"/>
      <c r="P1186" s="227"/>
      <c r="Q1186" s="227">
        <v>-2000</v>
      </c>
    </row>
    <row r="1187" spans="1:17" x14ac:dyDescent="0.3">
      <c r="A1187" s="113">
        <v>1400</v>
      </c>
      <c r="B1187" s="227"/>
      <c r="C1187" s="227"/>
      <c r="D1187" s="227"/>
      <c r="E1187" s="227"/>
      <c r="F1187" s="227"/>
      <c r="G1187" s="227"/>
      <c r="H1187" s="227"/>
      <c r="I1187" s="227"/>
      <c r="J1187" s="227">
        <v>-10000</v>
      </c>
      <c r="K1187" s="227"/>
      <c r="L1187" s="227"/>
      <c r="M1187" s="227"/>
      <c r="N1187" s="227"/>
      <c r="O1187" s="227"/>
      <c r="P1187" s="227"/>
      <c r="Q1187" s="227">
        <v>-10000</v>
      </c>
    </row>
    <row r="1188" spans="1:17" x14ac:dyDescent="0.3">
      <c r="A1188" s="113">
        <v>1401</v>
      </c>
      <c r="B1188" s="227"/>
      <c r="C1188" s="227"/>
      <c r="D1188" s="227"/>
      <c r="E1188" s="227"/>
      <c r="F1188" s="227"/>
      <c r="G1188" s="227"/>
      <c r="H1188" s="227"/>
      <c r="I1188" s="227"/>
      <c r="J1188" s="227"/>
      <c r="K1188" s="227"/>
      <c r="L1188" s="227"/>
      <c r="M1188" s="227"/>
      <c r="N1188" s="227"/>
      <c r="O1188" s="227">
        <v>-1000</v>
      </c>
      <c r="P1188" s="227"/>
      <c r="Q1188" s="227">
        <v>-1000</v>
      </c>
    </row>
    <row r="1189" spans="1:17" x14ac:dyDescent="0.3">
      <c r="A1189" s="113">
        <v>1402</v>
      </c>
      <c r="B1189" s="227"/>
      <c r="C1189" s="227"/>
      <c r="D1189" s="227"/>
      <c r="E1189" s="227"/>
      <c r="F1189" s="227"/>
      <c r="G1189" s="227"/>
      <c r="H1189" s="227"/>
      <c r="I1189" s="227"/>
      <c r="J1189" s="227"/>
      <c r="K1189" s="227"/>
      <c r="L1189" s="227"/>
      <c r="M1189" s="227"/>
      <c r="N1189" s="227"/>
      <c r="O1189" s="227">
        <v>-1000</v>
      </c>
      <c r="P1189" s="227"/>
      <c r="Q1189" s="227">
        <v>-1000</v>
      </c>
    </row>
    <row r="1190" spans="1:17" x14ac:dyDescent="0.3">
      <c r="A1190" s="113">
        <v>1403</v>
      </c>
      <c r="B1190" s="227"/>
      <c r="C1190" s="227"/>
      <c r="D1190" s="227"/>
      <c r="E1190" s="227">
        <v>-10000</v>
      </c>
      <c r="F1190" s="227"/>
      <c r="G1190" s="227"/>
      <c r="H1190" s="227"/>
      <c r="I1190" s="227"/>
      <c r="J1190" s="227"/>
      <c r="K1190" s="227"/>
      <c r="L1190" s="227"/>
      <c r="M1190" s="227"/>
      <c r="N1190" s="227"/>
      <c r="O1190" s="227"/>
      <c r="P1190" s="227"/>
      <c r="Q1190" s="227">
        <v>-10000</v>
      </c>
    </row>
    <row r="1191" spans="1:17" x14ac:dyDescent="0.3">
      <c r="A1191" s="113">
        <v>1404</v>
      </c>
      <c r="B1191" s="227"/>
      <c r="C1191" s="227"/>
      <c r="D1191" s="227"/>
      <c r="E1191" s="227"/>
      <c r="F1191" s="227"/>
      <c r="G1191" s="227"/>
      <c r="H1191" s="227"/>
      <c r="I1191" s="227"/>
      <c r="J1191" s="227"/>
      <c r="K1191" s="227"/>
      <c r="L1191" s="227"/>
      <c r="M1191" s="227"/>
      <c r="N1191" s="227"/>
      <c r="O1191" s="227"/>
      <c r="P1191" s="227">
        <v>-30000</v>
      </c>
      <c r="Q1191" s="227">
        <v>-30000</v>
      </c>
    </row>
    <row r="1192" spans="1:17" x14ac:dyDescent="0.3">
      <c r="A1192" s="113">
        <v>1405</v>
      </c>
      <c r="B1192" s="227"/>
      <c r="C1192" s="227"/>
      <c r="D1192" s="227"/>
      <c r="E1192" s="227"/>
      <c r="F1192" s="227">
        <v>-15000</v>
      </c>
      <c r="G1192" s="227"/>
      <c r="H1192" s="227"/>
      <c r="I1192" s="227"/>
      <c r="J1192" s="227"/>
      <c r="K1192" s="227"/>
      <c r="L1192" s="227"/>
      <c r="M1192" s="227"/>
      <c r="N1192" s="227"/>
      <c r="O1192" s="227"/>
      <c r="P1192" s="227"/>
      <c r="Q1192" s="227">
        <v>-15000</v>
      </c>
    </row>
    <row r="1193" spans="1:17" x14ac:dyDescent="0.3">
      <c r="A1193" s="113">
        <v>1406</v>
      </c>
      <c r="B1193" s="227"/>
      <c r="C1193" s="227"/>
      <c r="D1193" s="227"/>
      <c r="E1193" s="227"/>
      <c r="F1193" s="227"/>
      <c r="G1193" s="227">
        <v>-2000</v>
      </c>
      <c r="H1193" s="227"/>
      <c r="I1193" s="227"/>
      <c r="J1193" s="227"/>
      <c r="K1193" s="227"/>
      <c r="L1193" s="227"/>
      <c r="M1193" s="227"/>
      <c r="N1193" s="227"/>
      <c r="O1193" s="227"/>
      <c r="P1193" s="227"/>
      <c r="Q1193" s="227">
        <v>-2000</v>
      </c>
    </row>
    <row r="1194" spans="1:17" x14ac:dyDescent="0.3">
      <c r="A1194" s="113">
        <v>1407</v>
      </c>
      <c r="B1194" s="227"/>
      <c r="C1194" s="227"/>
      <c r="D1194" s="227"/>
      <c r="E1194" s="227">
        <v>-20000</v>
      </c>
      <c r="F1194" s="227"/>
      <c r="G1194" s="227"/>
      <c r="H1194" s="227"/>
      <c r="I1194" s="227"/>
      <c r="J1194" s="227"/>
      <c r="K1194" s="227"/>
      <c r="L1194" s="227"/>
      <c r="M1194" s="227"/>
      <c r="N1194" s="227"/>
      <c r="O1194" s="227"/>
      <c r="P1194" s="227"/>
      <c r="Q1194" s="227">
        <v>-20000</v>
      </c>
    </row>
    <row r="1195" spans="1:17" x14ac:dyDescent="0.3">
      <c r="A1195" s="113">
        <v>1408</v>
      </c>
      <c r="B1195" s="227">
        <v>70000</v>
      </c>
      <c r="C1195" s="227"/>
      <c r="D1195" s="227"/>
      <c r="E1195" s="227"/>
      <c r="F1195" s="227"/>
      <c r="G1195" s="227"/>
      <c r="H1195" s="227"/>
      <c r="I1195" s="227"/>
      <c r="J1195" s="227"/>
      <c r="K1195" s="227"/>
      <c r="L1195" s="227"/>
      <c r="M1195" s="227"/>
      <c r="N1195" s="227"/>
      <c r="O1195" s="227"/>
      <c r="P1195" s="227"/>
      <c r="Q1195" s="227">
        <v>70000</v>
      </c>
    </row>
    <row r="1196" spans="1:17" x14ac:dyDescent="0.3">
      <c r="A1196" s="113">
        <v>1409</v>
      </c>
      <c r="B1196" s="227"/>
      <c r="C1196" s="227"/>
      <c r="D1196" s="227"/>
      <c r="E1196" s="227"/>
      <c r="F1196" s="227">
        <v>-1200</v>
      </c>
      <c r="G1196" s="227"/>
      <c r="H1196" s="227"/>
      <c r="I1196" s="227"/>
      <c r="J1196" s="227"/>
      <c r="K1196" s="227"/>
      <c r="L1196" s="227"/>
      <c r="M1196" s="227"/>
      <c r="N1196" s="227"/>
      <c r="O1196" s="227"/>
      <c r="P1196" s="227"/>
      <c r="Q1196" s="227">
        <v>-1200</v>
      </c>
    </row>
    <row r="1197" spans="1:17" x14ac:dyDescent="0.3">
      <c r="A1197" s="113">
        <v>1410</v>
      </c>
      <c r="B1197" s="227"/>
      <c r="C1197" s="227"/>
      <c r="D1197" s="227"/>
      <c r="E1197" s="227"/>
      <c r="F1197" s="227"/>
      <c r="G1197" s="227"/>
      <c r="H1197" s="227"/>
      <c r="I1197" s="227"/>
      <c r="J1197" s="227"/>
      <c r="K1197" s="227"/>
      <c r="L1197" s="227"/>
      <c r="M1197" s="227"/>
      <c r="N1197" s="227"/>
      <c r="O1197" s="227">
        <v>-2000</v>
      </c>
      <c r="P1197" s="227"/>
      <c r="Q1197" s="227">
        <v>-2000</v>
      </c>
    </row>
    <row r="1198" spans="1:17" x14ac:dyDescent="0.3">
      <c r="A1198" s="113">
        <v>1411</v>
      </c>
      <c r="B1198" s="227"/>
      <c r="C1198" s="227"/>
      <c r="D1198" s="227"/>
      <c r="E1198" s="227"/>
      <c r="F1198" s="227"/>
      <c r="G1198" s="227"/>
      <c r="H1198" s="227"/>
      <c r="I1198" s="227">
        <v>-1000</v>
      </c>
      <c r="J1198" s="227"/>
      <c r="K1198" s="227"/>
      <c r="L1198" s="227"/>
      <c r="M1198" s="227"/>
      <c r="N1198" s="227"/>
      <c r="O1198" s="227"/>
      <c r="P1198" s="227"/>
      <c r="Q1198" s="227">
        <v>-1000</v>
      </c>
    </row>
    <row r="1199" spans="1:17" x14ac:dyDescent="0.3">
      <c r="A1199" s="113">
        <v>1412</v>
      </c>
      <c r="B1199" s="227"/>
      <c r="C1199" s="227"/>
      <c r="D1199" s="227"/>
      <c r="E1199" s="227"/>
      <c r="F1199" s="227"/>
      <c r="G1199" s="227">
        <v>-200</v>
      </c>
      <c r="H1199" s="227"/>
      <c r="I1199" s="227"/>
      <c r="J1199" s="227"/>
      <c r="K1199" s="227"/>
      <c r="L1199" s="227"/>
      <c r="M1199" s="227"/>
      <c r="N1199" s="227"/>
      <c r="O1199" s="227"/>
      <c r="P1199" s="227"/>
      <c r="Q1199" s="227">
        <v>-200</v>
      </c>
    </row>
    <row r="1200" spans="1:17" x14ac:dyDescent="0.3">
      <c r="A1200" s="113">
        <v>1413</v>
      </c>
      <c r="B1200" s="227"/>
      <c r="C1200" s="227"/>
      <c r="D1200" s="227"/>
      <c r="E1200" s="227"/>
      <c r="F1200" s="227"/>
      <c r="G1200" s="227"/>
      <c r="H1200" s="227"/>
      <c r="I1200" s="227">
        <v>-2000</v>
      </c>
      <c r="J1200" s="227"/>
      <c r="K1200" s="227"/>
      <c r="L1200" s="227"/>
      <c r="M1200" s="227"/>
      <c r="N1200" s="227"/>
      <c r="O1200" s="227"/>
      <c r="P1200" s="227"/>
      <c r="Q1200" s="227">
        <v>-2000</v>
      </c>
    </row>
    <row r="1201" spans="1:17" x14ac:dyDescent="0.3">
      <c r="A1201" s="113">
        <v>1414</v>
      </c>
      <c r="B1201" s="227"/>
      <c r="C1201" s="227"/>
      <c r="D1201" s="227"/>
      <c r="E1201" s="227"/>
      <c r="F1201" s="227"/>
      <c r="G1201" s="227">
        <v>-100</v>
      </c>
      <c r="H1201" s="227"/>
      <c r="I1201" s="227"/>
      <c r="J1201" s="227"/>
      <c r="K1201" s="227"/>
      <c r="L1201" s="227"/>
      <c r="M1201" s="227"/>
      <c r="N1201" s="227"/>
      <c r="O1201" s="227"/>
      <c r="P1201" s="227"/>
      <c r="Q1201" s="227">
        <v>-100</v>
      </c>
    </row>
    <row r="1202" spans="1:17" x14ac:dyDescent="0.3">
      <c r="A1202" s="113">
        <v>1415</v>
      </c>
      <c r="B1202" s="227"/>
      <c r="C1202" s="227"/>
      <c r="D1202" s="227"/>
      <c r="E1202" s="227"/>
      <c r="F1202" s="227"/>
      <c r="G1202" s="227"/>
      <c r="H1202" s="227"/>
      <c r="I1202" s="227">
        <v>-10000</v>
      </c>
      <c r="J1202" s="227"/>
      <c r="K1202" s="227"/>
      <c r="L1202" s="227"/>
      <c r="M1202" s="227"/>
      <c r="N1202" s="227"/>
      <c r="O1202" s="227"/>
      <c r="P1202" s="227"/>
      <c r="Q1202" s="227">
        <v>-10000</v>
      </c>
    </row>
    <row r="1203" spans="1:17" x14ac:dyDescent="0.3">
      <c r="A1203" s="113">
        <v>1416</v>
      </c>
      <c r="B1203" s="227"/>
      <c r="C1203" s="227"/>
      <c r="D1203" s="227"/>
      <c r="E1203" s="227"/>
      <c r="F1203" s="227"/>
      <c r="G1203" s="227"/>
      <c r="H1203" s="227"/>
      <c r="I1203" s="227"/>
      <c r="J1203" s="227"/>
      <c r="K1203" s="227"/>
      <c r="L1203" s="227"/>
      <c r="M1203" s="227"/>
      <c r="N1203" s="227"/>
      <c r="O1203" s="227">
        <v>-3600</v>
      </c>
      <c r="P1203" s="227"/>
      <c r="Q1203" s="227">
        <v>-3600</v>
      </c>
    </row>
    <row r="1204" spans="1:17" x14ac:dyDescent="0.3">
      <c r="A1204" s="113">
        <v>1417</v>
      </c>
      <c r="B1204" s="227"/>
      <c r="C1204" s="227"/>
      <c r="D1204" s="227"/>
      <c r="E1204" s="227"/>
      <c r="F1204" s="227"/>
      <c r="G1204" s="227"/>
      <c r="H1204" s="227"/>
      <c r="I1204" s="227"/>
      <c r="J1204" s="227"/>
      <c r="K1204" s="227"/>
      <c r="L1204" s="227"/>
      <c r="M1204" s="227"/>
      <c r="N1204" s="227"/>
      <c r="O1204" s="227">
        <v>-2000</v>
      </c>
      <c r="P1204" s="227"/>
      <c r="Q1204" s="227">
        <v>-2000</v>
      </c>
    </row>
    <row r="1205" spans="1:17" x14ac:dyDescent="0.3">
      <c r="A1205" s="113">
        <v>1418</v>
      </c>
      <c r="B1205" s="227"/>
      <c r="C1205" s="227"/>
      <c r="D1205" s="227"/>
      <c r="E1205" s="227"/>
      <c r="F1205" s="227">
        <v>-500</v>
      </c>
      <c r="G1205" s="227"/>
      <c r="H1205" s="227"/>
      <c r="I1205" s="227"/>
      <c r="J1205" s="227"/>
      <c r="K1205" s="227"/>
      <c r="L1205" s="227"/>
      <c r="M1205" s="227"/>
      <c r="N1205" s="227"/>
      <c r="O1205" s="227"/>
      <c r="P1205" s="227"/>
      <c r="Q1205" s="227">
        <v>-500</v>
      </c>
    </row>
    <row r="1206" spans="1:17" x14ac:dyDescent="0.3">
      <c r="A1206" s="113">
        <v>1419</v>
      </c>
      <c r="B1206" s="227"/>
      <c r="C1206" s="227"/>
      <c r="D1206" s="227"/>
      <c r="E1206" s="227"/>
      <c r="F1206" s="227"/>
      <c r="G1206" s="227"/>
      <c r="H1206" s="227"/>
      <c r="I1206" s="227"/>
      <c r="J1206" s="227"/>
      <c r="K1206" s="227"/>
      <c r="L1206" s="227"/>
      <c r="M1206" s="227"/>
      <c r="N1206" s="227"/>
      <c r="O1206" s="227">
        <v>-2000</v>
      </c>
      <c r="P1206" s="227"/>
      <c r="Q1206" s="227">
        <v>-2000</v>
      </c>
    </row>
    <row r="1207" spans="1:17" x14ac:dyDescent="0.3">
      <c r="A1207" s="113">
        <v>1420</v>
      </c>
      <c r="B1207" s="227"/>
      <c r="C1207" s="227"/>
      <c r="D1207" s="227"/>
      <c r="E1207" s="227"/>
      <c r="F1207" s="227"/>
      <c r="G1207" s="227">
        <v>-100</v>
      </c>
      <c r="H1207" s="227"/>
      <c r="I1207" s="227"/>
      <c r="J1207" s="227"/>
      <c r="K1207" s="227"/>
      <c r="L1207" s="227"/>
      <c r="M1207" s="227"/>
      <c r="N1207" s="227"/>
      <c r="O1207" s="227"/>
      <c r="P1207" s="227"/>
      <c r="Q1207" s="227">
        <v>-100</v>
      </c>
    </row>
    <row r="1208" spans="1:17" x14ac:dyDescent="0.3">
      <c r="A1208" s="113">
        <v>1421</v>
      </c>
      <c r="B1208" s="227">
        <v>150000</v>
      </c>
      <c r="C1208" s="227"/>
      <c r="D1208" s="227"/>
      <c r="E1208" s="227"/>
      <c r="F1208" s="227"/>
      <c r="G1208" s="227"/>
      <c r="H1208" s="227"/>
      <c r="I1208" s="227"/>
      <c r="J1208" s="227"/>
      <c r="K1208" s="227"/>
      <c r="L1208" s="227"/>
      <c r="M1208" s="227"/>
      <c r="N1208" s="227"/>
      <c r="O1208" s="227"/>
      <c r="P1208" s="227"/>
      <c r="Q1208" s="227">
        <v>150000</v>
      </c>
    </row>
    <row r="1209" spans="1:17" x14ac:dyDescent="0.3">
      <c r="A1209" s="113">
        <v>1422</v>
      </c>
      <c r="B1209" s="227"/>
      <c r="C1209" s="227"/>
      <c r="D1209" s="227"/>
      <c r="E1209" s="227">
        <v>-25000</v>
      </c>
      <c r="F1209" s="227"/>
      <c r="G1209" s="227"/>
      <c r="H1209" s="227"/>
      <c r="I1209" s="227"/>
      <c r="J1209" s="227"/>
      <c r="K1209" s="227"/>
      <c r="L1209" s="227"/>
      <c r="M1209" s="227"/>
      <c r="N1209" s="227"/>
      <c r="O1209" s="227"/>
      <c r="P1209" s="227"/>
      <c r="Q1209" s="227">
        <v>-25000</v>
      </c>
    </row>
    <row r="1210" spans="1:17" x14ac:dyDescent="0.3">
      <c r="A1210" s="113">
        <v>1423</v>
      </c>
      <c r="B1210" s="227"/>
      <c r="C1210" s="227"/>
      <c r="D1210" s="227"/>
      <c r="E1210" s="227"/>
      <c r="F1210" s="227">
        <v>-20000</v>
      </c>
      <c r="G1210" s="227"/>
      <c r="H1210" s="227"/>
      <c r="I1210" s="227"/>
      <c r="J1210" s="227"/>
      <c r="K1210" s="227"/>
      <c r="L1210" s="227"/>
      <c r="M1210" s="227"/>
      <c r="N1210" s="227"/>
      <c r="O1210" s="227"/>
      <c r="P1210" s="227"/>
      <c r="Q1210" s="227">
        <v>-20000</v>
      </c>
    </row>
    <row r="1211" spans="1:17" x14ac:dyDescent="0.3">
      <c r="A1211" s="113">
        <v>1424</v>
      </c>
      <c r="B1211" s="227"/>
      <c r="C1211" s="227"/>
      <c r="D1211" s="227"/>
      <c r="E1211" s="227"/>
      <c r="F1211" s="227"/>
      <c r="G1211" s="227"/>
      <c r="H1211" s="227"/>
      <c r="I1211" s="227"/>
      <c r="J1211" s="227"/>
      <c r="K1211" s="227"/>
      <c r="L1211" s="227"/>
      <c r="M1211" s="227"/>
      <c r="N1211" s="227"/>
      <c r="O1211" s="227">
        <v>-8050</v>
      </c>
      <c r="P1211" s="227"/>
      <c r="Q1211" s="227">
        <v>-8050</v>
      </c>
    </row>
    <row r="1212" spans="1:17" x14ac:dyDescent="0.3">
      <c r="A1212" s="113">
        <v>1425</v>
      </c>
      <c r="B1212" s="227"/>
      <c r="C1212" s="227"/>
      <c r="D1212" s="227"/>
      <c r="E1212" s="227"/>
      <c r="F1212" s="227"/>
      <c r="G1212" s="227"/>
      <c r="H1212" s="227"/>
      <c r="I1212" s="227"/>
      <c r="J1212" s="227"/>
      <c r="K1212" s="227"/>
      <c r="L1212" s="227"/>
      <c r="M1212" s="227"/>
      <c r="N1212" s="227"/>
      <c r="O1212" s="227">
        <v>-3000</v>
      </c>
      <c r="P1212" s="227"/>
      <c r="Q1212" s="227">
        <v>-3000</v>
      </c>
    </row>
    <row r="1213" spans="1:17" x14ac:dyDescent="0.3">
      <c r="A1213" s="113">
        <v>1426</v>
      </c>
      <c r="B1213" s="227"/>
      <c r="C1213" s="227"/>
      <c r="D1213" s="227"/>
      <c r="E1213" s="227"/>
      <c r="F1213" s="227"/>
      <c r="G1213" s="227"/>
      <c r="H1213" s="227"/>
      <c r="I1213" s="227">
        <v>-2000</v>
      </c>
      <c r="J1213" s="227"/>
      <c r="K1213" s="227"/>
      <c r="L1213" s="227"/>
      <c r="M1213" s="227"/>
      <c r="N1213" s="227"/>
      <c r="O1213" s="227"/>
      <c r="P1213" s="227"/>
      <c r="Q1213" s="227">
        <v>-2000</v>
      </c>
    </row>
    <row r="1214" spans="1:17" x14ac:dyDescent="0.3">
      <c r="A1214" s="113">
        <v>1427</v>
      </c>
      <c r="B1214" s="227"/>
      <c r="C1214" s="227"/>
      <c r="D1214" s="227"/>
      <c r="E1214" s="227"/>
      <c r="F1214" s="227"/>
      <c r="G1214" s="227"/>
      <c r="H1214" s="227"/>
      <c r="I1214" s="227">
        <v>-3000</v>
      </c>
      <c r="J1214" s="227"/>
      <c r="K1214" s="227"/>
      <c r="L1214" s="227"/>
      <c r="M1214" s="227"/>
      <c r="N1214" s="227"/>
      <c r="O1214" s="227"/>
      <c r="P1214" s="227"/>
      <c r="Q1214" s="227">
        <v>-3000</v>
      </c>
    </row>
    <row r="1215" spans="1:17" x14ac:dyDescent="0.3">
      <c r="A1215" s="113">
        <v>1428</v>
      </c>
      <c r="B1215" s="227"/>
      <c r="C1215" s="227"/>
      <c r="D1215" s="227"/>
      <c r="E1215" s="227"/>
      <c r="F1215" s="227"/>
      <c r="G1215" s="227"/>
      <c r="H1215" s="227"/>
      <c r="I1215" s="227"/>
      <c r="J1215" s="227">
        <v>-2000</v>
      </c>
      <c r="K1215" s="227"/>
      <c r="L1215" s="227"/>
      <c r="M1215" s="227"/>
      <c r="N1215" s="227"/>
      <c r="O1215" s="227"/>
      <c r="P1215" s="227"/>
      <c r="Q1215" s="227">
        <v>-2000</v>
      </c>
    </row>
    <row r="1216" spans="1:17" x14ac:dyDescent="0.3">
      <c r="A1216" s="113">
        <v>1429</v>
      </c>
      <c r="B1216" s="227">
        <v>50000</v>
      </c>
      <c r="C1216" s="227"/>
      <c r="D1216" s="227"/>
      <c r="E1216" s="227"/>
      <c r="F1216" s="227"/>
      <c r="G1216" s="227"/>
      <c r="H1216" s="227"/>
      <c r="I1216" s="227"/>
      <c r="J1216" s="227"/>
      <c r="K1216" s="227"/>
      <c r="L1216" s="227"/>
      <c r="M1216" s="227"/>
      <c r="N1216" s="227"/>
      <c r="O1216" s="227"/>
      <c r="P1216" s="227"/>
      <c r="Q1216" s="227">
        <v>50000</v>
      </c>
    </row>
    <row r="1217" spans="1:17" x14ac:dyDescent="0.3">
      <c r="A1217" s="113">
        <v>1430</v>
      </c>
      <c r="B1217" s="227"/>
      <c r="C1217" s="227"/>
      <c r="D1217" s="227"/>
      <c r="E1217" s="227"/>
      <c r="F1217" s="227"/>
      <c r="G1217" s="227"/>
      <c r="H1217" s="227"/>
      <c r="I1217" s="227"/>
      <c r="J1217" s="227"/>
      <c r="K1217" s="227"/>
      <c r="L1217" s="227"/>
      <c r="M1217" s="227"/>
      <c r="N1217" s="227"/>
      <c r="O1217" s="227"/>
      <c r="P1217" s="227">
        <v>-25000</v>
      </c>
      <c r="Q1217" s="227">
        <v>-25000</v>
      </c>
    </row>
    <row r="1218" spans="1:17" x14ac:dyDescent="0.3">
      <c r="A1218" s="113">
        <v>1431</v>
      </c>
      <c r="B1218" s="227"/>
      <c r="C1218" s="227"/>
      <c r="D1218" s="227"/>
      <c r="E1218" s="227"/>
      <c r="F1218" s="227"/>
      <c r="G1218" s="227"/>
      <c r="H1218" s="227"/>
      <c r="I1218" s="227">
        <v>-2000</v>
      </c>
      <c r="J1218" s="227"/>
      <c r="K1218" s="227"/>
      <c r="L1218" s="227"/>
      <c r="M1218" s="227"/>
      <c r="N1218" s="227"/>
      <c r="O1218" s="227"/>
      <c r="P1218" s="227"/>
      <c r="Q1218" s="227">
        <v>-2000</v>
      </c>
    </row>
    <row r="1219" spans="1:17" x14ac:dyDescent="0.3">
      <c r="A1219" s="113">
        <v>1432</v>
      </c>
      <c r="B1219" s="227"/>
      <c r="C1219" s="227"/>
      <c r="D1219" s="227"/>
      <c r="E1219" s="227">
        <v>-15000</v>
      </c>
      <c r="F1219" s="227"/>
      <c r="G1219" s="227"/>
      <c r="H1219" s="227"/>
      <c r="I1219" s="227"/>
      <c r="J1219" s="227"/>
      <c r="K1219" s="227"/>
      <c r="L1219" s="227"/>
      <c r="M1219" s="227"/>
      <c r="N1219" s="227"/>
      <c r="O1219" s="227"/>
      <c r="P1219" s="227"/>
      <c r="Q1219" s="227">
        <v>-15000</v>
      </c>
    </row>
    <row r="1220" spans="1:17" x14ac:dyDescent="0.3">
      <c r="A1220" s="113">
        <v>1433</v>
      </c>
      <c r="B1220" s="227"/>
      <c r="C1220" s="227"/>
      <c r="D1220" s="227"/>
      <c r="E1220" s="227"/>
      <c r="F1220" s="227"/>
      <c r="G1220" s="227"/>
      <c r="H1220" s="227"/>
      <c r="I1220" s="227">
        <v>-10000</v>
      </c>
      <c r="J1220" s="227"/>
      <c r="K1220" s="227"/>
      <c r="L1220" s="227"/>
      <c r="M1220" s="227"/>
      <c r="N1220" s="227"/>
      <c r="O1220" s="227"/>
      <c r="P1220" s="227"/>
      <c r="Q1220" s="227">
        <v>-10000</v>
      </c>
    </row>
    <row r="1221" spans="1:17" x14ac:dyDescent="0.3">
      <c r="A1221" s="113">
        <v>1434</v>
      </c>
      <c r="B1221" s="227"/>
      <c r="C1221" s="227"/>
      <c r="D1221" s="227"/>
      <c r="E1221" s="227"/>
      <c r="F1221" s="227"/>
      <c r="G1221" s="227"/>
      <c r="H1221" s="227"/>
      <c r="I1221" s="227"/>
      <c r="J1221" s="227"/>
      <c r="K1221" s="227"/>
      <c r="L1221" s="227"/>
      <c r="M1221" s="227"/>
      <c r="N1221" s="227"/>
      <c r="O1221" s="227">
        <v>-1000</v>
      </c>
      <c r="P1221" s="227"/>
      <c r="Q1221" s="227">
        <v>-1000</v>
      </c>
    </row>
    <row r="1222" spans="1:17" x14ac:dyDescent="0.3">
      <c r="A1222" s="113">
        <v>1435</v>
      </c>
      <c r="B1222" s="227"/>
      <c r="C1222" s="227"/>
      <c r="D1222" s="227"/>
      <c r="E1222" s="227"/>
      <c r="F1222" s="227"/>
      <c r="G1222" s="227"/>
      <c r="H1222" s="227"/>
      <c r="I1222" s="227">
        <v>-17000</v>
      </c>
      <c r="J1222" s="227"/>
      <c r="K1222" s="227"/>
      <c r="L1222" s="227"/>
      <c r="M1222" s="227"/>
      <c r="N1222" s="227"/>
      <c r="O1222" s="227"/>
      <c r="P1222" s="227"/>
      <c r="Q1222" s="227">
        <v>-17000</v>
      </c>
    </row>
    <row r="1223" spans="1:17" x14ac:dyDescent="0.3">
      <c r="A1223" s="113">
        <v>1436</v>
      </c>
      <c r="B1223" s="227">
        <v>125000</v>
      </c>
      <c r="C1223" s="227"/>
      <c r="D1223" s="227"/>
      <c r="E1223" s="227"/>
      <c r="F1223" s="227"/>
      <c r="G1223" s="227"/>
      <c r="H1223" s="227"/>
      <c r="I1223" s="227"/>
      <c r="J1223" s="227"/>
      <c r="K1223" s="227"/>
      <c r="L1223" s="227"/>
      <c r="M1223" s="227"/>
      <c r="N1223" s="227"/>
      <c r="O1223" s="227"/>
      <c r="P1223" s="227"/>
      <c r="Q1223" s="227">
        <v>125000</v>
      </c>
    </row>
    <row r="1224" spans="1:17" x14ac:dyDescent="0.3">
      <c r="A1224" s="113">
        <v>1437</v>
      </c>
      <c r="B1224" s="227">
        <v>50000</v>
      </c>
      <c r="C1224" s="227"/>
      <c r="D1224" s="227"/>
      <c r="E1224" s="227"/>
      <c r="F1224" s="227"/>
      <c r="G1224" s="227"/>
      <c r="H1224" s="227"/>
      <c r="I1224" s="227"/>
      <c r="J1224" s="227"/>
      <c r="K1224" s="227"/>
      <c r="L1224" s="227"/>
      <c r="M1224" s="227"/>
      <c r="N1224" s="227"/>
      <c r="O1224" s="227"/>
      <c r="P1224" s="227"/>
      <c r="Q1224" s="227">
        <v>50000</v>
      </c>
    </row>
    <row r="1225" spans="1:17" x14ac:dyDescent="0.3">
      <c r="A1225" s="113">
        <v>1438</v>
      </c>
      <c r="B1225" s="227"/>
      <c r="C1225" s="227"/>
      <c r="D1225" s="227"/>
      <c r="E1225" s="227"/>
      <c r="F1225" s="227">
        <v>-50000</v>
      </c>
      <c r="G1225" s="227"/>
      <c r="H1225" s="227"/>
      <c r="I1225" s="227"/>
      <c r="J1225" s="227"/>
      <c r="K1225" s="227"/>
      <c r="L1225" s="227"/>
      <c r="M1225" s="227"/>
      <c r="N1225" s="227"/>
      <c r="O1225" s="227"/>
      <c r="P1225" s="227"/>
      <c r="Q1225" s="227">
        <v>-50000</v>
      </c>
    </row>
    <row r="1226" spans="1:17" x14ac:dyDescent="0.3">
      <c r="A1226" s="113">
        <v>1439</v>
      </c>
      <c r="B1226" s="227"/>
      <c r="C1226" s="227"/>
      <c r="D1226" s="227"/>
      <c r="E1226" s="227">
        <v>-35000</v>
      </c>
      <c r="F1226" s="227"/>
      <c r="G1226" s="227"/>
      <c r="H1226" s="227"/>
      <c r="I1226" s="227"/>
      <c r="J1226" s="227"/>
      <c r="K1226" s="227"/>
      <c r="L1226" s="227"/>
      <c r="M1226" s="227"/>
      <c r="N1226" s="227"/>
      <c r="O1226" s="227"/>
      <c r="P1226" s="227"/>
      <c r="Q1226" s="227">
        <v>-35000</v>
      </c>
    </row>
    <row r="1227" spans="1:17" x14ac:dyDescent="0.3">
      <c r="A1227" s="113">
        <v>1440</v>
      </c>
      <c r="B1227" s="227"/>
      <c r="C1227" s="227"/>
      <c r="D1227" s="227"/>
      <c r="E1227" s="227"/>
      <c r="F1227" s="227"/>
      <c r="G1227" s="227"/>
      <c r="H1227" s="227"/>
      <c r="I1227" s="227"/>
      <c r="J1227" s="227"/>
      <c r="K1227" s="227"/>
      <c r="L1227" s="227"/>
      <c r="M1227" s="227"/>
      <c r="N1227" s="227"/>
      <c r="O1227" s="227">
        <v>-1800</v>
      </c>
      <c r="P1227" s="227"/>
      <c r="Q1227" s="227">
        <v>-1800</v>
      </c>
    </row>
    <row r="1228" spans="1:17" x14ac:dyDescent="0.3">
      <c r="A1228" s="113">
        <v>1441</v>
      </c>
      <c r="B1228" s="227"/>
      <c r="C1228" s="227"/>
      <c r="D1228" s="227"/>
      <c r="E1228" s="227"/>
      <c r="F1228" s="227"/>
      <c r="G1228" s="227">
        <v>-100</v>
      </c>
      <c r="H1228" s="227"/>
      <c r="I1228" s="227"/>
      <c r="J1228" s="227"/>
      <c r="K1228" s="227"/>
      <c r="L1228" s="227"/>
      <c r="M1228" s="227"/>
      <c r="N1228" s="227"/>
      <c r="O1228" s="227"/>
      <c r="P1228" s="227"/>
      <c r="Q1228" s="227">
        <v>-100</v>
      </c>
    </row>
    <row r="1229" spans="1:17" x14ac:dyDescent="0.3">
      <c r="A1229" s="113">
        <v>1442</v>
      </c>
      <c r="B1229" s="227"/>
      <c r="C1229" s="227"/>
      <c r="D1229" s="227"/>
      <c r="E1229" s="227"/>
      <c r="F1229" s="227"/>
      <c r="G1229" s="227">
        <v>-100</v>
      </c>
      <c r="H1229" s="227"/>
      <c r="I1229" s="227"/>
      <c r="J1229" s="227"/>
      <c r="K1229" s="227"/>
      <c r="L1229" s="227"/>
      <c r="M1229" s="227"/>
      <c r="N1229" s="227"/>
      <c r="O1229" s="227"/>
      <c r="P1229" s="227"/>
      <c r="Q1229" s="227">
        <v>-100</v>
      </c>
    </row>
    <row r="1230" spans="1:17" x14ac:dyDescent="0.3">
      <c r="A1230" s="113">
        <v>1443</v>
      </c>
      <c r="B1230" s="227"/>
      <c r="C1230" s="227"/>
      <c r="D1230" s="227"/>
      <c r="E1230" s="227"/>
      <c r="F1230" s="227"/>
      <c r="G1230" s="227"/>
      <c r="H1230" s="227"/>
      <c r="I1230" s="227">
        <v>-3000</v>
      </c>
      <c r="J1230" s="227"/>
      <c r="K1230" s="227"/>
      <c r="L1230" s="227"/>
      <c r="M1230" s="227"/>
      <c r="N1230" s="227"/>
      <c r="O1230" s="227"/>
      <c r="P1230" s="227"/>
      <c r="Q1230" s="227">
        <v>-3000</v>
      </c>
    </row>
    <row r="1231" spans="1:17" x14ac:dyDescent="0.3">
      <c r="A1231" s="113">
        <v>1444</v>
      </c>
      <c r="B1231" s="227"/>
      <c r="C1231" s="227"/>
      <c r="D1231" s="227"/>
      <c r="E1231" s="227"/>
      <c r="F1231" s="227"/>
      <c r="G1231" s="227"/>
      <c r="H1231" s="227"/>
      <c r="I1231" s="227"/>
      <c r="J1231" s="227">
        <v>-15000</v>
      </c>
      <c r="K1231" s="227"/>
      <c r="L1231" s="227"/>
      <c r="M1231" s="227"/>
      <c r="N1231" s="227"/>
      <c r="O1231" s="227"/>
      <c r="P1231" s="227"/>
      <c r="Q1231" s="227">
        <v>-15000</v>
      </c>
    </row>
    <row r="1232" spans="1:17" x14ac:dyDescent="0.3">
      <c r="A1232" s="113">
        <v>1445</v>
      </c>
      <c r="B1232" s="227"/>
      <c r="C1232" s="227"/>
      <c r="D1232" s="227"/>
      <c r="E1232" s="227"/>
      <c r="F1232" s="227"/>
      <c r="G1232" s="227"/>
      <c r="H1232" s="227"/>
      <c r="I1232" s="227"/>
      <c r="J1232" s="227"/>
      <c r="K1232" s="227"/>
      <c r="L1232" s="227">
        <v>-60000</v>
      </c>
      <c r="M1232" s="227"/>
      <c r="N1232" s="227"/>
      <c r="O1232" s="227"/>
      <c r="P1232" s="227"/>
      <c r="Q1232" s="227">
        <v>-60000</v>
      </c>
    </row>
    <row r="1233" spans="1:17" x14ac:dyDescent="0.3">
      <c r="A1233" s="113">
        <v>1446</v>
      </c>
      <c r="B1233" s="227">
        <v>50000</v>
      </c>
      <c r="C1233" s="227"/>
      <c r="D1233" s="227"/>
      <c r="E1233" s="227"/>
      <c r="F1233" s="227"/>
      <c r="G1233" s="227"/>
      <c r="H1233" s="227"/>
      <c r="I1233" s="227"/>
      <c r="J1233" s="227"/>
      <c r="K1233" s="227"/>
      <c r="L1233" s="227"/>
      <c r="M1233" s="227"/>
      <c r="N1233" s="227"/>
      <c r="O1233" s="227"/>
      <c r="P1233" s="227"/>
      <c r="Q1233" s="227">
        <v>50000</v>
      </c>
    </row>
    <row r="1234" spans="1:17" x14ac:dyDescent="0.3">
      <c r="A1234" s="113">
        <v>1447</v>
      </c>
      <c r="B1234" s="227"/>
      <c r="C1234" s="227"/>
      <c r="D1234" s="227"/>
      <c r="E1234" s="227">
        <v>-20000</v>
      </c>
      <c r="F1234" s="227"/>
      <c r="G1234" s="227"/>
      <c r="H1234" s="227"/>
      <c r="I1234" s="227"/>
      <c r="J1234" s="227"/>
      <c r="K1234" s="227"/>
      <c r="L1234" s="227"/>
      <c r="M1234" s="227"/>
      <c r="N1234" s="227"/>
      <c r="O1234" s="227"/>
      <c r="P1234" s="227"/>
      <c r="Q1234" s="227">
        <v>-20000</v>
      </c>
    </row>
    <row r="1235" spans="1:17" x14ac:dyDescent="0.3">
      <c r="A1235" s="113">
        <v>1448</v>
      </c>
      <c r="B1235" s="227"/>
      <c r="C1235" s="227"/>
      <c r="D1235" s="227"/>
      <c r="E1235" s="227"/>
      <c r="F1235" s="227"/>
      <c r="G1235" s="227"/>
      <c r="H1235" s="227"/>
      <c r="I1235" s="227">
        <v>-2000</v>
      </c>
      <c r="J1235" s="227"/>
      <c r="K1235" s="227"/>
      <c r="L1235" s="227"/>
      <c r="M1235" s="227"/>
      <c r="N1235" s="227"/>
      <c r="O1235" s="227"/>
      <c r="P1235" s="227"/>
      <c r="Q1235" s="227">
        <v>-2000</v>
      </c>
    </row>
    <row r="1236" spans="1:17" x14ac:dyDescent="0.3">
      <c r="A1236" s="113">
        <v>1449</v>
      </c>
      <c r="B1236" s="227"/>
      <c r="C1236" s="227"/>
      <c r="D1236" s="227"/>
      <c r="E1236" s="227"/>
      <c r="F1236" s="227"/>
      <c r="G1236" s="227"/>
      <c r="H1236" s="227"/>
      <c r="I1236" s="227"/>
      <c r="J1236" s="227"/>
      <c r="K1236" s="227"/>
      <c r="L1236" s="227"/>
      <c r="M1236" s="227"/>
      <c r="N1236" s="227"/>
      <c r="O1236" s="227"/>
      <c r="P1236" s="227">
        <v>-20000</v>
      </c>
      <c r="Q1236" s="227">
        <v>-20000</v>
      </c>
    </row>
    <row r="1237" spans="1:17" x14ac:dyDescent="0.3">
      <c r="A1237" s="113">
        <v>1450</v>
      </c>
      <c r="B1237" s="227"/>
      <c r="C1237" s="227"/>
      <c r="D1237" s="227"/>
      <c r="E1237" s="227"/>
      <c r="F1237" s="227"/>
      <c r="G1237" s="227"/>
      <c r="H1237" s="227"/>
      <c r="I1237" s="227">
        <v>-1000</v>
      </c>
      <c r="J1237" s="227"/>
      <c r="K1237" s="227"/>
      <c r="L1237" s="227"/>
      <c r="M1237" s="227"/>
      <c r="N1237" s="227"/>
      <c r="O1237" s="227"/>
      <c r="P1237" s="227"/>
      <c r="Q1237" s="227">
        <v>-1000</v>
      </c>
    </row>
    <row r="1238" spans="1:17" x14ac:dyDescent="0.3">
      <c r="A1238" s="113">
        <v>1451</v>
      </c>
      <c r="B1238" s="227"/>
      <c r="C1238" s="227"/>
      <c r="D1238" s="227"/>
      <c r="E1238" s="227">
        <v>-12000</v>
      </c>
      <c r="F1238" s="227"/>
      <c r="G1238" s="227"/>
      <c r="H1238" s="227"/>
      <c r="I1238" s="227"/>
      <c r="J1238" s="227"/>
      <c r="K1238" s="227"/>
      <c r="L1238" s="227"/>
      <c r="M1238" s="227"/>
      <c r="N1238" s="227"/>
      <c r="O1238" s="227"/>
      <c r="P1238" s="227"/>
      <c r="Q1238" s="227">
        <v>-12000</v>
      </c>
    </row>
    <row r="1239" spans="1:17" x14ac:dyDescent="0.3">
      <c r="A1239" s="113">
        <v>1452</v>
      </c>
      <c r="B1239" s="227"/>
      <c r="C1239" s="227"/>
      <c r="D1239" s="227"/>
      <c r="E1239" s="227"/>
      <c r="F1239" s="227"/>
      <c r="G1239" s="227"/>
      <c r="H1239" s="227"/>
      <c r="I1239" s="227">
        <v>-2000</v>
      </c>
      <c r="J1239" s="227"/>
      <c r="K1239" s="227"/>
      <c r="L1239" s="227"/>
      <c r="M1239" s="227"/>
      <c r="N1239" s="227"/>
      <c r="O1239" s="227"/>
      <c r="P1239" s="227"/>
      <c r="Q1239" s="227">
        <v>-2000</v>
      </c>
    </row>
    <row r="1240" spans="1:17" x14ac:dyDescent="0.3">
      <c r="A1240" s="113">
        <v>1453</v>
      </c>
      <c r="B1240" s="227"/>
      <c r="C1240" s="227"/>
      <c r="D1240" s="227"/>
      <c r="E1240" s="227"/>
      <c r="F1240" s="227"/>
      <c r="G1240" s="227"/>
      <c r="H1240" s="227"/>
      <c r="I1240" s="227"/>
      <c r="J1240" s="227"/>
      <c r="K1240" s="227"/>
      <c r="L1240" s="227"/>
      <c r="M1240" s="227"/>
      <c r="N1240" s="227"/>
      <c r="O1240" s="227">
        <v>-3600</v>
      </c>
      <c r="P1240" s="227"/>
      <c r="Q1240" s="227">
        <v>-3600</v>
      </c>
    </row>
    <row r="1241" spans="1:17" x14ac:dyDescent="0.3">
      <c r="A1241" s="113">
        <v>1454</v>
      </c>
      <c r="B1241" s="227"/>
      <c r="C1241" s="227"/>
      <c r="D1241" s="227"/>
      <c r="E1241" s="227"/>
      <c r="F1241" s="227"/>
      <c r="G1241" s="227">
        <v>-120</v>
      </c>
      <c r="H1241" s="227"/>
      <c r="I1241" s="227"/>
      <c r="J1241" s="227"/>
      <c r="K1241" s="227"/>
      <c r="L1241" s="227"/>
      <c r="M1241" s="227"/>
      <c r="N1241" s="227"/>
      <c r="O1241" s="227"/>
      <c r="P1241" s="227"/>
      <c r="Q1241" s="227">
        <v>-120</v>
      </c>
    </row>
    <row r="1242" spans="1:17" x14ac:dyDescent="0.3">
      <c r="A1242" s="113">
        <v>1455</v>
      </c>
      <c r="B1242" s="227"/>
      <c r="C1242" s="227"/>
      <c r="D1242" s="227"/>
      <c r="E1242" s="227"/>
      <c r="F1242" s="227"/>
      <c r="G1242" s="227">
        <v>-100</v>
      </c>
      <c r="H1242" s="227"/>
      <c r="I1242" s="227"/>
      <c r="J1242" s="227"/>
      <c r="K1242" s="227"/>
      <c r="L1242" s="227"/>
      <c r="M1242" s="227"/>
      <c r="N1242" s="227"/>
      <c r="O1242" s="227"/>
      <c r="P1242" s="227"/>
      <c r="Q1242" s="227">
        <v>-100</v>
      </c>
    </row>
    <row r="1243" spans="1:17" x14ac:dyDescent="0.3">
      <c r="A1243" s="113">
        <v>1456</v>
      </c>
      <c r="B1243" s="227"/>
      <c r="C1243" s="227"/>
      <c r="D1243" s="227"/>
      <c r="E1243" s="227"/>
      <c r="F1243" s="227"/>
      <c r="G1243" s="227"/>
      <c r="H1243" s="227"/>
      <c r="I1243" s="227"/>
      <c r="J1243" s="227"/>
      <c r="K1243" s="227"/>
      <c r="L1243" s="227"/>
      <c r="M1243" s="227"/>
      <c r="N1243" s="227"/>
      <c r="O1243" s="227">
        <v>-9850</v>
      </c>
      <c r="P1243" s="227"/>
      <c r="Q1243" s="227">
        <v>-9850</v>
      </c>
    </row>
    <row r="1244" spans="1:17" x14ac:dyDescent="0.3">
      <c r="A1244" s="113">
        <v>1458</v>
      </c>
      <c r="B1244" s="227">
        <v>16000</v>
      </c>
      <c r="C1244" s="227"/>
      <c r="D1244" s="227"/>
      <c r="E1244" s="227"/>
      <c r="F1244" s="227"/>
      <c r="G1244" s="227"/>
      <c r="H1244" s="227"/>
      <c r="I1244" s="227"/>
      <c r="J1244" s="227"/>
      <c r="K1244" s="227"/>
      <c r="L1244" s="227"/>
      <c r="M1244" s="227"/>
      <c r="N1244" s="227"/>
      <c r="O1244" s="227"/>
      <c r="P1244" s="227"/>
      <c r="Q1244" s="227">
        <v>16000</v>
      </c>
    </row>
    <row r="1245" spans="1:17" x14ac:dyDescent="0.3">
      <c r="A1245" s="113">
        <v>1459</v>
      </c>
      <c r="B1245" s="227"/>
      <c r="C1245" s="227"/>
      <c r="D1245" s="227"/>
      <c r="E1245" s="227"/>
      <c r="F1245" s="227"/>
      <c r="G1245" s="227">
        <v>-100</v>
      </c>
      <c r="H1245" s="227"/>
      <c r="I1245" s="227"/>
      <c r="J1245" s="227"/>
      <c r="K1245" s="227"/>
      <c r="L1245" s="227"/>
      <c r="M1245" s="227"/>
      <c r="N1245" s="227"/>
      <c r="O1245" s="227"/>
      <c r="P1245" s="227"/>
      <c r="Q1245" s="227">
        <v>-100</v>
      </c>
    </row>
    <row r="1246" spans="1:17" x14ac:dyDescent="0.3">
      <c r="A1246" s="113">
        <v>1460</v>
      </c>
      <c r="B1246" s="227">
        <v>50000</v>
      </c>
      <c r="C1246" s="227"/>
      <c r="D1246" s="227"/>
      <c r="E1246" s="227"/>
      <c r="F1246" s="227"/>
      <c r="G1246" s="227"/>
      <c r="H1246" s="227"/>
      <c r="I1246" s="227"/>
      <c r="J1246" s="227"/>
      <c r="K1246" s="227"/>
      <c r="L1246" s="227"/>
      <c r="M1246" s="227"/>
      <c r="N1246" s="227"/>
      <c r="O1246" s="227"/>
      <c r="P1246" s="227"/>
      <c r="Q1246" s="227">
        <v>50000</v>
      </c>
    </row>
    <row r="1247" spans="1:17" x14ac:dyDescent="0.3">
      <c r="A1247" s="113">
        <v>1461</v>
      </c>
      <c r="B1247" s="227"/>
      <c r="C1247" s="227"/>
      <c r="D1247" s="227"/>
      <c r="E1247" s="227">
        <v>-10000</v>
      </c>
      <c r="F1247" s="227"/>
      <c r="G1247" s="227"/>
      <c r="H1247" s="227"/>
      <c r="I1247" s="227"/>
      <c r="J1247" s="227"/>
      <c r="K1247" s="227"/>
      <c r="L1247" s="227"/>
      <c r="M1247" s="227"/>
      <c r="N1247" s="227"/>
      <c r="O1247" s="227"/>
      <c r="P1247" s="227"/>
      <c r="Q1247" s="227">
        <v>-10000</v>
      </c>
    </row>
    <row r="1248" spans="1:17" x14ac:dyDescent="0.3">
      <c r="A1248" s="113">
        <v>1462</v>
      </c>
      <c r="B1248" s="227"/>
      <c r="C1248" s="227"/>
      <c r="D1248" s="227"/>
      <c r="E1248" s="227"/>
      <c r="F1248" s="227"/>
      <c r="G1248" s="227"/>
      <c r="H1248" s="227"/>
      <c r="I1248" s="227">
        <v>-2000</v>
      </c>
      <c r="J1248" s="227"/>
      <c r="K1248" s="227"/>
      <c r="L1248" s="227"/>
      <c r="M1248" s="227"/>
      <c r="N1248" s="227"/>
      <c r="O1248" s="227"/>
      <c r="P1248" s="227"/>
      <c r="Q1248" s="227">
        <v>-2000</v>
      </c>
    </row>
    <row r="1249" spans="1:17" x14ac:dyDescent="0.3">
      <c r="A1249" s="113">
        <v>1463</v>
      </c>
      <c r="B1249" s="227"/>
      <c r="C1249" s="227"/>
      <c r="D1249" s="227"/>
      <c r="E1249" s="227"/>
      <c r="F1249" s="227"/>
      <c r="G1249" s="227"/>
      <c r="H1249" s="227"/>
      <c r="I1249" s="227">
        <v>-2000</v>
      </c>
      <c r="J1249" s="227"/>
      <c r="K1249" s="227"/>
      <c r="L1249" s="227"/>
      <c r="M1249" s="227"/>
      <c r="N1249" s="227"/>
      <c r="O1249" s="227"/>
      <c r="P1249" s="227"/>
      <c r="Q1249" s="227">
        <v>-2000</v>
      </c>
    </row>
    <row r="1250" spans="1:17" x14ac:dyDescent="0.3">
      <c r="A1250" s="113">
        <v>1464</v>
      </c>
      <c r="B1250" s="227"/>
      <c r="C1250" s="227"/>
      <c r="D1250" s="227"/>
      <c r="E1250" s="227">
        <v>-5000</v>
      </c>
      <c r="F1250" s="227"/>
      <c r="G1250" s="227"/>
      <c r="H1250" s="227"/>
      <c r="I1250" s="227"/>
      <c r="J1250" s="227"/>
      <c r="K1250" s="227"/>
      <c r="L1250" s="227"/>
      <c r="M1250" s="227"/>
      <c r="N1250" s="227"/>
      <c r="O1250" s="227"/>
      <c r="P1250" s="227"/>
      <c r="Q1250" s="227">
        <v>-5000</v>
      </c>
    </row>
    <row r="1251" spans="1:17" x14ac:dyDescent="0.3">
      <c r="A1251" s="113">
        <v>1465</v>
      </c>
      <c r="B1251" s="227"/>
      <c r="C1251" s="227"/>
      <c r="D1251" s="227"/>
      <c r="E1251" s="227"/>
      <c r="F1251" s="227"/>
      <c r="G1251" s="227"/>
      <c r="H1251" s="227"/>
      <c r="I1251" s="227">
        <v>-22000</v>
      </c>
      <c r="J1251" s="227"/>
      <c r="K1251" s="227"/>
      <c r="L1251" s="227"/>
      <c r="M1251" s="227"/>
      <c r="N1251" s="227"/>
      <c r="O1251" s="227"/>
      <c r="P1251" s="227"/>
      <c r="Q1251" s="227">
        <v>-22000</v>
      </c>
    </row>
    <row r="1252" spans="1:17" x14ac:dyDescent="0.3">
      <c r="A1252" s="113">
        <v>1468</v>
      </c>
      <c r="B1252" s="227"/>
      <c r="C1252" s="227"/>
      <c r="D1252" s="227"/>
      <c r="E1252" s="227">
        <v>-10000</v>
      </c>
      <c r="F1252" s="227"/>
      <c r="G1252" s="227"/>
      <c r="H1252" s="227"/>
      <c r="I1252" s="227"/>
      <c r="J1252" s="227"/>
      <c r="K1252" s="227"/>
      <c r="L1252" s="227"/>
      <c r="M1252" s="227"/>
      <c r="N1252" s="227"/>
      <c r="O1252" s="227"/>
      <c r="P1252" s="227"/>
      <c r="Q1252" s="227">
        <v>-10000</v>
      </c>
    </row>
    <row r="1253" spans="1:17" x14ac:dyDescent="0.3">
      <c r="A1253" s="113">
        <v>1469</v>
      </c>
      <c r="B1253" s="227"/>
      <c r="C1253" s="227"/>
      <c r="D1253" s="227"/>
      <c r="E1253" s="227"/>
      <c r="F1253" s="227"/>
      <c r="G1253" s="227"/>
      <c r="H1253" s="227"/>
      <c r="I1253" s="227">
        <v>-6000</v>
      </c>
      <c r="J1253" s="227"/>
      <c r="K1253" s="227"/>
      <c r="L1253" s="227"/>
      <c r="M1253" s="227"/>
      <c r="N1253" s="227"/>
      <c r="O1253" s="227"/>
      <c r="P1253" s="227"/>
      <c r="Q1253" s="227">
        <v>-6000</v>
      </c>
    </row>
    <row r="1254" spans="1:17" x14ac:dyDescent="0.3">
      <c r="A1254" s="113">
        <v>1470</v>
      </c>
      <c r="B1254" s="227"/>
      <c r="C1254" s="227"/>
      <c r="D1254" s="227"/>
      <c r="E1254" s="227"/>
      <c r="F1254" s="227"/>
      <c r="G1254" s="227">
        <v>-1700</v>
      </c>
      <c r="H1254" s="227"/>
      <c r="I1254" s="227"/>
      <c r="J1254" s="227"/>
      <c r="K1254" s="227"/>
      <c r="L1254" s="227"/>
      <c r="M1254" s="227"/>
      <c r="N1254" s="227"/>
      <c r="O1254" s="227"/>
      <c r="P1254" s="227"/>
      <c r="Q1254" s="227">
        <v>-1700</v>
      </c>
    </row>
    <row r="1255" spans="1:17" x14ac:dyDescent="0.3">
      <c r="A1255" s="113">
        <v>1471</v>
      </c>
      <c r="B1255" s="227">
        <v>200000</v>
      </c>
      <c r="C1255" s="227"/>
      <c r="D1255" s="227"/>
      <c r="E1255" s="227"/>
      <c r="F1255" s="227"/>
      <c r="G1255" s="227"/>
      <c r="H1255" s="227"/>
      <c r="I1255" s="227"/>
      <c r="J1255" s="227"/>
      <c r="K1255" s="227"/>
      <c r="L1255" s="227"/>
      <c r="M1255" s="227"/>
      <c r="N1255" s="227"/>
      <c r="O1255" s="227"/>
      <c r="P1255" s="227"/>
      <c r="Q1255" s="227">
        <v>200000</v>
      </c>
    </row>
    <row r="1256" spans="1:17" x14ac:dyDescent="0.3">
      <c r="A1256" s="113">
        <v>1472</v>
      </c>
      <c r="B1256" s="227">
        <v>60000</v>
      </c>
      <c r="C1256" s="227"/>
      <c r="D1256" s="227"/>
      <c r="E1256" s="227"/>
      <c r="F1256" s="227"/>
      <c r="G1256" s="227"/>
      <c r="H1256" s="227"/>
      <c r="I1256" s="227"/>
      <c r="J1256" s="227"/>
      <c r="K1256" s="227"/>
      <c r="L1256" s="227"/>
      <c r="M1256" s="227"/>
      <c r="N1256" s="227"/>
      <c r="O1256" s="227"/>
      <c r="P1256" s="227"/>
      <c r="Q1256" s="227">
        <v>60000</v>
      </c>
    </row>
    <row r="1257" spans="1:17" x14ac:dyDescent="0.3">
      <c r="A1257" s="113">
        <v>1473</v>
      </c>
      <c r="B1257" s="227"/>
      <c r="C1257" s="227"/>
      <c r="D1257" s="227"/>
      <c r="E1257" s="227">
        <v>-30000</v>
      </c>
      <c r="F1257" s="227"/>
      <c r="G1257" s="227"/>
      <c r="H1257" s="227"/>
      <c r="I1257" s="227"/>
      <c r="J1257" s="227"/>
      <c r="K1257" s="227"/>
      <c r="L1257" s="227"/>
      <c r="M1257" s="227"/>
      <c r="N1257" s="227"/>
      <c r="O1257" s="227"/>
      <c r="P1257" s="227"/>
      <c r="Q1257" s="227">
        <v>-30000</v>
      </c>
    </row>
    <row r="1258" spans="1:17" x14ac:dyDescent="0.3">
      <c r="A1258" s="113">
        <v>1474</v>
      </c>
      <c r="B1258" s="227"/>
      <c r="C1258" s="227"/>
      <c r="D1258" s="227"/>
      <c r="E1258" s="227"/>
      <c r="F1258" s="227"/>
      <c r="G1258" s="227"/>
      <c r="H1258" s="227"/>
      <c r="I1258" s="227">
        <v>-2500</v>
      </c>
      <c r="J1258" s="227"/>
      <c r="K1258" s="227"/>
      <c r="L1258" s="227"/>
      <c r="M1258" s="227"/>
      <c r="N1258" s="227"/>
      <c r="O1258" s="227"/>
      <c r="P1258" s="227"/>
      <c r="Q1258" s="227">
        <v>-2500</v>
      </c>
    </row>
    <row r="1259" spans="1:17" x14ac:dyDescent="0.3">
      <c r="A1259" s="113">
        <v>1475</v>
      </c>
      <c r="B1259" s="227"/>
      <c r="C1259" s="227"/>
      <c r="D1259" s="227"/>
      <c r="E1259" s="227"/>
      <c r="F1259" s="227">
        <v>-20000</v>
      </c>
      <c r="G1259" s="227"/>
      <c r="H1259" s="227"/>
      <c r="I1259" s="227"/>
      <c r="J1259" s="227"/>
      <c r="K1259" s="227"/>
      <c r="L1259" s="227"/>
      <c r="M1259" s="227"/>
      <c r="N1259" s="227"/>
      <c r="O1259" s="227"/>
      <c r="P1259" s="227"/>
      <c r="Q1259" s="227">
        <v>-20000</v>
      </c>
    </row>
    <row r="1260" spans="1:17" x14ac:dyDescent="0.3">
      <c r="A1260" s="113">
        <v>1476</v>
      </c>
      <c r="B1260" s="227"/>
      <c r="C1260" s="227"/>
      <c r="D1260" s="227"/>
      <c r="E1260" s="227"/>
      <c r="F1260" s="227"/>
      <c r="G1260" s="227"/>
      <c r="H1260" s="227"/>
      <c r="I1260" s="227">
        <v>-2500</v>
      </c>
      <c r="J1260" s="227"/>
      <c r="K1260" s="227"/>
      <c r="L1260" s="227"/>
      <c r="M1260" s="227"/>
      <c r="N1260" s="227"/>
      <c r="O1260" s="227"/>
      <c r="P1260" s="227"/>
      <c r="Q1260" s="227">
        <v>-2500</v>
      </c>
    </row>
    <row r="1261" spans="1:17" x14ac:dyDescent="0.3">
      <c r="A1261" s="113">
        <v>1477</v>
      </c>
      <c r="B1261" s="227">
        <v>25000</v>
      </c>
      <c r="C1261" s="227"/>
      <c r="D1261" s="227"/>
      <c r="E1261" s="227"/>
      <c r="F1261" s="227"/>
      <c r="G1261" s="227"/>
      <c r="H1261" s="227"/>
      <c r="I1261" s="227"/>
      <c r="J1261" s="227"/>
      <c r="K1261" s="227"/>
      <c r="L1261" s="227"/>
      <c r="M1261" s="227"/>
      <c r="N1261" s="227"/>
      <c r="O1261" s="227"/>
      <c r="P1261" s="227"/>
      <c r="Q1261" s="227">
        <v>25000</v>
      </c>
    </row>
    <row r="1262" spans="1:17" x14ac:dyDescent="0.3">
      <c r="A1262" s="113">
        <v>1478</v>
      </c>
      <c r="B1262" s="227"/>
      <c r="C1262" s="227"/>
      <c r="D1262" s="227"/>
      <c r="E1262" s="227">
        <v>-25000</v>
      </c>
      <c r="F1262" s="227"/>
      <c r="G1262" s="227"/>
      <c r="H1262" s="227"/>
      <c r="I1262" s="227"/>
      <c r="J1262" s="227"/>
      <c r="K1262" s="227"/>
      <c r="L1262" s="227"/>
      <c r="M1262" s="227"/>
      <c r="N1262" s="227"/>
      <c r="O1262" s="227"/>
      <c r="P1262" s="227"/>
      <c r="Q1262" s="227">
        <v>-25000</v>
      </c>
    </row>
    <row r="1263" spans="1:17" x14ac:dyDescent="0.3">
      <c r="A1263" s="113">
        <v>1479</v>
      </c>
      <c r="B1263" s="227"/>
      <c r="C1263" s="227"/>
      <c r="D1263" s="227"/>
      <c r="E1263" s="227"/>
      <c r="F1263" s="227"/>
      <c r="G1263" s="227"/>
      <c r="H1263" s="227"/>
      <c r="I1263" s="227">
        <v>-2000</v>
      </c>
      <c r="J1263" s="227"/>
      <c r="K1263" s="227"/>
      <c r="L1263" s="227"/>
      <c r="M1263" s="227"/>
      <c r="N1263" s="227"/>
      <c r="O1263" s="227"/>
      <c r="P1263" s="227"/>
      <c r="Q1263" s="227">
        <v>-2000</v>
      </c>
    </row>
    <row r="1264" spans="1:17" x14ac:dyDescent="0.3">
      <c r="A1264" s="113">
        <v>1480</v>
      </c>
      <c r="B1264" s="227"/>
      <c r="C1264" s="227"/>
      <c r="D1264" s="227"/>
      <c r="E1264" s="227"/>
      <c r="F1264" s="227"/>
      <c r="G1264" s="227"/>
      <c r="H1264" s="227"/>
      <c r="I1264" s="227">
        <v>-2000</v>
      </c>
      <c r="J1264" s="227"/>
      <c r="K1264" s="227"/>
      <c r="L1264" s="227"/>
      <c r="M1264" s="227"/>
      <c r="N1264" s="227"/>
      <c r="O1264" s="227"/>
      <c r="P1264" s="227"/>
      <c r="Q1264" s="227">
        <v>-2000</v>
      </c>
    </row>
    <row r="1265" spans="1:17" x14ac:dyDescent="0.3">
      <c r="A1265" s="113">
        <v>1481</v>
      </c>
      <c r="B1265" s="227">
        <v>200000</v>
      </c>
      <c r="C1265" s="227"/>
      <c r="D1265" s="227"/>
      <c r="E1265" s="227"/>
      <c r="F1265" s="227"/>
      <c r="G1265" s="227"/>
      <c r="H1265" s="227"/>
      <c r="I1265" s="227"/>
      <c r="J1265" s="227"/>
      <c r="K1265" s="227"/>
      <c r="L1265" s="227"/>
      <c r="M1265" s="227"/>
      <c r="N1265" s="227"/>
      <c r="O1265" s="227"/>
      <c r="P1265" s="227"/>
      <c r="Q1265" s="227">
        <v>200000</v>
      </c>
    </row>
    <row r="1266" spans="1:17" x14ac:dyDescent="0.3">
      <c r="A1266" s="113">
        <v>1482</v>
      </c>
      <c r="B1266" s="227">
        <v>100000</v>
      </c>
      <c r="C1266" s="227"/>
      <c r="D1266" s="227"/>
      <c r="E1266" s="227"/>
      <c r="F1266" s="227"/>
      <c r="G1266" s="227"/>
      <c r="H1266" s="227"/>
      <c r="I1266" s="227"/>
      <c r="J1266" s="227"/>
      <c r="K1266" s="227"/>
      <c r="L1266" s="227"/>
      <c r="M1266" s="227"/>
      <c r="N1266" s="227"/>
      <c r="O1266" s="227"/>
      <c r="P1266" s="227"/>
      <c r="Q1266" s="227">
        <v>100000</v>
      </c>
    </row>
    <row r="1267" spans="1:17" x14ac:dyDescent="0.3">
      <c r="A1267" s="113">
        <v>1484</v>
      </c>
      <c r="B1267" s="227"/>
      <c r="C1267" s="227"/>
      <c r="D1267" s="227"/>
      <c r="E1267" s="227"/>
      <c r="F1267" s="227"/>
      <c r="G1267" s="227"/>
      <c r="H1267" s="227"/>
      <c r="I1267" s="227">
        <v>-5000</v>
      </c>
      <c r="J1267" s="227"/>
      <c r="K1267" s="227"/>
      <c r="L1267" s="227"/>
      <c r="M1267" s="227"/>
      <c r="N1267" s="227"/>
      <c r="O1267" s="227"/>
      <c r="P1267" s="227"/>
      <c r="Q1267" s="227">
        <v>-5000</v>
      </c>
    </row>
    <row r="1268" spans="1:17" x14ac:dyDescent="0.3">
      <c r="A1268" s="113">
        <v>1485</v>
      </c>
      <c r="B1268" s="227"/>
      <c r="C1268" s="227"/>
      <c r="D1268" s="227"/>
      <c r="E1268" s="227"/>
      <c r="F1268" s="227"/>
      <c r="G1268" s="227"/>
      <c r="H1268" s="227"/>
      <c r="I1268" s="227">
        <v>-15000</v>
      </c>
      <c r="J1268" s="227"/>
      <c r="K1268" s="227"/>
      <c r="L1268" s="227"/>
      <c r="M1268" s="227"/>
      <c r="N1268" s="227"/>
      <c r="O1268" s="227"/>
      <c r="P1268" s="227"/>
      <c r="Q1268" s="227">
        <v>-15000</v>
      </c>
    </row>
    <row r="1269" spans="1:17" x14ac:dyDescent="0.3">
      <c r="A1269" s="113">
        <v>1486</v>
      </c>
      <c r="B1269" s="227"/>
      <c r="C1269" s="227"/>
      <c r="D1269" s="227"/>
      <c r="E1269" s="227"/>
      <c r="F1269" s="227"/>
      <c r="G1269" s="227"/>
      <c r="H1269" s="227"/>
      <c r="I1269" s="227"/>
      <c r="J1269" s="227">
        <v>-25000</v>
      </c>
      <c r="K1269" s="227"/>
      <c r="L1269" s="227"/>
      <c r="M1269" s="227"/>
      <c r="N1269" s="227"/>
      <c r="O1269" s="227"/>
      <c r="P1269" s="227"/>
      <c r="Q1269" s="227">
        <v>-25000</v>
      </c>
    </row>
    <row r="1270" spans="1:17" x14ac:dyDescent="0.3">
      <c r="A1270" s="113">
        <v>1487</v>
      </c>
      <c r="B1270" s="227"/>
      <c r="C1270" s="227"/>
      <c r="D1270" s="227"/>
      <c r="E1270" s="227">
        <v>-5500</v>
      </c>
      <c r="F1270" s="227"/>
      <c r="G1270" s="227"/>
      <c r="H1270" s="227"/>
      <c r="I1270" s="227"/>
      <c r="J1270" s="227"/>
      <c r="K1270" s="227"/>
      <c r="L1270" s="227"/>
      <c r="M1270" s="227"/>
      <c r="N1270" s="227"/>
      <c r="O1270" s="227"/>
      <c r="P1270" s="227"/>
      <c r="Q1270" s="227">
        <v>-5500</v>
      </c>
    </row>
    <row r="1271" spans="1:17" x14ac:dyDescent="0.3">
      <c r="A1271" s="113">
        <v>1488</v>
      </c>
      <c r="B1271" s="227"/>
      <c r="C1271" s="227"/>
      <c r="D1271" s="227"/>
      <c r="E1271" s="227"/>
      <c r="F1271" s="227"/>
      <c r="G1271" s="227"/>
      <c r="H1271" s="227"/>
      <c r="I1271" s="227"/>
      <c r="J1271" s="227"/>
      <c r="K1271" s="227"/>
      <c r="L1271" s="227"/>
      <c r="M1271" s="227"/>
      <c r="N1271" s="227"/>
      <c r="O1271" s="227">
        <v>-34500</v>
      </c>
      <c r="P1271" s="227"/>
      <c r="Q1271" s="227">
        <v>-34500</v>
      </c>
    </row>
    <row r="1272" spans="1:17" x14ac:dyDescent="0.3">
      <c r="A1272" s="113">
        <v>1489</v>
      </c>
      <c r="B1272" s="227"/>
      <c r="C1272" s="227"/>
      <c r="D1272" s="227"/>
      <c r="E1272" s="227"/>
      <c r="F1272" s="227"/>
      <c r="G1272" s="227">
        <v>-450</v>
      </c>
      <c r="H1272" s="227"/>
      <c r="I1272" s="227"/>
      <c r="J1272" s="227"/>
      <c r="K1272" s="227"/>
      <c r="L1272" s="227"/>
      <c r="M1272" s="227"/>
      <c r="N1272" s="227"/>
      <c r="O1272" s="227"/>
      <c r="P1272" s="227"/>
      <c r="Q1272" s="227">
        <v>-450</v>
      </c>
    </row>
    <row r="1273" spans="1:17" x14ac:dyDescent="0.3">
      <c r="A1273" s="113">
        <v>1490</v>
      </c>
      <c r="B1273" s="227"/>
      <c r="C1273" s="227"/>
      <c r="D1273" s="227"/>
      <c r="E1273" s="227"/>
      <c r="F1273" s="227"/>
      <c r="G1273" s="227">
        <v>-200</v>
      </c>
      <c r="H1273" s="227"/>
      <c r="I1273" s="227"/>
      <c r="J1273" s="227"/>
      <c r="K1273" s="227"/>
      <c r="L1273" s="227"/>
      <c r="M1273" s="227"/>
      <c r="N1273" s="227"/>
      <c r="O1273" s="227"/>
      <c r="P1273" s="227"/>
      <c r="Q1273" s="227">
        <v>-200</v>
      </c>
    </row>
    <row r="1274" spans="1:17" x14ac:dyDescent="0.3">
      <c r="A1274" s="113">
        <v>1491</v>
      </c>
      <c r="B1274" s="227"/>
      <c r="C1274" s="227"/>
      <c r="D1274" s="227"/>
      <c r="E1274" s="227"/>
      <c r="F1274" s="227"/>
      <c r="G1274" s="227"/>
      <c r="H1274" s="227"/>
      <c r="I1274" s="227">
        <v>-3000</v>
      </c>
      <c r="J1274" s="227"/>
      <c r="K1274" s="227"/>
      <c r="L1274" s="227"/>
      <c r="M1274" s="227"/>
      <c r="N1274" s="227"/>
      <c r="O1274" s="227"/>
      <c r="P1274" s="227"/>
      <c r="Q1274" s="227">
        <v>-3000</v>
      </c>
    </row>
    <row r="1275" spans="1:17" x14ac:dyDescent="0.3">
      <c r="A1275" s="113">
        <v>1492</v>
      </c>
      <c r="B1275" s="227"/>
      <c r="C1275" s="227"/>
      <c r="D1275" s="227"/>
      <c r="E1275" s="227"/>
      <c r="F1275" s="227"/>
      <c r="G1275" s="227"/>
      <c r="H1275" s="227"/>
      <c r="I1275" s="227">
        <v>-2000</v>
      </c>
      <c r="J1275" s="227"/>
      <c r="K1275" s="227"/>
      <c r="L1275" s="227"/>
      <c r="M1275" s="227"/>
      <c r="N1275" s="227"/>
      <c r="O1275" s="227"/>
      <c r="P1275" s="227"/>
      <c r="Q1275" s="227">
        <v>-2000</v>
      </c>
    </row>
    <row r="1276" spans="1:17" x14ac:dyDescent="0.3">
      <c r="A1276" s="113">
        <v>1493</v>
      </c>
      <c r="B1276" s="227"/>
      <c r="C1276" s="227"/>
      <c r="D1276" s="227"/>
      <c r="E1276" s="227"/>
      <c r="F1276" s="227"/>
      <c r="G1276" s="227"/>
      <c r="H1276" s="227"/>
      <c r="I1276" s="227">
        <v>-2500</v>
      </c>
      <c r="J1276" s="227"/>
      <c r="K1276" s="227"/>
      <c r="L1276" s="227"/>
      <c r="M1276" s="227"/>
      <c r="N1276" s="227"/>
      <c r="O1276" s="227"/>
      <c r="P1276" s="227"/>
      <c r="Q1276" s="227">
        <v>-2500</v>
      </c>
    </row>
    <row r="1277" spans="1:17" x14ac:dyDescent="0.3">
      <c r="A1277" s="113">
        <v>1494</v>
      </c>
      <c r="B1277" s="227"/>
      <c r="C1277" s="227">
        <v>-550</v>
      </c>
      <c r="D1277" s="227"/>
      <c r="E1277" s="227"/>
      <c r="F1277" s="227"/>
      <c r="G1277" s="227"/>
      <c r="H1277" s="227"/>
      <c r="I1277" s="227"/>
      <c r="J1277" s="227"/>
      <c r="K1277" s="227"/>
      <c r="L1277" s="227"/>
      <c r="M1277" s="227"/>
      <c r="N1277" s="227"/>
      <c r="O1277" s="227"/>
      <c r="P1277" s="227"/>
      <c r="Q1277" s="227">
        <v>-550</v>
      </c>
    </row>
    <row r="1278" spans="1:17" x14ac:dyDescent="0.3">
      <c r="A1278" s="113">
        <v>1495</v>
      </c>
      <c r="B1278" s="227"/>
      <c r="C1278" s="227"/>
      <c r="D1278" s="227"/>
      <c r="E1278" s="227"/>
      <c r="F1278" s="227"/>
      <c r="G1278" s="227"/>
      <c r="H1278" s="227"/>
      <c r="I1278" s="227">
        <v>-4000</v>
      </c>
      <c r="J1278" s="227"/>
      <c r="K1278" s="227"/>
      <c r="L1278" s="227"/>
      <c r="M1278" s="227"/>
      <c r="N1278" s="227"/>
      <c r="O1278" s="227"/>
      <c r="P1278" s="227"/>
      <c r="Q1278" s="227">
        <v>-4000</v>
      </c>
    </row>
    <row r="1279" spans="1:17" x14ac:dyDescent="0.3">
      <c r="A1279" s="113">
        <v>1496</v>
      </c>
      <c r="B1279" s="227"/>
      <c r="C1279" s="227"/>
      <c r="D1279" s="227"/>
      <c r="E1279" s="227"/>
      <c r="F1279" s="227"/>
      <c r="G1279" s="227"/>
      <c r="H1279" s="227"/>
      <c r="I1279" s="227">
        <v>-2000</v>
      </c>
      <c r="J1279" s="227"/>
      <c r="K1279" s="227"/>
      <c r="L1279" s="227"/>
      <c r="M1279" s="227"/>
      <c r="N1279" s="227"/>
      <c r="O1279" s="227"/>
      <c r="P1279" s="227"/>
      <c r="Q1279" s="227">
        <v>-2000</v>
      </c>
    </row>
    <row r="1280" spans="1:17" x14ac:dyDescent="0.3">
      <c r="A1280" s="113">
        <v>1497</v>
      </c>
      <c r="B1280" s="227"/>
      <c r="C1280" s="227"/>
      <c r="D1280" s="227"/>
      <c r="E1280" s="227"/>
      <c r="F1280" s="227"/>
      <c r="G1280" s="227">
        <v>-100</v>
      </c>
      <c r="H1280" s="227"/>
      <c r="I1280" s="227"/>
      <c r="J1280" s="227"/>
      <c r="K1280" s="227"/>
      <c r="L1280" s="227"/>
      <c r="M1280" s="227"/>
      <c r="N1280" s="227"/>
      <c r="O1280" s="227"/>
      <c r="P1280" s="227"/>
      <c r="Q1280" s="227">
        <v>-100</v>
      </c>
    </row>
    <row r="1281" spans="1:17" x14ac:dyDescent="0.3">
      <c r="A1281" s="113">
        <v>1498</v>
      </c>
      <c r="B1281" s="227"/>
      <c r="C1281" s="227"/>
      <c r="D1281" s="227"/>
      <c r="E1281" s="227"/>
      <c r="F1281" s="227"/>
      <c r="G1281" s="227"/>
      <c r="H1281" s="227"/>
      <c r="I1281" s="227"/>
      <c r="J1281" s="227"/>
      <c r="K1281" s="227"/>
      <c r="L1281" s="227"/>
      <c r="M1281" s="227"/>
      <c r="N1281" s="227"/>
      <c r="O1281" s="227">
        <v>-2000</v>
      </c>
      <c r="P1281" s="227"/>
      <c r="Q1281" s="227">
        <v>-2000</v>
      </c>
    </row>
    <row r="1282" spans="1:17" x14ac:dyDescent="0.3">
      <c r="A1282" s="113">
        <v>1499</v>
      </c>
      <c r="B1282" s="227">
        <v>50000</v>
      </c>
      <c r="C1282" s="227"/>
      <c r="D1282" s="227"/>
      <c r="E1282" s="227"/>
      <c r="F1282" s="227"/>
      <c r="G1282" s="227"/>
      <c r="H1282" s="227"/>
      <c r="I1282" s="227"/>
      <c r="J1282" s="227"/>
      <c r="K1282" s="227"/>
      <c r="L1282" s="227"/>
      <c r="M1282" s="227"/>
      <c r="N1282" s="227"/>
      <c r="O1282" s="227"/>
      <c r="P1282" s="227"/>
      <c r="Q1282" s="227">
        <v>50000</v>
      </c>
    </row>
    <row r="1283" spans="1:17" x14ac:dyDescent="0.3">
      <c r="A1283" s="113">
        <v>1500</v>
      </c>
      <c r="B1283" s="227"/>
      <c r="C1283" s="227"/>
      <c r="D1283" s="227"/>
      <c r="E1283" s="227"/>
      <c r="F1283" s="227"/>
      <c r="G1283" s="227"/>
      <c r="H1283" s="227"/>
      <c r="I1283" s="227"/>
      <c r="J1283" s="227"/>
      <c r="K1283" s="227"/>
      <c r="L1283" s="227">
        <v>-60000</v>
      </c>
      <c r="M1283" s="227"/>
      <c r="N1283" s="227"/>
      <c r="O1283" s="227"/>
      <c r="P1283" s="227"/>
      <c r="Q1283" s="227">
        <v>-60000</v>
      </c>
    </row>
    <row r="1284" spans="1:17" x14ac:dyDescent="0.3">
      <c r="A1284" s="113">
        <v>1501</v>
      </c>
      <c r="B1284" s="227"/>
      <c r="C1284" s="227"/>
      <c r="D1284" s="227"/>
      <c r="E1284" s="227">
        <v>-5000</v>
      </c>
      <c r="F1284" s="227"/>
      <c r="G1284" s="227"/>
      <c r="H1284" s="227"/>
      <c r="I1284" s="227"/>
      <c r="J1284" s="227"/>
      <c r="K1284" s="227"/>
      <c r="L1284" s="227"/>
      <c r="M1284" s="227"/>
      <c r="N1284" s="227"/>
      <c r="O1284" s="227"/>
      <c r="P1284" s="227"/>
      <c r="Q1284" s="227">
        <v>-5000</v>
      </c>
    </row>
    <row r="1285" spans="1:17" x14ac:dyDescent="0.3">
      <c r="A1285" s="113">
        <v>1502</v>
      </c>
      <c r="B1285" s="227"/>
      <c r="C1285" s="227"/>
      <c r="D1285" s="227"/>
      <c r="E1285" s="227"/>
      <c r="F1285" s="227"/>
      <c r="G1285" s="227"/>
      <c r="H1285" s="227"/>
      <c r="I1285" s="227">
        <v>-20000</v>
      </c>
      <c r="J1285" s="227"/>
      <c r="K1285" s="227"/>
      <c r="L1285" s="227"/>
      <c r="M1285" s="227"/>
      <c r="N1285" s="227"/>
      <c r="O1285" s="227"/>
      <c r="P1285" s="227"/>
      <c r="Q1285" s="227">
        <v>-20000</v>
      </c>
    </row>
    <row r="1286" spans="1:17" x14ac:dyDescent="0.3">
      <c r="A1286" s="113">
        <v>1503</v>
      </c>
      <c r="B1286" s="227"/>
      <c r="C1286" s="227"/>
      <c r="D1286" s="227"/>
      <c r="E1286" s="227"/>
      <c r="F1286" s="227">
        <v>-10000</v>
      </c>
      <c r="G1286" s="227"/>
      <c r="H1286" s="227"/>
      <c r="I1286" s="227"/>
      <c r="J1286" s="227"/>
      <c r="K1286" s="227"/>
      <c r="L1286" s="227"/>
      <c r="M1286" s="227"/>
      <c r="N1286" s="227"/>
      <c r="O1286" s="227"/>
      <c r="P1286" s="227"/>
      <c r="Q1286" s="227">
        <v>-10000</v>
      </c>
    </row>
    <row r="1287" spans="1:17" x14ac:dyDescent="0.3">
      <c r="A1287" s="113">
        <v>1504</v>
      </c>
      <c r="B1287" s="227">
        <v>40000</v>
      </c>
      <c r="C1287" s="227"/>
      <c r="D1287" s="227"/>
      <c r="E1287" s="227"/>
      <c r="F1287" s="227"/>
      <c r="G1287" s="227"/>
      <c r="H1287" s="227"/>
      <c r="I1287" s="227"/>
      <c r="J1287" s="227"/>
      <c r="K1287" s="227"/>
      <c r="L1287" s="227"/>
      <c r="M1287" s="227"/>
      <c r="N1287" s="227"/>
      <c r="O1287" s="227"/>
      <c r="P1287" s="227"/>
      <c r="Q1287" s="227">
        <v>40000</v>
      </c>
    </row>
    <row r="1288" spans="1:17" x14ac:dyDescent="0.3">
      <c r="A1288" s="113">
        <v>1505</v>
      </c>
      <c r="B1288" s="227"/>
      <c r="C1288" s="227"/>
      <c r="D1288" s="227"/>
      <c r="E1288" s="227">
        <v>-20000</v>
      </c>
      <c r="F1288" s="227"/>
      <c r="G1288" s="227"/>
      <c r="H1288" s="227"/>
      <c r="I1288" s="227"/>
      <c r="J1288" s="227"/>
      <c r="K1288" s="227"/>
      <c r="L1288" s="227"/>
      <c r="M1288" s="227"/>
      <c r="N1288" s="227"/>
      <c r="O1288" s="227"/>
      <c r="P1288" s="227"/>
      <c r="Q1288" s="227">
        <v>-20000</v>
      </c>
    </row>
    <row r="1289" spans="1:17" x14ac:dyDescent="0.3">
      <c r="A1289" s="113">
        <v>1506</v>
      </c>
      <c r="B1289" s="227"/>
      <c r="C1289" s="227"/>
      <c r="D1289" s="227"/>
      <c r="E1289" s="227"/>
      <c r="F1289" s="227"/>
      <c r="G1289" s="227">
        <v>-150</v>
      </c>
      <c r="H1289" s="227"/>
      <c r="I1289" s="227"/>
      <c r="J1289" s="227"/>
      <c r="K1289" s="227"/>
      <c r="L1289" s="227"/>
      <c r="M1289" s="227"/>
      <c r="N1289" s="227"/>
      <c r="O1289" s="227"/>
      <c r="P1289" s="227"/>
      <c r="Q1289" s="227">
        <v>-150</v>
      </c>
    </row>
    <row r="1290" spans="1:17" x14ac:dyDescent="0.3">
      <c r="A1290" s="113">
        <v>1507</v>
      </c>
      <c r="B1290" s="227"/>
      <c r="C1290" s="227"/>
      <c r="D1290" s="227"/>
      <c r="E1290" s="227"/>
      <c r="F1290" s="227"/>
      <c r="G1290" s="227">
        <v>-1500</v>
      </c>
      <c r="H1290" s="227"/>
      <c r="I1290" s="227"/>
      <c r="J1290" s="227"/>
      <c r="K1290" s="227"/>
      <c r="L1290" s="227"/>
      <c r="M1290" s="227"/>
      <c r="N1290" s="227"/>
      <c r="O1290" s="227"/>
      <c r="P1290" s="227"/>
      <c r="Q1290" s="227">
        <v>-1500</v>
      </c>
    </row>
    <row r="1291" spans="1:17" x14ac:dyDescent="0.3">
      <c r="A1291" s="113">
        <v>1508</v>
      </c>
      <c r="B1291" s="227"/>
      <c r="C1291" s="227"/>
      <c r="D1291" s="227"/>
      <c r="E1291" s="227"/>
      <c r="F1291" s="227"/>
      <c r="G1291" s="227"/>
      <c r="H1291" s="227"/>
      <c r="I1291" s="227"/>
      <c r="J1291" s="227"/>
      <c r="K1291" s="227"/>
      <c r="L1291" s="227"/>
      <c r="M1291" s="227"/>
      <c r="N1291" s="227"/>
      <c r="O1291" s="227"/>
      <c r="P1291" s="227">
        <v>-4600</v>
      </c>
      <c r="Q1291" s="227">
        <v>-4600</v>
      </c>
    </row>
    <row r="1292" spans="1:17" x14ac:dyDescent="0.3">
      <c r="A1292" s="113">
        <v>1509</v>
      </c>
      <c r="B1292" s="227"/>
      <c r="C1292" s="227"/>
      <c r="D1292" s="227"/>
      <c r="E1292" s="227"/>
      <c r="F1292" s="227"/>
      <c r="G1292" s="227">
        <v>-150</v>
      </c>
      <c r="H1292" s="227"/>
      <c r="I1292" s="227"/>
      <c r="J1292" s="227"/>
      <c r="K1292" s="227"/>
      <c r="L1292" s="227"/>
      <c r="M1292" s="227"/>
      <c r="N1292" s="227"/>
      <c r="O1292" s="227"/>
      <c r="P1292" s="227"/>
      <c r="Q1292" s="227">
        <v>-150</v>
      </c>
    </row>
    <row r="1293" spans="1:17" x14ac:dyDescent="0.3">
      <c r="A1293" s="113">
        <v>1510</v>
      </c>
      <c r="B1293" s="227"/>
      <c r="C1293" s="227"/>
      <c r="D1293" s="227"/>
      <c r="E1293" s="227"/>
      <c r="F1293" s="227"/>
      <c r="G1293" s="227"/>
      <c r="H1293" s="227"/>
      <c r="I1293" s="227"/>
      <c r="J1293" s="227"/>
      <c r="K1293" s="227"/>
      <c r="L1293" s="227"/>
      <c r="M1293" s="227"/>
      <c r="N1293" s="227"/>
      <c r="O1293" s="227">
        <v>-4000</v>
      </c>
      <c r="P1293" s="227"/>
      <c r="Q1293" s="227">
        <v>-4000</v>
      </c>
    </row>
    <row r="1294" spans="1:17" x14ac:dyDescent="0.3">
      <c r="A1294" s="113">
        <v>1511</v>
      </c>
      <c r="B1294" s="227"/>
      <c r="C1294" s="227"/>
      <c r="D1294" s="227"/>
      <c r="E1294" s="227"/>
      <c r="F1294" s="227"/>
      <c r="G1294" s="227"/>
      <c r="H1294" s="227"/>
      <c r="I1294" s="227">
        <v>-2200</v>
      </c>
      <c r="J1294" s="227"/>
      <c r="K1294" s="227"/>
      <c r="L1294" s="227"/>
      <c r="M1294" s="227"/>
      <c r="N1294" s="227"/>
      <c r="O1294" s="227"/>
      <c r="P1294" s="227"/>
      <c r="Q1294" s="227">
        <v>-2200</v>
      </c>
    </row>
    <row r="1295" spans="1:17" x14ac:dyDescent="0.3">
      <c r="A1295" s="113">
        <v>1512</v>
      </c>
      <c r="B1295" s="227">
        <v>100000</v>
      </c>
      <c r="C1295" s="227"/>
      <c r="D1295" s="227"/>
      <c r="E1295" s="227"/>
      <c r="F1295" s="227"/>
      <c r="G1295" s="227"/>
      <c r="H1295" s="227"/>
      <c r="I1295" s="227"/>
      <c r="J1295" s="227"/>
      <c r="K1295" s="227"/>
      <c r="L1295" s="227"/>
      <c r="M1295" s="227"/>
      <c r="N1295" s="227"/>
      <c r="O1295" s="227"/>
      <c r="P1295" s="227"/>
      <c r="Q1295" s="227">
        <v>100000</v>
      </c>
    </row>
    <row r="1296" spans="1:17" x14ac:dyDescent="0.3">
      <c r="A1296" s="113">
        <v>1513</v>
      </c>
      <c r="B1296" s="227"/>
      <c r="C1296" s="227"/>
      <c r="D1296" s="227"/>
      <c r="E1296" s="227">
        <v>-20000</v>
      </c>
      <c r="F1296" s="227"/>
      <c r="G1296" s="227"/>
      <c r="H1296" s="227"/>
      <c r="I1296" s="227"/>
      <c r="J1296" s="227"/>
      <c r="K1296" s="227"/>
      <c r="L1296" s="227"/>
      <c r="M1296" s="227"/>
      <c r="N1296" s="227"/>
      <c r="O1296" s="227"/>
      <c r="P1296" s="227"/>
      <c r="Q1296" s="227">
        <v>-20000</v>
      </c>
    </row>
    <row r="1297" spans="1:17" x14ac:dyDescent="0.3">
      <c r="A1297" s="113">
        <v>1514</v>
      </c>
      <c r="B1297" s="227"/>
      <c r="C1297" s="227"/>
      <c r="D1297" s="227"/>
      <c r="E1297" s="227"/>
      <c r="F1297" s="227"/>
      <c r="G1297" s="227"/>
      <c r="H1297" s="227"/>
      <c r="I1297" s="227"/>
      <c r="J1297" s="227"/>
      <c r="K1297" s="227"/>
      <c r="L1297" s="227"/>
      <c r="M1297" s="227"/>
      <c r="N1297" s="227"/>
      <c r="O1297" s="227">
        <v>-6500</v>
      </c>
      <c r="P1297" s="227"/>
      <c r="Q1297" s="227">
        <v>-6500</v>
      </c>
    </row>
    <row r="1298" spans="1:17" x14ac:dyDescent="0.3">
      <c r="A1298" s="113">
        <v>1515</v>
      </c>
      <c r="B1298" s="227"/>
      <c r="C1298" s="227"/>
      <c r="D1298" s="227"/>
      <c r="E1298" s="227"/>
      <c r="F1298" s="227"/>
      <c r="G1298" s="227"/>
      <c r="H1298" s="227"/>
      <c r="I1298" s="227"/>
      <c r="J1298" s="227"/>
      <c r="K1298" s="227"/>
      <c r="L1298" s="227"/>
      <c r="M1298" s="227"/>
      <c r="N1298" s="227"/>
      <c r="O1298" s="227">
        <v>-4000</v>
      </c>
      <c r="P1298" s="227"/>
      <c r="Q1298" s="227">
        <v>-4000</v>
      </c>
    </row>
    <row r="1299" spans="1:17" x14ac:dyDescent="0.3">
      <c r="A1299" s="113">
        <v>1516</v>
      </c>
      <c r="B1299" s="227"/>
      <c r="C1299" s="227"/>
      <c r="D1299" s="227"/>
      <c r="E1299" s="227"/>
      <c r="F1299" s="227"/>
      <c r="G1299" s="227"/>
      <c r="H1299" s="227"/>
      <c r="I1299" s="227">
        <v>-2000</v>
      </c>
      <c r="J1299" s="227"/>
      <c r="K1299" s="227"/>
      <c r="L1299" s="227"/>
      <c r="M1299" s="227"/>
      <c r="N1299" s="227"/>
      <c r="O1299" s="227"/>
      <c r="P1299" s="227"/>
      <c r="Q1299" s="227">
        <v>-2000</v>
      </c>
    </row>
    <row r="1300" spans="1:17" x14ac:dyDescent="0.3">
      <c r="A1300" s="113">
        <v>1517</v>
      </c>
      <c r="B1300" s="227"/>
      <c r="C1300" s="227"/>
      <c r="D1300" s="227">
        <v>-20000</v>
      </c>
      <c r="E1300" s="227"/>
      <c r="F1300" s="227"/>
      <c r="G1300" s="227"/>
      <c r="H1300" s="227"/>
      <c r="I1300" s="227"/>
      <c r="J1300" s="227"/>
      <c r="K1300" s="227"/>
      <c r="L1300" s="227"/>
      <c r="M1300" s="227"/>
      <c r="N1300" s="227"/>
      <c r="O1300" s="227"/>
      <c r="P1300" s="227"/>
      <c r="Q1300" s="227">
        <v>-20000</v>
      </c>
    </row>
    <row r="1301" spans="1:17" x14ac:dyDescent="0.3">
      <c r="A1301" s="113">
        <v>1518</v>
      </c>
      <c r="B1301" s="227"/>
      <c r="C1301" s="227"/>
      <c r="D1301" s="227"/>
      <c r="E1301" s="227"/>
      <c r="F1301" s="227"/>
      <c r="G1301" s="227"/>
      <c r="H1301" s="227"/>
      <c r="I1301" s="227">
        <v>-2000</v>
      </c>
      <c r="J1301" s="227"/>
      <c r="K1301" s="227"/>
      <c r="L1301" s="227"/>
      <c r="M1301" s="227"/>
      <c r="N1301" s="227"/>
      <c r="O1301" s="227"/>
      <c r="P1301" s="227"/>
      <c r="Q1301" s="227">
        <v>-2000</v>
      </c>
    </row>
    <row r="1302" spans="1:17" x14ac:dyDescent="0.3">
      <c r="A1302" s="113">
        <v>1519</v>
      </c>
      <c r="B1302" s="227"/>
      <c r="C1302" s="227"/>
      <c r="D1302" s="227"/>
      <c r="E1302" s="227"/>
      <c r="F1302" s="227"/>
      <c r="G1302" s="227"/>
      <c r="H1302" s="227"/>
      <c r="I1302" s="227">
        <v>-2000</v>
      </c>
      <c r="J1302" s="227"/>
      <c r="K1302" s="227"/>
      <c r="L1302" s="227"/>
      <c r="M1302" s="227"/>
      <c r="N1302" s="227"/>
      <c r="O1302" s="227"/>
      <c r="P1302" s="227"/>
      <c r="Q1302" s="227">
        <v>-2000</v>
      </c>
    </row>
    <row r="1303" spans="1:17" x14ac:dyDescent="0.3">
      <c r="A1303" s="113">
        <v>1520</v>
      </c>
      <c r="B1303" s="227"/>
      <c r="C1303" s="227"/>
      <c r="D1303" s="227"/>
      <c r="E1303" s="227"/>
      <c r="F1303" s="227"/>
      <c r="G1303" s="227"/>
      <c r="H1303" s="227"/>
      <c r="I1303" s="227">
        <v>-2500</v>
      </c>
      <c r="J1303" s="227"/>
      <c r="K1303" s="227"/>
      <c r="L1303" s="227"/>
      <c r="M1303" s="227"/>
      <c r="N1303" s="227"/>
      <c r="O1303" s="227"/>
      <c r="P1303" s="227"/>
      <c r="Q1303" s="227">
        <v>-2500</v>
      </c>
    </row>
    <row r="1304" spans="1:17" x14ac:dyDescent="0.3">
      <c r="A1304" s="113">
        <v>1521</v>
      </c>
      <c r="B1304" s="227"/>
      <c r="C1304" s="227"/>
      <c r="D1304" s="227"/>
      <c r="E1304" s="227"/>
      <c r="F1304" s="227">
        <v>-10000</v>
      </c>
      <c r="G1304" s="227"/>
      <c r="H1304" s="227"/>
      <c r="I1304" s="227"/>
      <c r="J1304" s="227"/>
      <c r="K1304" s="227"/>
      <c r="L1304" s="227"/>
      <c r="M1304" s="227"/>
      <c r="N1304" s="227"/>
      <c r="O1304" s="227"/>
      <c r="P1304" s="227"/>
      <c r="Q1304" s="227">
        <v>-10000</v>
      </c>
    </row>
    <row r="1305" spans="1:17" x14ac:dyDescent="0.3">
      <c r="A1305" s="113">
        <v>1522</v>
      </c>
      <c r="B1305" s="227"/>
      <c r="C1305" s="227"/>
      <c r="D1305" s="227"/>
      <c r="E1305" s="227"/>
      <c r="F1305" s="227"/>
      <c r="G1305" s="227"/>
      <c r="H1305" s="227"/>
      <c r="I1305" s="227">
        <v>-5000</v>
      </c>
      <c r="J1305" s="227"/>
      <c r="K1305" s="227"/>
      <c r="L1305" s="227"/>
      <c r="M1305" s="227"/>
      <c r="N1305" s="227"/>
      <c r="O1305" s="227"/>
      <c r="P1305" s="227"/>
      <c r="Q1305" s="227">
        <v>-5000</v>
      </c>
    </row>
    <row r="1306" spans="1:17" x14ac:dyDescent="0.3">
      <c r="A1306" s="113">
        <v>1523</v>
      </c>
      <c r="B1306" s="227">
        <v>20000</v>
      </c>
      <c r="C1306" s="227"/>
      <c r="D1306" s="227"/>
      <c r="E1306" s="227"/>
      <c r="F1306" s="227"/>
      <c r="G1306" s="227"/>
      <c r="H1306" s="227"/>
      <c r="I1306" s="227"/>
      <c r="J1306" s="227"/>
      <c r="K1306" s="227"/>
      <c r="L1306" s="227"/>
      <c r="M1306" s="227"/>
      <c r="N1306" s="227"/>
      <c r="O1306" s="227"/>
      <c r="P1306" s="227"/>
      <c r="Q1306" s="227">
        <v>20000</v>
      </c>
    </row>
    <row r="1307" spans="1:17" x14ac:dyDescent="0.3">
      <c r="A1307" s="113">
        <v>1524</v>
      </c>
      <c r="B1307" s="227"/>
      <c r="C1307" s="227"/>
      <c r="D1307" s="227"/>
      <c r="E1307" s="227">
        <v>-20000</v>
      </c>
      <c r="F1307" s="227"/>
      <c r="G1307" s="227"/>
      <c r="H1307" s="227"/>
      <c r="I1307" s="227"/>
      <c r="J1307" s="227"/>
      <c r="K1307" s="227"/>
      <c r="L1307" s="227"/>
      <c r="M1307" s="227"/>
      <c r="N1307" s="227"/>
      <c r="O1307" s="227"/>
      <c r="P1307" s="227"/>
      <c r="Q1307" s="227">
        <v>-20000</v>
      </c>
    </row>
    <row r="1308" spans="1:17" x14ac:dyDescent="0.3">
      <c r="A1308" s="113">
        <v>1525</v>
      </c>
      <c r="B1308" s="227"/>
      <c r="C1308" s="227"/>
      <c r="D1308" s="227"/>
      <c r="E1308" s="227"/>
      <c r="F1308" s="227"/>
      <c r="G1308" s="227"/>
      <c r="H1308" s="227"/>
      <c r="I1308" s="227"/>
      <c r="J1308" s="227"/>
      <c r="K1308" s="227"/>
      <c r="L1308" s="227"/>
      <c r="M1308" s="227"/>
      <c r="N1308" s="227"/>
      <c r="O1308" s="227">
        <v>-1000</v>
      </c>
      <c r="P1308" s="227"/>
      <c r="Q1308" s="227">
        <v>-1000</v>
      </c>
    </row>
    <row r="1309" spans="1:17" x14ac:dyDescent="0.3">
      <c r="A1309" s="113">
        <v>1526</v>
      </c>
      <c r="B1309" s="227"/>
      <c r="C1309" s="227"/>
      <c r="D1309" s="227"/>
      <c r="E1309" s="227"/>
      <c r="F1309" s="227"/>
      <c r="G1309" s="227"/>
      <c r="H1309" s="227"/>
      <c r="I1309" s="227"/>
      <c r="J1309" s="227">
        <v>-1000</v>
      </c>
      <c r="K1309" s="227"/>
      <c r="L1309" s="227"/>
      <c r="M1309" s="227"/>
      <c r="N1309" s="227"/>
      <c r="O1309" s="227"/>
      <c r="P1309" s="227"/>
      <c r="Q1309" s="227">
        <v>-1000</v>
      </c>
    </row>
    <row r="1310" spans="1:17" x14ac:dyDescent="0.3">
      <c r="A1310" s="113">
        <v>1527</v>
      </c>
      <c r="B1310" s="227"/>
      <c r="C1310" s="227"/>
      <c r="D1310" s="227"/>
      <c r="E1310" s="227"/>
      <c r="F1310" s="227">
        <v>-10000</v>
      </c>
      <c r="G1310" s="227"/>
      <c r="H1310" s="227"/>
      <c r="I1310" s="227"/>
      <c r="J1310" s="227"/>
      <c r="K1310" s="227"/>
      <c r="L1310" s="227"/>
      <c r="M1310" s="227"/>
      <c r="N1310" s="227"/>
      <c r="O1310" s="227"/>
      <c r="P1310" s="227"/>
      <c r="Q1310" s="227">
        <v>-10000</v>
      </c>
    </row>
    <row r="1311" spans="1:17" x14ac:dyDescent="0.3">
      <c r="A1311" s="113">
        <v>1528</v>
      </c>
      <c r="B1311" s="227"/>
      <c r="C1311" s="227"/>
      <c r="D1311" s="227"/>
      <c r="E1311" s="227"/>
      <c r="F1311" s="227"/>
      <c r="G1311" s="227">
        <v>-8000</v>
      </c>
      <c r="H1311" s="227"/>
      <c r="I1311" s="227"/>
      <c r="J1311" s="227"/>
      <c r="K1311" s="227"/>
      <c r="L1311" s="227"/>
      <c r="M1311" s="227"/>
      <c r="N1311" s="227"/>
      <c r="O1311" s="227"/>
      <c r="P1311" s="227"/>
      <c r="Q1311" s="227">
        <v>-8000</v>
      </c>
    </row>
    <row r="1312" spans="1:17" x14ac:dyDescent="0.3">
      <c r="A1312" s="113">
        <v>1529</v>
      </c>
      <c r="B1312" s="227"/>
      <c r="C1312" s="227"/>
      <c r="D1312" s="227"/>
      <c r="E1312" s="227"/>
      <c r="F1312" s="227"/>
      <c r="G1312" s="227"/>
      <c r="H1312" s="227"/>
      <c r="I1312" s="227"/>
      <c r="J1312" s="227"/>
      <c r="K1312" s="227"/>
      <c r="L1312" s="227"/>
      <c r="M1312" s="227"/>
      <c r="N1312" s="227"/>
      <c r="O1312" s="227">
        <v>-1000</v>
      </c>
      <c r="P1312" s="227"/>
      <c r="Q1312" s="227">
        <v>-1000</v>
      </c>
    </row>
    <row r="1313" spans="1:17" x14ac:dyDescent="0.3">
      <c r="A1313" s="113">
        <v>1530</v>
      </c>
      <c r="B1313" s="227"/>
      <c r="C1313" s="227"/>
      <c r="D1313" s="227"/>
      <c r="E1313" s="227"/>
      <c r="F1313" s="227"/>
      <c r="G1313" s="227"/>
      <c r="H1313" s="227"/>
      <c r="I1313" s="227">
        <v>-1000</v>
      </c>
      <c r="J1313" s="227"/>
      <c r="K1313" s="227"/>
      <c r="L1313" s="227"/>
      <c r="M1313" s="227"/>
      <c r="N1313" s="227"/>
      <c r="O1313" s="227"/>
      <c r="P1313" s="227"/>
      <c r="Q1313" s="227">
        <v>-1000</v>
      </c>
    </row>
    <row r="1314" spans="1:17" x14ac:dyDescent="0.3">
      <c r="A1314" s="113">
        <v>1531</v>
      </c>
      <c r="B1314" s="227"/>
      <c r="C1314" s="227"/>
      <c r="D1314" s="227"/>
      <c r="E1314" s="227"/>
      <c r="F1314" s="227"/>
      <c r="G1314" s="227">
        <v>-100</v>
      </c>
      <c r="H1314" s="227"/>
      <c r="I1314" s="227"/>
      <c r="J1314" s="227"/>
      <c r="K1314" s="227"/>
      <c r="L1314" s="227"/>
      <c r="M1314" s="227"/>
      <c r="N1314" s="227"/>
      <c r="O1314" s="227"/>
      <c r="P1314" s="227"/>
      <c r="Q1314" s="227">
        <v>-100</v>
      </c>
    </row>
    <row r="1315" spans="1:17" x14ac:dyDescent="0.3">
      <c r="A1315" s="113">
        <v>1532</v>
      </c>
      <c r="B1315" s="227"/>
      <c r="C1315" s="227"/>
      <c r="D1315" s="227"/>
      <c r="E1315" s="227"/>
      <c r="F1315" s="227"/>
      <c r="G1315" s="227"/>
      <c r="H1315" s="227"/>
      <c r="I1315" s="227">
        <v>-1000</v>
      </c>
      <c r="J1315" s="227"/>
      <c r="K1315" s="227"/>
      <c r="L1315" s="227"/>
      <c r="M1315" s="227"/>
      <c r="N1315" s="227"/>
      <c r="O1315" s="227"/>
      <c r="P1315" s="227"/>
      <c r="Q1315" s="227">
        <v>-1000</v>
      </c>
    </row>
    <row r="1316" spans="1:17" x14ac:dyDescent="0.3">
      <c r="A1316" s="113">
        <v>1533</v>
      </c>
      <c r="B1316" s="227">
        <v>80000</v>
      </c>
      <c r="C1316" s="227"/>
      <c r="D1316" s="227"/>
      <c r="E1316" s="227"/>
      <c r="F1316" s="227"/>
      <c r="G1316" s="227"/>
      <c r="H1316" s="227"/>
      <c r="I1316" s="227"/>
      <c r="J1316" s="227"/>
      <c r="K1316" s="227"/>
      <c r="L1316" s="227"/>
      <c r="M1316" s="227"/>
      <c r="N1316" s="227"/>
      <c r="O1316" s="227"/>
      <c r="P1316" s="227"/>
      <c r="Q1316" s="227">
        <v>80000</v>
      </c>
    </row>
    <row r="1317" spans="1:17" x14ac:dyDescent="0.3">
      <c r="A1317" s="113">
        <v>1534</v>
      </c>
      <c r="B1317" s="227"/>
      <c r="C1317" s="227"/>
      <c r="D1317" s="227"/>
      <c r="E1317" s="227"/>
      <c r="F1317" s="227"/>
      <c r="G1317" s="227"/>
      <c r="H1317" s="227"/>
      <c r="I1317" s="227"/>
      <c r="J1317" s="227"/>
      <c r="K1317" s="227"/>
      <c r="L1317" s="227"/>
      <c r="M1317" s="227"/>
      <c r="N1317" s="227"/>
      <c r="O1317" s="227">
        <v>-1000</v>
      </c>
      <c r="P1317" s="227"/>
      <c r="Q1317" s="227">
        <v>-1000</v>
      </c>
    </row>
    <row r="1318" spans="1:17" x14ac:dyDescent="0.3">
      <c r="A1318" s="113">
        <v>1535</v>
      </c>
      <c r="B1318" s="227"/>
      <c r="C1318" s="227"/>
      <c r="D1318" s="227"/>
      <c r="E1318" s="227"/>
      <c r="F1318" s="227"/>
      <c r="G1318" s="227"/>
      <c r="H1318" s="227"/>
      <c r="I1318" s="227"/>
      <c r="J1318" s="227"/>
      <c r="K1318" s="227"/>
      <c r="L1318" s="227"/>
      <c r="M1318" s="227"/>
      <c r="N1318" s="227"/>
      <c r="O1318" s="227">
        <v>-8100</v>
      </c>
      <c r="P1318" s="227"/>
      <c r="Q1318" s="227">
        <v>-8100</v>
      </c>
    </row>
    <row r="1319" spans="1:17" x14ac:dyDescent="0.3">
      <c r="A1319" s="113">
        <v>1536</v>
      </c>
      <c r="B1319" s="227"/>
      <c r="C1319" s="227"/>
      <c r="D1319" s="227"/>
      <c r="E1319" s="227"/>
      <c r="F1319" s="227"/>
      <c r="G1319" s="227"/>
      <c r="H1319" s="227"/>
      <c r="I1319" s="227"/>
      <c r="J1319" s="227"/>
      <c r="K1319" s="227"/>
      <c r="L1319" s="227"/>
      <c r="M1319" s="227"/>
      <c r="N1319" s="227"/>
      <c r="O1319" s="227">
        <v>-1000</v>
      </c>
      <c r="P1319" s="227"/>
      <c r="Q1319" s="227">
        <v>-1000</v>
      </c>
    </row>
    <row r="1320" spans="1:17" x14ac:dyDescent="0.3">
      <c r="A1320" s="113">
        <v>1537</v>
      </c>
      <c r="B1320" s="227"/>
      <c r="C1320" s="227"/>
      <c r="D1320" s="227"/>
      <c r="E1320" s="227">
        <v>-20000</v>
      </c>
      <c r="F1320" s="227"/>
      <c r="G1320" s="227"/>
      <c r="H1320" s="227"/>
      <c r="I1320" s="227"/>
      <c r="J1320" s="227"/>
      <c r="K1320" s="227"/>
      <c r="L1320" s="227"/>
      <c r="M1320" s="227"/>
      <c r="N1320" s="227"/>
      <c r="O1320" s="227"/>
      <c r="P1320" s="227"/>
      <c r="Q1320" s="227">
        <v>-20000</v>
      </c>
    </row>
    <row r="1321" spans="1:17" x14ac:dyDescent="0.3">
      <c r="A1321" s="113">
        <v>1538</v>
      </c>
      <c r="B1321" s="227"/>
      <c r="C1321" s="227"/>
      <c r="D1321" s="227"/>
      <c r="E1321" s="227"/>
      <c r="F1321" s="227"/>
      <c r="G1321" s="227"/>
      <c r="H1321" s="227"/>
      <c r="I1321" s="227"/>
      <c r="J1321" s="227"/>
      <c r="K1321" s="227"/>
      <c r="L1321" s="227"/>
      <c r="M1321" s="227"/>
      <c r="N1321" s="227"/>
      <c r="O1321" s="227">
        <v>-1000</v>
      </c>
      <c r="P1321" s="227"/>
      <c r="Q1321" s="227">
        <v>-1000</v>
      </c>
    </row>
    <row r="1322" spans="1:17" x14ac:dyDescent="0.3">
      <c r="A1322" s="113">
        <v>1539</v>
      </c>
      <c r="B1322" s="227"/>
      <c r="C1322" s="227"/>
      <c r="D1322" s="227"/>
      <c r="E1322" s="227"/>
      <c r="F1322" s="227"/>
      <c r="G1322" s="227"/>
      <c r="H1322" s="227"/>
      <c r="I1322" s="227">
        <v>-2000</v>
      </c>
      <c r="J1322" s="227"/>
      <c r="K1322" s="227"/>
      <c r="L1322" s="227"/>
      <c r="M1322" s="227"/>
      <c r="N1322" s="227"/>
      <c r="O1322" s="227"/>
      <c r="P1322" s="227"/>
      <c r="Q1322" s="227">
        <v>-2000</v>
      </c>
    </row>
    <row r="1323" spans="1:17" x14ac:dyDescent="0.3">
      <c r="A1323" s="113">
        <v>1540</v>
      </c>
      <c r="B1323" s="227"/>
      <c r="C1323" s="227"/>
      <c r="D1323" s="227"/>
      <c r="E1323" s="227"/>
      <c r="F1323" s="227"/>
      <c r="G1323" s="227">
        <v>-100</v>
      </c>
      <c r="H1323" s="227"/>
      <c r="I1323" s="227"/>
      <c r="J1323" s="227"/>
      <c r="K1323" s="227"/>
      <c r="L1323" s="227"/>
      <c r="M1323" s="227"/>
      <c r="N1323" s="227"/>
      <c r="O1323" s="227"/>
      <c r="P1323" s="227"/>
      <c r="Q1323" s="227">
        <v>-100</v>
      </c>
    </row>
    <row r="1324" spans="1:17" x14ac:dyDescent="0.3">
      <c r="A1324" s="113">
        <v>1541</v>
      </c>
      <c r="B1324" s="227"/>
      <c r="C1324" s="227"/>
      <c r="D1324" s="227"/>
      <c r="E1324" s="227"/>
      <c r="F1324" s="227"/>
      <c r="G1324" s="227"/>
      <c r="H1324" s="227"/>
      <c r="I1324" s="227">
        <v>-3000</v>
      </c>
      <c r="J1324" s="227"/>
      <c r="K1324" s="227"/>
      <c r="L1324" s="227"/>
      <c r="M1324" s="227"/>
      <c r="N1324" s="227"/>
      <c r="O1324" s="227"/>
      <c r="P1324" s="227"/>
      <c r="Q1324" s="227">
        <v>-3000</v>
      </c>
    </row>
    <row r="1325" spans="1:17" x14ac:dyDescent="0.3">
      <c r="A1325" s="113">
        <v>1542</v>
      </c>
      <c r="B1325" s="227"/>
      <c r="C1325" s="227"/>
      <c r="D1325" s="227"/>
      <c r="E1325" s="227"/>
      <c r="F1325" s="227"/>
      <c r="G1325" s="227"/>
      <c r="H1325" s="227"/>
      <c r="I1325" s="227"/>
      <c r="J1325" s="227"/>
      <c r="K1325" s="227"/>
      <c r="L1325" s="227">
        <v>-60000</v>
      </c>
      <c r="M1325" s="227"/>
      <c r="N1325" s="227"/>
      <c r="O1325" s="227"/>
      <c r="P1325" s="227"/>
      <c r="Q1325" s="227">
        <v>-60000</v>
      </c>
    </row>
    <row r="1326" spans="1:17" x14ac:dyDescent="0.3">
      <c r="A1326" s="113">
        <v>1543</v>
      </c>
      <c r="B1326" s="227">
        <v>20000</v>
      </c>
      <c r="C1326" s="227"/>
      <c r="D1326" s="227"/>
      <c r="E1326" s="227"/>
      <c r="F1326" s="227"/>
      <c r="G1326" s="227"/>
      <c r="H1326" s="227"/>
      <c r="I1326" s="227"/>
      <c r="J1326" s="227"/>
      <c r="K1326" s="227"/>
      <c r="L1326" s="227"/>
      <c r="M1326" s="227"/>
      <c r="N1326" s="227"/>
      <c r="O1326" s="227"/>
      <c r="P1326" s="227"/>
      <c r="Q1326" s="227">
        <v>20000</v>
      </c>
    </row>
    <row r="1327" spans="1:17" x14ac:dyDescent="0.3">
      <c r="A1327" s="113">
        <v>1544</v>
      </c>
      <c r="B1327" s="227"/>
      <c r="C1327" s="227"/>
      <c r="D1327" s="227"/>
      <c r="E1327" s="227">
        <v>-20000</v>
      </c>
      <c r="F1327" s="227"/>
      <c r="G1327" s="227"/>
      <c r="H1327" s="227"/>
      <c r="I1327" s="227"/>
      <c r="J1327" s="227"/>
      <c r="K1327" s="227"/>
      <c r="L1327" s="227"/>
      <c r="M1327" s="227"/>
      <c r="N1327" s="227"/>
      <c r="O1327" s="227"/>
      <c r="P1327" s="227"/>
      <c r="Q1327" s="227">
        <v>-20000</v>
      </c>
    </row>
    <row r="1328" spans="1:17" x14ac:dyDescent="0.3">
      <c r="A1328" s="113">
        <v>1545</v>
      </c>
      <c r="B1328" s="227"/>
      <c r="C1328" s="227"/>
      <c r="D1328" s="227"/>
      <c r="E1328" s="227"/>
      <c r="F1328" s="227"/>
      <c r="G1328" s="227"/>
      <c r="H1328" s="227"/>
      <c r="I1328" s="227">
        <v>-2000</v>
      </c>
      <c r="J1328" s="227"/>
      <c r="K1328" s="227"/>
      <c r="L1328" s="227"/>
      <c r="M1328" s="227"/>
      <c r="N1328" s="227"/>
      <c r="O1328" s="227"/>
      <c r="P1328" s="227"/>
      <c r="Q1328" s="227">
        <v>-2000</v>
      </c>
    </row>
    <row r="1329" spans="1:17" x14ac:dyDescent="0.3">
      <c r="A1329" s="113">
        <v>1546</v>
      </c>
      <c r="B1329" s="227"/>
      <c r="C1329" s="227"/>
      <c r="D1329" s="227"/>
      <c r="E1329" s="227"/>
      <c r="F1329" s="227"/>
      <c r="G1329" s="227"/>
      <c r="H1329" s="227"/>
      <c r="I1329" s="227">
        <v>-1000</v>
      </c>
      <c r="J1329" s="227"/>
      <c r="K1329" s="227"/>
      <c r="L1329" s="227"/>
      <c r="M1329" s="227"/>
      <c r="N1329" s="227"/>
      <c r="O1329" s="227"/>
      <c r="P1329" s="227"/>
      <c r="Q1329" s="227">
        <v>-1000</v>
      </c>
    </row>
    <row r="1330" spans="1:17" x14ac:dyDescent="0.3">
      <c r="A1330" s="113">
        <v>1547</v>
      </c>
      <c r="B1330" s="227">
        <v>80000</v>
      </c>
      <c r="C1330" s="227"/>
      <c r="D1330" s="227"/>
      <c r="E1330" s="227"/>
      <c r="F1330" s="227"/>
      <c r="G1330" s="227"/>
      <c r="H1330" s="227"/>
      <c r="I1330" s="227"/>
      <c r="J1330" s="227"/>
      <c r="K1330" s="227"/>
      <c r="L1330" s="227"/>
      <c r="M1330" s="227"/>
      <c r="N1330" s="227"/>
      <c r="O1330" s="227"/>
      <c r="P1330" s="227"/>
      <c r="Q1330" s="227">
        <v>80000</v>
      </c>
    </row>
    <row r="1331" spans="1:17" x14ac:dyDescent="0.3">
      <c r="A1331" s="113">
        <v>1548</v>
      </c>
      <c r="B1331" s="227"/>
      <c r="C1331" s="227"/>
      <c r="D1331" s="227"/>
      <c r="E1331" s="227"/>
      <c r="F1331" s="227"/>
      <c r="G1331" s="227"/>
      <c r="H1331" s="227"/>
      <c r="I1331" s="227">
        <v>-10000</v>
      </c>
      <c r="J1331" s="227"/>
      <c r="K1331" s="227"/>
      <c r="L1331" s="227"/>
      <c r="M1331" s="227"/>
      <c r="N1331" s="227"/>
      <c r="O1331" s="227"/>
      <c r="P1331" s="227"/>
      <c r="Q1331" s="227">
        <v>-10000</v>
      </c>
    </row>
    <row r="1332" spans="1:17" x14ac:dyDescent="0.3">
      <c r="A1332" s="113">
        <v>1549</v>
      </c>
      <c r="B1332" s="227"/>
      <c r="C1332" s="227"/>
      <c r="D1332" s="227"/>
      <c r="E1332" s="227"/>
      <c r="F1332" s="227"/>
      <c r="G1332" s="227"/>
      <c r="H1332" s="227"/>
      <c r="I1332" s="227"/>
      <c r="J1332" s="227">
        <v>-20000</v>
      </c>
      <c r="K1332" s="227"/>
      <c r="L1332" s="227"/>
      <c r="M1332" s="227"/>
      <c r="N1332" s="227"/>
      <c r="O1332" s="227"/>
      <c r="P1332" s="227"/>
      <c r="Q1332" s="227">
        <v>-20000</v>
      </c>
    </row>
    <row r="1333" spans="1:17" x14ac:dyDescent="0.3">
      <c r="A1333" s="113">
        <v>1550</v>
      </c>
      <c r="B1333" s="227"/>
      <c r="C1333" s="227"/>
      <c r="D1333" s="227"/>
      <c r="E1333" s="227"/>
      <c r="F1333" s="227">
        <v>-20000</v>
      </c>
      <c r="G1333" s="227"/>
      <c r="H1333" s="227"/>
      <c r="I1333" s="227"/>
      <c r="J1333" s="227"/>
      <c r="K1333" s="227"/>
      <c r="L1333" s="227"/>
      <c r="M1333" s="227"/>
      <c r="N1333" s="227"/>
      <c r="O1333" s="227"/>
      <c r="P1333" s="227"/>
      <c r="Q1333" s="227">
        <v>-20000</v>
      </c>
    </row>
    <row r="1334" spans="1:17" x14ac:dyDescent="0.3">
      <c r="A1334" s="113">
        <v>1551</v>
      </c>
      <c r="B1334" s="227"/>
      <c r="C1334" s="227"/>
      <c r="D1334" s="227"/>
      <c r="E1334" s="227">
        <v>-10000</v>
      </c>
      <c r="F1334" s="227"/>
      <c r="G1334" s="227"/>
      <c r="H1334" s="227"/>
      <c r="I1334" s="227"/>
      <c r="J1334" s="227"/>
      <c r="K1334" s="227"/>
      <c r="L1334" s="227"/>
      <c r="M1334" s="227"/>
      <c r="N1334" s="227"/>
      <c r="O1334" s="227"/>
      <c r="P1334" s="227"/>
      <c r="Q1334" s="227">
        <v>-10000</v>
      </c>
    </row>
    <row r="1335" spans="1:17" x14ac:dyDescent="0.3">
      <c r="A1335" s="113">
        <v>1552</v>
      </c>
      <c r="B1335" s="227"/>
      <c r="C1335" s="227"/>
      <c r="D1335" s="227"/>
      <c r="E1335" s="227"/>
      <c r="F1335" s="227"/>
      <c r="G1335" s="227"/>
      <c r="H1335" s="227"/>
      <c r="I1335" s="227">
        <v>-2000</v>
      </c>
      <c r="J1335" s="227"/>
      <c r="K1335" s="227"/>
      <c r="L1335" s="227"/>
      <c r="M1335" s="227"/>
      <c r="N1335" s="227"/>
      <c r="O1335" s="227"/>
      <c r="P1335" s="227"/>
      <c r="Q1335" s="227">
        <v>-2000</v>
      </c>
    </row>
    <row r="1336" spans="1:17" x14ac:dyDescent="0.3">
      <c r="A1336" s="113">
        <v>1553</v>
      </c>
      <c r="B1336" s="227">
        <v>20000</v>
      </c>
      <c r="C1336" s="227"/>
      <c r="D1336" s="227"/>
      <c r="E1336" s="227"/>
      <c r="F1336" s="227"/>
      <c r="G1336" s="227"/>
      <c r="H1336" s="227"/>
      <c r="I1336" s="227"/>
      <c r="J1336" s="227"/>
      <c r="K1336" s="227"/>
      <c r="L1336" s="227"/>
      <c r="M1336" s="227"/>
      <c r="N1336" s="227"/>
      <c r="O1336" s="227"/>
      <c r="P1336" s="227"/>
      <c r="Q1336" s="227">
        <v>20000</v>
      </c>
    </row>
    <row r="1337" spans="1:17" x14ac:dyDescent="0.3">
      <c r="A1337" s="113">
        <v>1554</v>
      </c>
      <c r="B1337" s="227"/>
      <c r="C1337" s="227"/>
      <c r="D1337" s="227"/>
      <c r="E1337" s="227"/>
      <c r="F1337" s="227"/>
      <c r="G1337" s="227"/>
      <c r="H1337" s="227"/>
      <c r="I1337" s="227">
        <v>-3000</v>
      </c>
      <c r="J1337" s="227"/>
      <c r="K1337" s="227"/>
      <c r="L1337" s="227"/>
      <c r="M1337" s="227"/>
      <c r="N1337" s="227"/>
      <c r="O1337" s="227"/>
      <c r="P1337" s="227"/>
      <c r="Q1337" s="227">
        <v>-3000</v>
      </c>
    </row>
    <row r="1338" spans="1:17" x14ac:dyDescent="0.3">
      <c r="A1338" s="113">
        <v>1555</v>
      </c>
      <c r="B1338" s="227"/>
      <c r="C1338" s="227"/>
      <c r="D1338" s="227"/>
      <c r="E1338" s="227"/>
      <c r="F1338" s="227"/>
      <c r="G1338" s="227"/>
      <c r="H1338" s="227"/>
      <c r="I1338" s="227"/>
      <c r="J1338" s="227"/>
      <c r="K1338" s="227"/>
      <c r="L1338" s="227"/>
      <c r="M1338" s="227"/>
      <c r="N1338" s="227"/>
      <c r="O1338" s="227">
        <v>-15000</v>
      </c>
      <c r="P1338" s="227"/>
      <c r="Q1338" s="227">
        <v>-15000</v>
      </c>
    </row>
    <row r="1339" spans="1:17" x14ac:dyDescent="0.3">
      <c r="A1339" s="113">
        <v>1556</v>
      </c>
      <c r="B1339" s="227"/>
      <c r="C1339" s="227"/>
      <c r="D1339" s="227"/>
      <c r="E1339" s="227"/>
      <c r="F1339" s="227"/>
      <c r="G1339" s="227"/>
      <c r="H1339" s="227"/>
      <c r="I1339" s="227"/>
      <c r="J1339" s="227"/>
      <c r="K1339" s="227"/>
      <c r="L1339" s="227"/>
      <c r="M1339" s="227"/>
      <c r="N1339" s="227"/>
      <c r="O1339" s="227">
        <v>-2000</v>
      </c>
      <c r="P1339" s="227"/>
      <c r="Q1339" s="227">
        <v>-2000</v>
      </c>
    </row>
    <row r="1340" spans="1:17" x14ac:dyDescent="0.3">
      <c r="A1340" s="113">
        <v>1557</v>
      </c>
      <c r="B1340" s="227">
        <v>80000</v>
      </c>
      <c r="C1340" s="227"/>
      <c r="D1340" s="227"/>
      <c r="E1340" s="227"/>
      <c r="F1340" s="227"/>
      <c r="G1340" s="227"/>
      <c r="H1340" s="227"/>
      <c r="I1340" s="227"/>
      <c r="J1340" s="227"/>
      <c r="K1340" s="227"/>
      <c r="L1340" s="227"/>
      <c r="M1340" s="227"/>
      <c r="N1340" s="227"/>
      <c r="O1340" s="227"/>
      <c r="P1340" s="227"/>
      <c r="Q1340" s="227">
        <v>80000</v>
      </c>
    </row>
    <row r="1341" spans="1:17" x14ac:dyDescent="0.3">
      <c r="A1341" s="113">
        <v>1558</v>
      </c>
      <c r="B1341" s="227"/>
      <c r="C1341" s="227"/>
      <c r="D1341" s="227"/>
      <c r="E1341" s="227"/>
      <c r="F1341" s="227"/>
      <c r="G1341" s="227"/>
      <c r="H1341" s="227"/>
      <c r="I1341" s="227"/>
      <c r="J1341" s="227"/>
      <c r="K1341" s="227"/>
      <c r="L1341" s="227"/>
      <c r="M1341" s="227"/>
      <c r="N1341" s="227"/>
      <c r="O1341" s="227">
        <v>-2000</v>
      </c>
      <c r="P1341" s="227"/>
      <c r="Q1341" s="227">
        <v>-2000</v>
      </c>
    </row>
    <row r="1342" spans="1:17" x14ac:dyDescent="0.3">
      <c r="A1342" s="113">
        <v>1559</v>
      </c>
      <c r="B1342" s="227"/>
      <c r="C1342" s="227"/>
      <c r="D1342" s="227"/>
      <c r="E1342" s="227"/>
      <c r="F1342" s="227"/>
      <c r="G1342" s="227"/>
      <c r="H1342" s="227"/>
      <c r="I1342" s="227">
        <v>-5000</v>
      </c>
      <c r="J1342" s="227"/>
      <c r="K1342" s="227"/>
      <c r="L1342" s="227"/>
      <c r="M1342" s="227"/>
      <c r="N1342" s="227"/>
      <c r="O1342" s="227"/>
      <c r="P1342" s="227"/>
      <c r="Q1342" s="227">
        <v>-5000</v>
      </c>
    </row>
    <row r="1343" spans="1:17" x14ac:dyDescent="0.3">
      <c r="A1343" s="113">
        <v>1560</v>
      </c>
      <c r="B1343" s="227"/>
      <c r="C1343" s="227"/>
      <c r="D1343" s="227"/>
      <c r="E1343" s="227"/>
      <c r="F1343" s="227"/>
      <c r="G1343" s="227"/>
      <c r="H1343" s="227"/>
      <c r="I1343" s="227">
        <v>-2000</v>
      </c>
      <c r="J1343" s="227"/>
      <c r="K1343" s="227"/>
      <c r="L1343" s="227"/>
      <c r="M1343" s="227"/>
      <c r="N1343" s="227"/>
      <c r="O1343" s="227"/>
      <c r="P1343" s="227"/>
      <c r="Q1343" s="227">
        <v>-2000</v>
      </c>
    </row>
    <row r="1344" spans="1:17" x14ac:dyDescent="0.3">
      <c r="A1344" s="113">
        <v>1561</v>
      </c>
      <c r="B1344" s="227"/>
      <c r="C1344" s="227"/>
      <c r="D1344" s="227"/>
      <c r="E1344" s="227"/>
      <c r="F1344" s="227"/>
      <c r="G1344" s="227"/>
      <c r="H1344" s="227"/>
      <c r="I1344" s="227">
        <v>-1000</v>
      </c>
      <c r="J1344" s="227"/>
      <c r="K1344" s="227"/>
      <c r="L1344" s="227"/>
      <c r="M1344" s="227"/>
      <c r="N1344" s="227"/>
      <c r="O1344" s="227"/>
      <c r="P1344" s="227"/>
      <c r="Q1344" s="227">
        <v>-1000</v>
      </c>
    </row>
    <row r="1345" spans="1:17" x14ac:dyDescent="0.3">
      <c r="A1345" s="113">
        <v>1562</v>
      </c>
      <c r="B1345" s="227"/>
      <c r="C1345" s="227"/>
      <c r="D1345" s="227"/>
      <c r="E1345" s="227"/>
      <c r="F1345" s="227"/>
      <c r="G1345" s="227"/>
      <c r="H1345" s="227"/>
      <c r="I1345" s="227">
        <v>-2000</v>
      </c>
      <c r="J1345" s="227"/>
      <c r="K1345" s="227"/>
      <c r="L1345" s="227"/>
      <c r="M1345" s="227"/>
      <c r="N1345" s="227"/>
      <c r="O1345" s="227"/>
      <c r="P1345" s="227"/>
      <c r="Q1345" s="227">
        <v>-2000</v>
      </c>
    </row>
    <row r="1346" spans="1:17" x14ac:dyDescent="0.3">
      <c r="A1346" s="113">
        <v>1563</v>
      </c>
      <c r="B1346" s="227"/>
      <c r="C1346" s="227"/>
      <c r="D1346" s="227"/>
      <c r="E1346" s="227"/>
      <c r="F1346" s="227"/>
      <c r="G1346" s="227"/>
      <c r="H1346" s="227"/>
      <c r="I1346" s="227"/>
      <c r="J1346" s="227"/>
      <c r="K1346" s="227"/>
      <c r="L1346" s="227"/>
      <c r="M1346" s="227"/>
      <c r="N1346" s="227"/>
      <c r="O1346" s="227">
        <v>-5000</v>
      </c>
      <c r="P1346" s="227"/>
      <c r="Q1346" s="227">
        <v>-5000</v>
      </c>
    </row>
    <row r="1347" spans="1:17" x14ac:dyDescent="0.3">
      <c r="A1347" s="113">
        <v>1564</v>
      </c>
      <c r="B1347" s="227"/>
      <c r="C1347" s="227"/>
      <c r="D1347" s="227"/>
      <c r="E1347" s="227"/>
      <c r="F1347" s="227"/>
      <c r="G1347" s="227"/>
      <c r="H1347" s="227"/>
      <c r="I1347" s="227"/>
      <c r="J1347" s="227"/>
      <c r="K1347" s="227"/>
      <c r="L1347" s="227">
        <v>-60000</v>
      </c>
      <c r="M1347" s="227"/>
      <c r="N1347" s="227"/>
      <c r="O1347" s="227"/>
      <c r="P1347" s="227"/>
      <c r="Q1347" s="227">
        <v>-60000</v>
      </c>
    </row>
    <row r="1348" spans="1:17" x14ac:dyDescent="0.3">
      <c r="A1348" s="113">
        <v>1565</v>
      </c>
      <c r="B1348" s="227">
        <v>70000</v>
      </c>
      <c r="C1348" s="227"/>
      <c r="D1348" s="227"/>
      <c r="E1348" s="227"/>
      <c r="F1348" s="227"/>
      <c r="G1348" s="227"/>
      <c r="H1348" s="227"/>
      <c r="I1348" s="227"/>
      <c r="J1348" s="227"/>
      <c r="K1348" s="227"/>
      <c r="L1348" s="227"/>
      <c r="M1348" s="227"/>
      <c r="N1348" s="227"/>
      <c r="O1348" s="227"/>
      <c r="P1348" s="227"/>
      <c r="Q1348" s="227">
        <v>70000</v>
      </c>
    </row>
    <row r="1349" spans="1:17" x14ac:dyDescent="0.3">
      <c r="A1349" s="113">
        <v>1566</v>
      </c>
      <c r="B1349" s="227"/>
      <c r="C1349" s="227"/>
      <c r="D1349" s="227"/>
      <c r="E1349" s="227">
        <v>-70000</v>
      </c>
      <c r="F1349" s="227"/>
      <c r="G1349" s="227"/>
      <c r="H1349" s="227"/>
      <c r="I1349" s="227"/>
      <c r="J1349" s="227"/>
      <c r="K1349" s="227"/>
      <c r="L1349" s="227"/>
      <c r="M1349" s="227"/>
      <c r="N1349" s="227"/>
      <c r="O1349" s="227"/>
      <c r="P1349" s="227"/>
      <c r="Q1349" s="227">
        <v>-70000</v>
      </c>
    </row>
    <row r="1350" spans="1:17" x14ac:dyDescent="0.3">
      <c r="A1350" s="113">
        <v>1567</v>
      </c>
      <c r="B1350" s="227">
        <v>10000</v>
      </c>
      <c r="C1350" s="227"/>
      <c r="D1350" s="227"/>
      <c r="E1350" s="227"/>
      <c r="F1350" s="227"/>
      <c r="G1350" s="227"/>
      <c r="H1350" s="227"/>
      <c r="I1350" s="227"/>
      <c r="J1350" s="227"/>
      <c r="K1350" s="227"/>
      <c r="L1350" s="227"/>
      <c r="M1350" s="227"/>
      <c r="N1350" s="227"/>
      <c r="O1350" s="227"/>
      <c r="P1350" s="227"/>
      <c r="Q1350" s="227">
        <v>10000</v>
      </c>
    </row>
    <row r="1351" spans="1:17" x14ac:dyDescent="0.3">
      <c r="A1351" s="113">
        <v>1568</v>
      </c>
      <c r="B1351" s="227"/>
      <c r="C1351" s="227"/>
      <c r="D1351" s="227"/>
      <c r="E1351" s="227"/>
      <c r="F1351" s="227"/>
      <c r="G1351" s="227"/>
      <c r="H1351" s="227"/>
      <c r="I1351" s="227">
        <v>-10000</v>
      </c>
      <c r="J1351" s="227"/>
      <c r="K1351" s="227"/>
      <c r="L1351" s="227"/>
      <c r="M1351" s="227"/>
      <c r="N1351" s="227"/>
      <c r="O1351" s="227"/>
      <c r="P1351" s="227"/>
      <c r="Q1351" s="227">
        <v>-10000</v>
      </c>
    </row>
    <row r="1352" spans="1:17" x14ac:dyDescent="0.3">
      <c r="A1352" s="113">
        <v>1569</v>
      </c>
      <c r="B1352" s="227">
        <v>100000</v>
      </c>
      <c r="C1352" s="227"/>
      <c r="D1352" s="227"/>
      <c r="E1352" s="227"/>
      <c r="F1352" s="227"/>
      <c r="G1352" s="227"/>
      <c r="H1352" s="227"/>
      <c r="I1352" s="227"/>
      <c r="J1352" s="227"/>
      <c r="K1352" s="227"/>
      <c r="L1352" s="227"/>
      <c r="M1352" s="227"/>
      <c r="N1352" s="227"/>
      <c r="O1352" s="227"/>
      <c r="P1352" s="227"/>
      <c r="Q1352" s="227">
        <v>100000</v>
      </c>
    </row>
    <row r="1353" spans="1:17" x14ac:dyDescent="0.3">
      <c r="A1353" s="113">
        <v>1570</v>
      </c>
      <c r="B1353" s="227"/>
      <c r="C1353" s="227"/>
      <c r="D1353" s="227"/>
      <c r="E1353" s="227"/>
      <c r="F1353" s="227"/>
      <c r="G1353" s="227"/>
      <c r="H1353" s="227"/>
      <c r="I1353" s="227">
        <v>-10000</v>
      </c>
      <c r="J1353" s="227"/>
      <c r="K1353" s="227"/>
      <c r="L1353" s="227"/>
      <c r="M1353" s="227"/>
      <c r="N1353" s="227"/>
      <c r="O1353" s="227"/>
      <c r="P1353" s="227"/>
      <c r="Q1353" s="227">
        <v>-10000</v>
      </c>
    </row>
    <row r="1354" spans="1:17" x14ac:dyDescent="0.3">
      <c r="A1354" s="113">
        <v>1571</v>
      </c>
      <c r="B1354" s="227"/>
      <c r="C1354" s="227"/>
      <c r="D1354" s="227">
        <v>-20000</v>
      </c>
      <c r="E1354" s="227"/>
      <c r="F1354" s="227"/>
      <c r="G1354" s="227"/>
      <c r="H1354" s="227"/>
      <c r="I1354" s="227"/>
      <c r="J1354" s="227"/>
      <c r="K1354" s="227"/>
      <c r="L1354" s="227"/>
      <c r="M1354" s="227"/>
      <c r="N1354" s="227"/>
      <c r="O1354" s="227"/>
      <c r="P1354" s="227"/>
      <c r="Q1354" s="227">
        <v>-20000</v>
      </c>
    </row>
    <row r="1355" spans="1:17" x14ac:dyDescent="0.3">
      <c r="A1355" s="113">
        <v>1572</v>
      </c>
      <c r="B1355" s="227"/>
      <c r="C1355" s="227"/>
      <c r="D1355" s="227">
        <v>-30000</v>
      </c>
      <c r="E1355" s="227"/>
      <c r="F1355" s="227"/>
      <c r="G1355" s="227"/>
      <c r="H1355" s="227"/>
      <c r="I1355" s="227"/>
      <c r="J1355" s="227"/>
      <c r="K1355" s="227"/>
      <c r="L1355" s="227"/>
      <c r="M1355" s="227"/>
      <c r="N1355" s="227"/>
      <c r="O1355" s="227"/>
      <c r="P1355" s="227"/>
      <c r="Q1355" s="227">
        <v>-30000</v>
      </c>
    </row>
    <row r="1356" spans="1:17" x14ac:dyDescent="0.3">
      <c r="A1356" s="113">
        <v>1573</v>
      </c>
      <c r="B1356" s="227"/>
      <c r="C1356" s="227"/>
      <c r="D1356" s="227"/>
      <c r="E1356" s="227">
        <v>-30000</v>
      </c>
      <c r="F1356" s="227"/>
      <c r="G1356" s="227"/>
      <c r="H1356" s="227"/>
      <c r="I1356" s="227"/>
      <c r="J1356" s="227"/>
      <c r="K1356" s="227"/>
      <c r="L1356" s="227"/>
      <c r="M1356" s="227"/>
      <c r="N1356" s="227"/>
      <c r="O1356" s="227"/>
      <c r="P1356" s="227"/>
      <c r="Q1356" s="227">
        <v>-30000</v>
      </c>
    </row>
    <row r="1357" spans="1:17" x14ac:dyDescent="0.3">
      <c r="A1357" s="113">
        <v>1574</v>
      </c>
      <c r="B1357" s="227"/>
      <c r="C1357" s="227"/>
      <c r="D1357" s="227"/>
      <c r="E1357" s="227"/>
      <c r="F1357" s="227"/>
      <c r="G1357" s="227"/>
      <c r="H1357" s="227"/>
      <c r="I1357" s="227"/>
      <c r="J1357" s="227"/>
      <c r="K1357" s="227"/>
      <c r="L1357" s="227"/>
      <c r="M1357" s="227"/>
      <c r="N1357" s="227"/>
      <c r="O1357" s="227">
        <v>-13000</v>
      </c>
      <c r="P1357" s="227"/>
      <c r="Q1357" s="227">
        <v>-13000</v>
      </c>
    </row>
    <row r="1358" spans="1:17" x14ac:dyDescent="0.3">
      <c r="A1358" s="113">
        <v>1575</v>
      </c>
      <c r="B1358" s="227"/>
      <c r="C1358" s="227"/>
      <c r="D1358" s="227"/>
      <c r="E1358" s="227"/>
      <c r="F1358" s="227"/>
      <c r="G1358" s="227"/>
      <c r="H1358" s="227"/>
      <c r="I1358" s="227"/>
      <c r="J1358" s="227">
        <v>-15000</v>
      </c>
      <c r="K1358" s="227"/>
      <c r="L1358" s="227"/>
      <c r="M1358" s="227"/>
      <c r="N1358" s="227"/>
      <c r="O1358" s="227"/>
      <c r="P1358" s="227"/>
      <c r="Q1358" s="227">
        <v>-15000</v>
      </c>
    </row>
    <row r="1359" spans="1:17" x14ac:dyDescent="0.3">
      <c r="A1359" s="72" t="s">
        <v>1448</v>
      </c>
      <c r="B1359" s="227">
        <v>16210000</v>
      </c>
      <c r="C1359" s="227">
        <v>-80580</v>
      </c>
      <c r="D1359" s="227">
        <v>-1851940</v>
      </c>
      <c r="E1359" s="227">
        <v>-6334550</v>
      </c>
      <c r="F1359" s="227">
        <v>-706815</v>
      </c>
      <c r="G1359" s="227">
        <v>-203468</v>
      </c>
      <c r="H1359" s="227">
        <v>-2500</v>
      </c>
      <c r="I1359" s="227">
        <v>-883760</v>
      </c>
      <c r="J1359" s="227">
        <v>-1096600</v>
      </c>
      <c r="K1359" s="227">
        <v>-566000</v>
      </c>
      <c r="L1359" s="227">
        <v>-1580000</v>
      </c>
      <c r="M1359" s="227">
        <v>-1308972</v>
      </c>
      <c r="N1359" s="227">
        <v>-614000</v>
      </c>
      <c r="O1359" s="227">
        <v>-1332400</v>
      </c>
      <c r="P1359" s="227">
        <v>-102600</v>
      </c>
      <c r="Q1359" s="227">
        <v>-454185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1"/>
  <sheetViews>
    <sheetView workbookViewId="0">
      <selection activeCell="B20" sqref="B20"/>
    </sheetView>
  </sheetViews>
  <sheetFormatPr defaultRowHeight="14.4" x14ac:dyDescent="0.3"/>
  <cols>
    <col min="1" max="1" width="28.6640625" customWidth="1"/>
    <col min="2" max="2" width="14" style="94" customWidth="1"/>
    <col min="3" max="3" width="14" style="17" bestFit="1" customWidth="1"/>
  </cols>
  <sheetData>
    <row r="2" spans="1:3" ht="18" x14ac:dyDescent="0.35">
      <c r="A2" s="153" t="s">
        <v>0</v>
      </c>
    </row>
    <row r="3" spans="1:3" ht="18" x14ac:dyDescent="0.35">
      <c r="A3" s="153" t="s">
        <v>1712</v>
      </c>
      <c r="C3" s="244" t="s">
        <v>1841</v>
      </c>
    </row>
    <row r="4" spans="1:3" x14ac:dyDescent="0.3">
      <c r="A4" s="175" t="s">
        <v>3</v>
      </c>
      <c r="B4" s="176" t="s">
        <v>1148</v>
      </c>
      <c r="C4" s="245" t="s">
        <v>1138</v>
      </c>
    </row>
    <row r="5" spans="1:3" x14ac:dyDescent="0.3">
      <c r="A5" s="246" t="s">
        <v>1520</v>
      </c>
      <c r="B5" s="247">
        <v>16210000</v>
      </c>
      <c r="C5" s="248"/>
    </row>
    <row r="6" spans="1:3" x14ac:dyDescent="0.3">
      <c r="A6" s="11" t="s">
        <v>1778</v>
      </c>
      <c r="B6" s="97"/>
      <c r="C6" s="12">
        <v>80580</v>
      </c>
    </row>
    <row r="7" spans="1:3" x14ac:dyDescent="0.3">
      <c r="A7" s="11" t="s">
        <v>1523</v>
      </c>
      <c r="B7" s="97"/>
      <c r="C7" s="12">
        <v>1851940</v>
      </c>
    </row>
    <row r="8" spans="1:3" x14ac:dyDescent="0.3">
      <c r="A8" s="11" t="s">
        <v>1526</v>
      </c>
      <c r="B8" s="97"/>
      <c r="C8" s="12">
        <v>6334550</v>
      </c>
    </row>
    <row r="9" spans="1:3" x14ac:dyDescent="0.3">
      <c r="A9" s="11" t="s">
        <v>1524</v>
      </c>
      <c r="B9" s="97"/>
      <c r="C9" s="12">
        <v>706815</v>
      </c>
    </row>
    <row r="10" spans="1:3" x14ac:dyDescent="0.3">
      <c r="A10" s="11" t="s">
        <v>1521</v>
      </c>
      <c r="B10" s="97"/>
      <c r="C10" s="12">
        <v>203468</v>
      </c>
    </row>
    <row r="11" spans="1:3" x14ac:dyDescent="0.3">
      <c r="A11" s="11" t="s">
        <v>1519</v>
      </c>
      <c r="B11" s="97"/>
      <c r="C11" s="12">
        <v>2500</v>
      </c>
    </row>
    <row r="12" spans="1:3" x14ac:dyDescent="0.3">
      <c r="A12" s="11" t="s">
        <v>1533</v>
      </c>
      <c r="B12" s="97"/>
      <c r="C12" s="12">
        <v>883760</v>
      </c>
    </row>
    <row r="13" spans="1:3" x14ac:dyDescent="0.3">
      <c r="A13" s="11" t="s">
        <v>1529</v>
      </c>
      <c r="B13" s="97"/>
      <c r="C13" s="12">
        <v>1096600</v>
      </c>
    </row>
    <row r="14" spans="1:3" x14ac:dyDescent="0.3">
      <c r="A14" s="11" t="s">
        <v>1530</v>
      </c>
      <c r="B14" s="97"/>
      <c r="C14" s="12">
        <v>566000</v>
      </c>
    </row>
    <row r="15" spans="1:3" x14ac:dyDescent="0.3">
      <c r="A15" s="11" t="s">
        <v>1517</v>
      </c>
      <c r="B15" s="97"/>
      <c r="C15" s="12">
        <v>1580000</v>
      </c>
    </row>
    <row r="16" spans="1:3" x14ac:dyDescent="0.3">
      <c r="A16" s="11" t="s">
        <v>1471</v>
      </c>
      <c r="B16" s="97"/>
      <c r="C16" s="12">
        <v>1308972</v>
      </c>
    </row>
    <row r="17" spans="1:3" x14ac:dyDescent="0.3">
      <c r="A17" s="11" t="s">
        <v>1522</v>
      </c>
      <c r="B17" s="97"/>
      <c r="C17" s="12">
        <v>614000</v>
      </c>
    </row>
    <row r="18" spans="1:3" x14ac:dyDescent="0.3">
      <c r="A18" s="11" t="s">
        <v>1516</v>
      </c>
      <c r="B18" s="97"/>
      <c r="C18" s="12">
        <v>1332400</v>
      </c>
    </row>
    <row r="19" spans="1:3" x14ac:dyDescent="0.3">
      <c r="A19" s="11" t="s">
        <v>1807</v>
      </c>
      <c r="B19" s="97"/>
      <c r="C19" s="12">
        <v>102600</v>
      </c>
    </row>
    <row r="20" spans="1:3" s="183" customFormat="1" x14ac:dyDescent="0.3">
      <c r="A20" s="175" t="s">
        <v>1448</v>
      </c>
      <c r="B20" s="176">
        <f>SUM(B5:B18)</f>
        <v>16210000</v>
      </c>
      <c r="C20" s="245">
        <f>SUM(C5:C19)</f>
        <v>16664185</v>
      </c>
    </row>
    <row r="21" spans="1:3" s="183" customFormat="1" x14ac:dyDescent="0.3">
      <c r="A21" s="182" t="s">
        <v>1745</v>
      </c>
      <c r="B21" s="176">
        <f>B20-C20</f>
        <v>-454185</v>
      </c>
      <c r="C21" s="245"/>
    </row>
  </sheetData>
  <printOptions horizontalCentere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3"/>
  <sheetViews>
    <sheetView view="pageBreakPreview" zoomScale="115" zoomScaleNormal="115" zoomScaleSheetLayoutView="115" workbookViewId="0">
      <pane ySplit="3" topLeftCell="A1571" activePane="bottomLeft" state="frozen"/>
      <selection pane="bottomLeft" activeCell="E1582" sqref="E1582"/>
    </sheetView>
  </sheetViews>
  <sheetFormatPr defaultColWidth="9.109375" defaultRowHeight="14.4" x14ac:dyDescent="0.3"/>
  <cols>
    <col min="1" max="1" width="5.44140625" style="119" customWidth="1"/>
    <col min="2" max="2" width="11.5546875" style="120" customWidth="1"/>
    <col min="3" max="3" width="31.6640625" style="119" customWidth="1"/>
    <col min="4" max="4" width="15.88671875" style="119" customWidth="1"/>
    <col min="5" max="5" width="11.5546875" style="203" customWidth="1"/>
    <col min="6" max="6" width="12.109375" style="119" customWidth="1"/>
    <col min="7" max="7" width="11.44140625" style="137" customWidth="1"/>
    <col min="8" max="8" width="14.33203125" style="118" bestFit="1" customWidth="1"/>
    <col min="9" max="9" width="11.109375" style="118" bestFit="1" customWidth="1"/>
    <col min="10" max="10" width="17.88671875" style="144" bestFit="1" customWidth="1"/>
    <col min="11" max="12" width="9.109375" style="118"/>
    <col min="13" max="16384" width="9.109375" style="119"/>
  </cols>
  <sheetData>
    <row r="1" spans="1:12" x14ac:dyDescent="0.3">
      <c r="F1" s="119" t="s">
        <v>1460</v>
      </c>
      <c r="G1" s="137">
        <f>SUM(G4:G1048576)</f>
        <v>762181</v>
      </c>
    </row>
    <row r="2" spans="1:12" ht="18" x14ac:dyDescent="0.35">
      <c r="B2" s="121" t="s">
        <v>0</v>
      </c>
      <c r="C2" s="122"/>
      <c r="D2" s="122"/>
      <c r="E2" s="122"/>
      <c r="F2" s="162" t="s">
        <v>1736</v>
      </c>
      <c r="G2" s="161">
        <f>SUBTOTAL(9,G3:G1587)</f>
        <v>762181</v>
      </c>
    </row>
    <row r="3" spans="1:12" s="126" customFormat="1" ht="28.8" x14ac:dyDescent="0.3">
      <c r="A3" s="200" t="s">
        <v>1750</v>
      </c>
      <c r="B3" s="201" t="s">
        <v>2</v>
      </c>
      <c r="C3" s="200" t="s">
        <v>3</v>
      </c>
      <c r="D3" s="202" t="s">
        <v>267</v>
      </c>
      <c r="E3" s="202" t="s">
        <v>1515</v>
      </c>
      <c r="F3" s="202" t="s">
        <v>270</v>
      </c>
      <c r="G3" s="199" t="s">
        <v>1751</v>
      </c>
      <c r="H3" s="145"/>
      <c r="I3" s="145"/>
      <c r="J3" s="146"/>
      <c r="K3" s="145"/>
      <c r="L3" s="145"/>
    </row>
    <row r="4" spans="1:12" s="126" customFormat="1" ht="15" customHeight="1" x14ac:dyDescent="0.3">
      <c r="A4" s="127">
        <v>1</v>
      </c>
      <c r="B4" s="128">
        <v>43160</v>
      </c>
      <c r="C4" s="129" t="s">
        <v>8</v>
      </c>
      <c r="D4" s="218" t="s">
        <v>1516</v>
      </c>
      <c r="E4" s="217" t="s">
        <v>1137</v>
      </c>
      <c r="F4" s="129" t="s">
        <v>1138</v>
      </c>
      <c r="G4" s="195">
        <v>0</v>
      </c>
      <c r="H4" s="145"/>
      <c r="I4" s="145"/>
      <c r="J4" s="145"/>
      <c r="K4" s="145"/>
      <c r="L4" s="145"/>
    </row>
    <row r="5" spans="1:12" s="126" customFormat="1" ht="15" customHeight="1" x14ac:dyDescent="0.3">
      <c r="A5" s="127">
        <v>2</v>
      </c>
      <c r="B5" s="128">
        <v>43160</v>
      </c>
      <c r="C5" s="129" t="s">
        <v>1140</v>
      </c>
      <c r="D5" s="218" t="s">
        <v>1516</v>
      </c>
      <c r="E5" s="217" t="s">
        <v>1137</v>
      </c>
      <c r="F5" s="129" t="s">
        <v>1138</v>
      </c>
      <c r="G5" s="195">
        <v>0</v>
      </c>
      <c r="H5" s="145"/>
      <c r="I5" s="145"/>
      <c r="J5" s="145"/>
      <c r="K5" s="145"/>
      <c r="L5" s="145"/>
    </row>
    <row r="6" spans="1:12" s="126" customFormat="1" ht="15" customHeight="1" x14ac:dyDescent="0.3">
      <c r="A6" s="127">
        <v>3</v>
      </c>
      <c r="B6" s="128">
        <v>43160</v>
      </c>
      <c r="C6" s="129" t="s">
        <v>11</v>
      </c>
      <c r="D6" s="218" t="s">
        <v>1516</v>
      </c>
      <c r="E6" s="217" t="s">
        <v>1137</v>
      </c>
      <c r="F6" s="129" t="s">
        <v>1138</v>
      </c>
      <c r="G6" s="195">
        <v>0</v>
      </c>
      <c r="H6" s="145"/>
      <c r="I6" s="145"/>
      <c r="J6" s="145"/>
      <c r="K6" s="145"/>
      <c r="L6" s="145"/>
    </row>
    <row r="7" spans="1:12" s="126" customFormat="1" ht="15" customHeight="1" x14ac:dyDescent="0.3">
      <c r="A7" s="127">
        <v>4</v>
      </c>
      <c r="B7" s="128">
        <v>43160</v>
      </c>
      <c r="C7" s="129" t="s">
        <v>1143</v>
      </c>
      <c r="D7" s="218" t="s">
        <v>1517</v>
      </c>
      <c r="E7" s="217" t="s">
        <v>1137</v>
      </c>
      <c r="F7" s="129" t="s">
        <v>1138</v>
      </c>
      <c r="G7" s="195">
        <v>0</v>
      </c>
      <c r="H7" s="145"/>
      <c r="I7" s="145"/>
      <c r="J7" s="145"/>
      <c r="K7" s="145"/>
      <c r="L7" s="145"/>
    </row>
    <row r="8" spans="1:12" s="126" customFormat="1" ht="15" customHeight="1" x14ac:dyDescent="0.3">
      <c r="A8" s="127">
        <v>5</v>
      </c>
      <c r="B8" s="230">
        <v>43160</v>
      </c>
      <c r="C8" s="218" t="s">
        <v>1737</v>
      </c>
      <c r="D8" s="218" t="s">
        <v>1516</v>
      </c>
      <c r="E8" s="217" t="s">
        <v>1137</v>
      </c>
      <c r="F8" s="218" t="s">
        <v>1138</v>
      </c>
      <c r="G8" s="231">
        <v>-43050</v>
      </c>
      <c r="H8" s="145"/>
      <c r="I8" s="145"/>
      <c r="J8" s="145"/>
      <c r="K8" s="145"/>
      <c r="L8" s="145"/>
    </row>
    <row r="9" spans="1:12" s="126" customFormat="1" ht="15" customHeight="1" x14ac:dyDescent="0.3">
      <c r="A9" s="127">
        <v>6</v>
      </c>
      <c r="B9" s="128">
        <v>43180</v>
      </c>
      <c r="C9" s="130" t="s">
        <v>4</v>
      </c>
      <c r="D9" s="130" t="s">
        <v>1521</v>
      </c>
      <c r="E9" s="206" t="s">
        <v>269</v>
      </c>
      <c r="F9" s="130" t="s">
        <v>1138</v>
      </c>
      <c r="G9" s="198">
        <v>-2000</v>
      </c>
      <c r="H9" s="145"/>
      <c r="I9" s="145"/>
      <c r="J9" s="145"/>
      <c r="K9" s="145"/>
      <c r="L9" s="145"/>
    </row>
    <row r="10" spans="1:12" s="126" customFormat="1" ht="15" customHeight="1" x14ac:dyDescent="0.3">
      <c r="A10" s="127">
        <v>7</v>
      </c>
      <c r="B10" s="128">
        <v>43180</v>
      </c>
      <c r="C10" s="129" t="s">
        <v>1147</v>
      </c>
      <c r="D10" s="214" t="s">
        <v>1535</v>
      </c>
      <c r="E10" s="213" t="s">
        <v>1137</v>
      </c>
      <c r="F10" s="129" t="s">
        <v>1535</v>
      </c>
      <c r="G10" s="173">
        <v>134700</v>
      </c>
      <c r="H10" s="164">
        <v>134700</v>
      </c>
      <c r="I10" s="145"/>
      <c r="J10" s="146"/>
      <c r="K10" s="145"/>
      <c r="L10" s="145"/>
    </row>
    <row r="11" spans="1:12" s="126" customFormat="1" ht="15" customHeight="1" x14ac:dyDescent="0.3">
      <c r="A11" s="127">
        <v>8</v>
      </c>
      <c r="B11" s="131">
        <v>43189</v>
      </c>
      <c r="C11" s="132" t="s">
        <v>1740</v>
      </c>
      <c r="D11" s="216" t="s">
        <v>1471</v>
      </c>
      <c r="E11" s="217" t="s">
        <v>1137</v>
      </c>
      <c r="F11" s="129" t="s">
        <v>1138</v>
      </c>
      <c r="G11" s="141">
        <v>-200000</v>
      </c>
      <c r="H11" s="145"/>
      <c r="I11" s="145"/>
      <c r="J11" s="145"/>
      <c r="K11" s="145"/>
      <c r="L11" s="145"/>
    </row>
    <row r="12" spans="1:12" s="126" customFormat="1" ht="15" customHeight="1" x14ac:dyDescent="0.3">
      <c r="A12" s="127">
        <v>9</v>
      </c>
      <c r="B12" s="128">
        <v>43191</v>
      </c>
      <c r="C12" s="129" t="s">
        <v>1150</v>
      </c>
      <c r="D12" s="218" t="s">
        <v>1519</v>
      </c>
      <c r="E12" s="217" t="s">
        <v>1137</v>
      </c>
      <c r="F12" s="129" t="s">
        <v>1138</v>
      </c>
      <c r="G12" s="152">
        <v>-100000</v>
      </c>
      <c r="H12" s="145"/>
      <c r="I12" s="145"/>
      <c r="J12" s="145"/>
      <c r="K12" s="145"/>
      <c r="L12" s="145"/>
    </row>
    <row r="13" spans="1:12" s="126" customFormat="1" ht="15" customHeight="1" x14ac:dyDescent="0.3">
      <c r="A13" s="127">
        <v>10</v>
      </c>
      <c r="B13" s="128">
        <v>43191</v>
      </c>
      <c r="C13" s="129" t="s">
        <v>1152</v>
      </c>
      <c r="D13" s="218" t="s">
        <v>1519</v>
      </c>
      <c r="E13" s="217" t="s">
        <v>1137</v>
      </c>
      <c r="F13" s="129" t="s">
        <v>1138</v>
      </c>
      <c r="G13" s="152">
        <v>-54800</v>
      </c>
      <c r="H13" s="145"/>
      <c r="I13" s="145"/>
      <c r="J13" s="145"/>
      <c r="K13" s="145"/>
      <c r="L13" s="145"/>
    </row>
    <row r="14" spans="1:12" s="126" customFormat="1" ht="15" customHeight="1" x14ac:dyDescent="0.3">
      <c r="A14" s="127">
        <v>11</v>
      </c>
      <c r="B14" s="128">
        <v>43191</v>
      </c>
      <c r="C14" s="129" t="s">
        <v>1154</v>
      </c>
      <c r="D14" s="218" t="s">
        <v>1519</v>
      </c>
      <c r="E14" s="217" t="s">
        <v>1137</v>
      </c>
      <c r="F14" s="129" t="s">
        <v>1138</v>
      </c>
      <c r="G14" s="152">
        <v>-8000</v>
      </c>
      <c r="H14" s="145"/>
      <c r="I14" s="145"/>
      <c r="J14" s="145"/>
      <c r="K14" s="145"/>
      <c r="L14" s="145"/>
    </row>
    <row r="15" spans="1:12" s="126" customFormat="1" ht="15" customHeight="1" x14ac:dyDescent="0.3">
      <c r="A15" s="127">
        <v>12</v>
      </c>
      <c r="B15" s="128">
        <v>43191</v>
      </c>
      <c r="C15" s="129" t="s">
        <v>1154</v>
      </c>
      <c r="D15" s="218" t="s">
        <v>1519</v>
      </c>
      <c r="E15" s="217" t="s">
        <v>1137</v>
      </c>
      <c r="F15" s="129" t="s">
        <v>1138</v>
      </c>
      <c r="G15" s="152">
        <v>-1500</v>
      </c>
      <c r="H15" s="145"/>
      <c r="I15" s="145"/>
      <c r="J15" s="145"/>
      <c r="K15" s="145"/>
      <c r="L15" s="145"/>
    </row>
    <row r="16" spans="1:12" s="126" customFormat="1" ht="15" customHeight="1" x14ac:dyDescent="0.3">
      <c r="A16" s="127">
        <v>13</v>
      </c>
      <c r="B16" s="128">
        <v>43191</v>
      </c>
      <c r="C16" s="129" t="s">
        <v>1154</v>
      </c>
      <c r="D16" s="218" t="s">
        <v>1519</v>
      </c>
      <c r="E16" s="217" t="s">
        <v>1137</v>
      </c>
      <c r="F16" s="129" t="s">
        <v>1138</v>
      </c>
      <c r="G16" s="152">
        <v>-2500</v>
      </c>
      <c r="H16" s="145"/>
      <c r="I16" s="145"/>
      <c r="J16" s="145"/>
      <c r="K16" s="145"/>
      <c r="L16" s="145"/>
    </row>
    <row r="17" spans="1:12" s="126" customFormat="1" ht="15" customHeight="1" x14ac:dyDescent="0.3">
      <c r="A17" s="127">
        <v>14</v>
      </c>
      <c r="B17" s="128">
        <v>43191</v>
      </c>
      <c r="C17" s="132" t="s">
        <v>1501</v>
      </c>
      <c r="D17" s="216" t="s">
        <v>1519</v>
      </c>
      <c r="E17" s="217" t="s">
        <v>1137</v>
      </c>
      <c r="F17" s="129" t="s">
        <v>1138</v>
      </c>
      <c r="G17" s="152">
        <v>-22000</v>
      </c>
      <c r="H17" s="145"/>
      <c r="I17" s="145"/>
      <c r="J17" s="145"/>
      <c r="K17" s="145"/>
      <c r="L17" s="145"/>
    </row>
    <row r="18" spans="1:12" ht="15.6" x14ac:dyDescent="0.3">
      <c r="A18" s="127">
        <v>15</v>
      </c>
      <c r="B18" s="128">
        <v>43191</v>
      </c>
      <c r="C18" s="129" t="s">
        <v>1161</v>
      </c>
      <c r="D18" s="218" t="s">
        <v>1521</v>
      </c>
      <c r="E18" s="217" t="s">
        <v>1137</v>
      </c>
      <c r="F18" s="129" t="s">
        <v>1138</v>
      </c>
      <c r="G18" s="152">
        <v>-2500</v>
      </c>
      <c r="J18" s="118"/>
    </row>
    <row r="19" spans="1:12" ht="15.6" x14ac:dyDescent="0.3">
      <c r="A19" s="127">
        <v>16</v>
      </c>
      <c r="B19" s="128">
        <v>43191</v>
      </c>
      <c r="C19" s="129" t="s">
        <v>1163</v>
      </c>
      <c r="D19" s="218" t="s">
        <v>1521</v>
      </c>
      <c r="E19" s="217" t="s">
        <v>1137</v>
      </c>
      <c r="F19" s="129" t="s">
        <v>1138</v>
      </c>
      <c r="G19" s="152">
        <v>-200</v>
      </c>
      <c r="J19" s="118"/>
    </row>
    <row r="20" spans="1:12" ht="15.6" x14ac:dyDescent="0.3">
      <c r="A20" s="127">
        <v>17</v>
      </c>
      <c r="B20" s="128">
        <v>43191</v>
      </c>
      <c r="C20" s="129" t="s">
        <v>1165</v>
      </c>
      <c r="D20" s="218" t="s">
        <v>1521</v>
      </c>
      <c r="E20" s="217" t="s">
        <v>1137</v>
      </c>
      <c r="F20" s="129" t="s">
        <v>1138</v>
      </c>
      <c r="G20" s="152">
        <v>-4500</v>
      </c>
      <c r="J20" s="118"/>
    </row>
    <row r="21" spans="1:12" ht="15.6" x14ac:dyDescent="0.3">
      <c r="A21" s="127">
        <v>18</v>
      </c>
      <c r="B21" s="128">
        <v>43191</v>
      </c>
      <c r="C21" s="129" t="s">
        <v>1167</v>
      </c>
      <c r="D21" s="218" t="s">
        <v>1521</v>
      </c>
      <c r="E21" s="217" t="s">
        <v>1137</v>
      </c>
      <c r="F21" s="129" t="s">
        <v>1138</v>
      </c>
      <c r="G21" s="152">
        <v>-500</v>
      </c>
      <c r="J21" s="118"/>
    </row>
    <row r="22" spans="1:12" ht="15.6" x14ac:dyDescent="0.3">
      <c r="A22" s="127">
        <v>19</v>
      </c>
      <c r="B22" s="128">
        <v>43191</v>
      </c>
      <c r="C22" s="129" t="s">
        <v>1169</v>
      </c>
      <c r="D22" s="218" t="s">
        <v>1521</v>
      </c>
      <c r="E22" s="217" t="s">
        <v>1137</v>
      </c>
      <c r="F22" s="129" t="s">
        <v>1138</v>
      </c>
      <c r="G22" s="152">
        <v>-500</v>
      </c>
      <c r="J22" s="118"/>
    </row>
    <row r="23" spans="1:12" ht="15.6" x14ac:dyDescent="0.3">
      <c r="A23" s="127">
        <v>20</v>
      </c>
      <c r="B23" s="128">
        <v>43191</v>
      </c>
      <c r="C23" s="129" t="s">
        <v>1171</v>
      </c>
      <c r="D23" s="218" t="s">
        <v>1521</v>
      </c>
      <c r="E23" s="217" t="s">
        <v>1137</v>
      </c>
      <c r="F23" s="129" t="s">
        <v>1138</v>
      </c>
      <c r="G23" s="152">
        <v>-3380</v>
      </c>
      <c r="J23" s="118"/>
    </row>
    <row r="24" spans="1:12" ht="15.6" x14ac:dyDescent="0.3">
      <c r="A24" s="127">
        <v>21</v>
      </c>
      <c r="B24" s="128">
        <v>43191</v>
      </c>
      <c r="C24" s="129" t="s">
        <v>1173</v>
      </c>
      <c r="D24" s="218" t="s">
        <v>1521</v>
      </c>
      <c r="E24" s="217" t="s">
        <v>1137</v>
      </c>
      <c r="F24" s="129" t="s">
        <v>1138</v>
      </c>
      <c r="G24" s="152">
        <v>-200</v>
      </c>
      <c r="J24" s="118"/>
    </row>
    <row r="25" spans="1:12" ht="15.6" x14ac:dyDescent="0.3">
      <c r="A25" s="127">
        <v>22</v>
      </c>
      <c r="B25" s="128">
        <v>43191</v>
      </c>
      <c r="C25" s="129" t="s">
        <v>1175</v>
      </c>
      <c r="D25" s="218" t="s">
        <v>1521</v>
      </c>
      <c r="E25" s="217" t="s">
        <v>1137</v>
      </c>
      <c r="F25" s="129" t="s">
        <v>1138</v>
      </c>
      <c r="G25" s="152">
        <v>-2200</v>
      </c>
      <c r="J25" s="118"/>
    </row>
    <row r="26" spans="1:12" ht="15.6" x14ac:dyDescent="0.3">
      <c r="A26" s="127">
        <v>23</v>
      </c>
      <c r="B26" s="128">
        <v>43191</v>
      </c>
      <c r="C26" s="129" t="s">
        <v>1163</v>
      </c>
      <c r="D26" s="218" t="s">
        <v>1521</v>
      </c>
      <c r="E26" s="217" t="s">
        <v>1137</v>
      </c>
      <c r="F26" s="129" t="s">
        <v>1138</v>
      </c>
      <c r="G26" s="152">
        <v>-300</v>
      </c>
      <c r="J26" s="118"/>
    </row>
    <row r="27" spans="1:12" ht="15.6" x14ac:dyDescent="0.3">
      <c r="A27" s="127">
        <v>24</v>
      </c>
      <c r="B27" s="128">
        <v>43191</v>
      </c>
      <c r="C27" s="129" t="s">
        <v>1178</v>
      </c>
      <c r="D27" s="218" t="s">
        <v>1521</v>
      </c>
      <c r="E27" s="217" t="s">
        <v>1137</v>
      </c>
      <c r="F27" s="129" t="s">
        <v>1138</v>
      </c>
      <c r="G27" s="152">
        <v>-1210</v>
      </c>
      <c r="J27" s="118"/>
    </row>
    <row r="28" spans="1:12" ht="15.6" x14ac:dyDescent="0.3">
      <c r="A28" s="127">
        <v>25</v>
      </c>
      <c r="B28" s="128">
        <v>43191</v>
      </c>
      <c r="C28" s="129" t="s">
        <v>139</v>
      </c>
      <c r="D28" s="218" t="s">
        <v>1521</v>
      </c>
      <c r="E28" s="217" t="s">
        <v>1137</v>
      </c>
      <c r="F28" s="129" t="s">
        <v>1138</v>
      </c>
      <c r="G28" s="152">
        <v>-300</v>
      </c>
      <c r="J28" s="118"/>
    </row>
    <row r="29" spans="1:12" ht="15.6" x14ac:dyDescent="0.3">
      <c r="A29" s="127">
        <v>26</v>
      </c>
      <c r="B29" s="128">
        <v>43191</v>
      </c>
      <c r="C29" s="129" t="s">
        <v>1181</v>
      </c>
      <c r="D29" s="218" t="s">
        <v>1521</v>
      </c>
      <c r="E29" s="217" t="s">
        <v>1137</v>
      </c>
      <c r="F29" s="129" t="s">
        <v>1138</v>
      </c>
      <c r="G29" s="152">
        <v>-85</v>
      </c>
      <c r="J29" s="118"/>
    </row>
    <row r="30" spans="1:12" ht="15.6" x14ac:dyDescent="0.3">
      <c r="A30" s="127">
        <v>27</v>
      </c>
      <c r="B30" s="128">
        <v>43191</v>
      </c>
      <c r="C30" s="129" t="s">
        <v>1183</v>
      </c>
      <c r="D30" s="218" t="s">
        <v>1521</v>
      </c>
      <c r="E30" s="217" t="s">
        <v>1137</v>
      </c>
      <c r="F30" s="129" t="s">
        <v>1138</v>
      </c>
      <c r="G30" s="152">
        <v>-30</v>
      </c>
      <c r="J30" s="118"/>
    </row>
    <row r="31" spans="1:12" ht="15.6" x14ac:dyDescent="0.3">
      <c r="A31" s="127">
        <v>28</v>
      </c>
      <c r="B31" s="128">
        <v>43191</v>
      </c>
      <c r="C31" s="129" t="s">
        <v>1185</v>
      </c>
      <c r="D31" s="218" t="s">
        <v>1521</v>
      </c>
      <c r="E31" s="217" t="s">
        <v>1137</v>
      </c>
      <c r="F31" s="129" t="s">
        <v>1138</v>
      </c>
      <c r="G31" s="152">
        <v>-450</v>
      </c>
      <c r="J31" s="118"/>
    </row>
    <row r="32" spans="1:12" ht="15.6" x14ac:dyDescent="0.3">
      <c r="A32" s="127">
        <v>29</v>
      </c>
      <c r="B32" s="128">
        <v>43191</v>
      </c>
      <c r="C32" s="129" t="s">
        <v>62</v>
      </c>
      <c r="D32" s="218" t="s">
        <v>1521</v>
      </c>
      <c r="E32" s="217" t="s">
        <v>1137</v>
      </c>
      <c r="F32" s="129" t="s">
        <v>1138</v>
      </c>
      <c r="G32" s="152">
        <v>-300</v>
      </c>
      <c r="J32" s="118"/>
    </row>
    <row r="33" spans="1:10" ht="15.6" x14ac:dyDescent="0.3">
      <c r="A33" s="127">
        <v>30</v>
      </c>
      <c r="B33" s="128">
        <v>43191</v>
      </c>
      <c r="C33" s="129" t="s">
        <v>1188</v>
      </c>
      <c r="D33" s="218" t="s">
        <v>1521</v>
      </c>
      <c r="E33" s="217" t="s">
        <v>1137</v>
      </c>
      <c r="F33" s="129" t="s">
        <v>1138</v>
      </c>
      <c r="G33" s="152">
        <v>-600</v>
      </c>
      <c r="J33" s="118"/>
    </row>
    <row r="34" spans="1:10" ht="15.6" x14ac:dyDescent="0.3">
      <c r="A34" s="127">
        <v>31</v>
      </c>
      <c r="B34" s="128">
        <v>43191</v>
      </c>
      <c r="C34" s="129" t="s">
        <v>1190</v>
      </c>
      <c r="D34" s="218" t="s">
        <v>1521</v>
      </c>
      <c r="E34" s="217" t="s">
        <v>1137</v>
      </c>
      <c r="F34" s="129" t="s">
        <v>1138</v>
      </c>
      <c r="G34" s="152">
        <v>-340</v>
      </c>
      <c r="J34" s="118"/>
    </row>
    <row r="35" spans="1:10" ht="15.6" x14ac:dyDescent="0.3">
      <c r="A35" s="127">
        <v>32</v>
      </c>
      <c r="B35" s="128">
        <v>43191</v>
      </c>
      <c r="C35" s="129" t="s">
        <v>1192</v>
      </c>
      <c r="D35" s="218" t="s">
        <v>1521</v>
      </c>
      <c r="E35" s="217" t="s">
        <v>1137</v>
      </c>
      <c r="F35" s="129" t="s">
        <v>1138</v>
      </c>
      <c r="G35" s="152">
        <v>-60</v>
      </c>
      <c r="J35" s="118"/>
    </row>
    <row r="36" spans="1:10" ht="15.6" x14ac:dyDescent="0.3">
      <c r="A36" s="127">
        <v>33</v>
      </c>
      <c r="B36" s="128">
        <v>43191</v>
      </c>
      <c r="C36" s="129" t="s">
        <v>1194</v>
      </c>
      <c r="D36" s="218" t="s">
        <v>1521</v>
      </c>
      <c r="E36" s="217" t="s">
        <v>1137</v>
      </c>
      <c r="F36" s="129" t="s">
        <v>1138</v>
      </c>
      <c r="G36" s="152">
        <v>-510</v>
      </c>
      <c r="J36" s="118"/>
    </row>
    <row r="37" spans="1:10" ht="15.6" x14ac:dyDescent="0.3">
      <c r="A37" s="127">
        <v>34</v>
      </c>
      <c r="B37" s="128">
        <v>43191</v>
      </c>
      <c r="C37" s="129" t="s">
        <v>1196</v>
      </c>
      <c r="D37" s="218" t="s">
        <v>1521</v>
      </c>
      <c r="E37" s="217" t="s">
        <v>1137</v>
      </c>
      <c r="F37" s="129" t="s">
        <v>1138</v>
      </c>
      <c r="G37" s="152">
        <v>-340</v>
      </c>
      <c r="J37" s="118"/>
    </row>
    <row r="38" spans="1:10" ht="15.6" x14ac:dyDescent="0.3">
      <c r="A38" s="127">
        <v>35</v>
      </c>
      <c r="B38" s="128">
        <v>43191</v>
      </c>
      <c r="C38" s="129" t="s">
        <v>1198</v>
      </c>
      <c r="D38" s="218" t="s">
        <v>1521</v>
      </c>
      <c r="E38" s="217" t="s">
        <v>1137</v>
      </c>
      <c r="F38" s="129" t="s">
        <v>1138</v>
      </c>
      <c r="G38" s="152">
        <v>-330</v>
      </c>
      <c r="J38" s="118"/>
    </row>
    <row r="39" spans="1:10" ht="15.6" x14ac:dyDescent="0.3">
      <c r="A39" s="127">
        <v>36</v>
      </c>
      <c r="B39" s="128">
        <v>43191</v>
      </c>
      <c r="C39" s="129" t="s">
        <v>1140</v>
      </c>
      <c r="D39" s="218" t="s">
        <v>1516</v>
      </c>
      <c r="E39" s="217" t="s">
        <v>1137</v>
      </c>
      <c r="F39" s="129" t="s">
        <v>1138</v>
      </c>
      <c r="G39" s="195">
        <v>0</v>
      </c>
      <c r="J39" s="118"/>
    </row>
    <row r="40" spans="1:10" ht="15.6" x14ac:dyDescent="0.3">
      <c r="A40" s="127">
        <v>37</v>
      </c>
      <c r="B40" s="128">
        <v>43191</v>
      </c>
      <c r="C40" s="129" t="s">
        <v>1727</v>
      </c>
      <c r="D40" s="218" t="s">
        <v>1516</v>
      </c>
      <c r="E40" s="217" t="s">
        <v>1137</v>
      </c>
      <c r="F40" s="129" t="s">
        <v>1138</v>
      </c>
      <c r="G40" s="195">
        <v>0</v>
      </c>
      <c r="J40" s="118"/>
    </row>
    <row r="41" spans="1:10" ht="15.6" x14ac:dyDescent="0.3">
      <c r="A41" s="127">
        <v>38</v>
      </c>
      <c r="B41" s="128">
        <v>43191</v>
      </c>
      <c r="C41" s="129" t="s">
        <v>8</v>
      </c>
      <c r="D41" s="218" t="s">
        <v>1516</v>
      </c>
      <c r="E41" s="217" t="s">
        <v>1137</v>
      </c>
      <c r="F41" s="129" t="s">
        <v>1138</v>
      </c>
      <c r="G41" s="195">
        <v>0</v>
      </c>
      <c r="J41" s="118"/>
    </row>
    <row r="42" spans="1:10" ht="15.6" x14ac:dyDescent="0.3">
      <c r="A42" s="127">
        <v>39</v>
      </c>
      <c r="B42" s="128">
        <v>43191</v>
      </c>
      <c r="C42" s="129" t="s">
        <v>11</v>
      </c>
      <c r="D42" s="218" t="s">
        <v>1516</v>
      </c>
      <c r="E42" s="217" t="s">
        <v>1137</v>
      </c>
      <c r="F42" s="129" t="s">
        <v>1138</v>
      </c>
      <c r="G42" s="195">
        <v>0</v>
      </c>
      <c r="J42" s="118"/>
    </row>
    <row r="43" spans="1:10" ht="15.6" x14ac:dyDescent="0.3">
      <c r="A43" s="127">
        <v>40</v>
      </c>
      <c r="B43" s="128">
        <v>43191</v>
      </c>
      <c r="C43" s="129" t="s">
        <v>1205</v>
      </c>
      <c r="D43" s="218" t="s">
        <v>1516</v>
      </c>
      <c r="E43" s="217" t="s">
        <v>1137</v>
      </c>
      <c r="F43" s="129" t="s">
        <v>1138</v>
      </c>
      <c r="G43" s="195">
        <v>0</v>
      </c>
      <c r="J43" s="118"/>
    </row>
    <row r="44" spans="1:10" ht="15.6" x14ac:dyDescent="0.3">
      <c r="A44" s="127">
        <v>41</v>
      </c>
      <c r="B44" s="128">
        <v>43191</v>
      </c>
      <c r="C44" s="129" t="s">
        <v>9</v>
      </c>
      <c r="D44" s="218" t="s">
        <v>1516</v>
      </c>
      <c r="E44" s="217" t="s">
        <v>1137</v>
      </c>
      <c r="F44" s="129" t="s">
        <v>1138</v>
      </c>
      <c r="G44" s="195">
        <v>0</v>
      </c>
      <c r="J44" s="118"/>
    </row>
    <row r="45" spans="1:10" ht="15.6" x14ac:dyDescent="0.3">
      <c r="A45" s="127">
        <v>42</v>
      </c>
      <c r="B45" s="128">
        <v>43191</v>
      </c>
      <c r="C45" s="129" t="s">
        <v>1208</v>
      </c>
      <c r="D45" s="218" t="s">
        <v>1516</v>
      </c>
      <c r="E45" s="217" t="s">
        <v>1137</v>
      </c>
      <c r="F45" s="129" t="s">
        <v>1138</v>
      </c>
      <c r="G45" s="195">
        <v>0</v>
      </c>
      <c r="J45" s="118"/>
    </row>
    <row r="46" spans="1:10" ht="15.6" x14ac:dyDescent="0.3">
      <c r="A46" s="127">
        <v>43</v>
      </c>
      <c r="B46" s="128">
        <v>43191</v>
      </c>
      <c r="C46" s="129" t="s">
        <v>1210</v>
      </c>
      <c r="D46" s="218" t="s">
        <v>1516</v>
      </c>
      <c r="E46" s="217" t="s">
        <v>1137</v>
      </c>
      <c r="F46" s="129" t="s">
        <v>1138</v>
      </c>
      <c r="G46" s="195">
        <v>0</v>
      </c>
      <c r="J46" s="118"/>
    </row>
    <row r="47" spans="1:10" ht="15.6" x14ac:dyDescent="0.3">
      <c r="A47" s="127">
        <v>44</v>
      </c>
      <c r="B47" s="128">
        <v>43191</v>
      </c>
      <c r="C47" s="129" t="s">
        <v>1212</v>
      </c>
      <c r="D47" s="218" t="s">
        <v>1516</v>
      </c>
      <c r="E47" s="217" t="s">
        <v>1137</v>
      </c>
      <c r="F47" s="129" t="s">
        <v>1138</v>
      </c>
      <c r="G47" s="195">
        <v>0</v>
      </c>
      <c r="J47" s="118"/>
    </row>
    <row r="48" spans="1:10" ht="15.6" x14ac:dyDescent="0.3">
      <c r="A48" s="127">
        <v>45</v>
      </c>
      <c r="B48" s="128">
        <v>43191</v>
      </c>
      <c r="C48" s="129" t="s">
        <v>12</v>
      </c>
      <c r="D48" s="218" t="s">
        <v>1516</v>
      </c>
      <c r="E48" s="217" t="s">
        <v>1137</v>
      </c>
      <c r="F48" s="129" t="s">
        <v>1138</v>
      </c>
      <c r="G48" s="195">
        <v>0</v>
      </c>
      <c r="J48" s="118"/>
    </row>
    <row r="49" spans="1:10" ht="15.6" x14ac:dyDescent="0.3">
      <c r="A49" s="127">
        <v>46</v>
      </c>
      <c r="B49" s="128">
        <v>43191</v>
      </c>
      <c r="C49" s="129" t="s">
        <v>1215</v>
      </c>
      <c r="D49" s="218" t="s">
        <v>1516</v>
      </c>
      <c r="E49" s="217" t="s">
        <v>1137</v>
      </c>
      <c r="F49" s="129" t="s">
        <v>1138</v>
      </c>
      <c r="G49" s="195">
        <v>0</v>
      </c>
      <c r="J49" s="118"/>
    </row>
    <row r="50" spans="1:10" ht="15.6" x14ac:dyDescent="0.3">
      <c r="A50" s="127">
        <v>47</v>
      </c>
      <c r="B50" s="128">
        <v>43191</v>
      </c>
      <c r="C50" s="129" t="s">
        <v>1143</v>
      </c>
      <c r="D50" s="218" t="s">
        <v>1517</v>
      </c>
      <c r="E50" s="217" t="s">
        <v>1137</v>
      </c>
      <c r="F50" s="129" t="s">
        <v>1138</v>
      </c>
      <c r="G50" s="195">
        <v>0</v>
      </c>
      <c r="J50" s="118"/>
    </row>
    <row r="51" spans="1:10" ht="15.6" x14ac:dyDescent="0.3">
      <c r="A51" s="127">
        <v>48</v>
      </c>
      <c r="B51" s="128">
        <v>43191</v>
      </c>
      <c r="C51" s="129" t="s">
        <v>7</v>
      </c>
      <c r="D51" s="218" t="s">
        <v>1516</v>
      </c>
      <c r="E51" s="217" t="s">
        <v>1137</v>
      </c>
      <c r="F51" s="129" t="s">
        <v>1138</v>
      </c>
      <c r="G51" s="195">
        <v>0</v>
      </c>
      <c r="J51" s="118"/>
    </row>
    <row r="52" spans="1:10" ht="15.6" x14ac:dyDescent="0.3">
      <c r="A52" s="127">
        <v>49</v>
      </c>
      <c r="B52" s="230">
        <v>43191</v>
      </c>
      <c r="C52" s="218" t="s">
        <v>1737</v>
      </c>
      <c r="D52" s="218" t="s">
        <v>1516</v>
      </c>
      <c r="E52" s="217" t="s">
        <v>1137</v>
      </c>
      <c r="F52" s="218" t="s">
        <v>1138</v>
      </c>
      <c r="G52" s="231">
        <v>-135649</v>
      </c>
      <c r="J52" s="118"/>
    </row>
    <row r="53" spans="1:10" ht="15.6" x14ac:dyDescent="0.3">
      <c r="A53" s="127">
        <v>50</v>
      </c>
      <c r="B53" s="131">
        <v>43191</v>
      </c>
      <c r="C53" s="132" t="s">
        <v>1510</v>
      </c>
      <c r="D53" s="216" t="s">
        <v>1530</v>
      </c>
      <c r="E53" s="217" t="s">
        <v>1137</v>
      </c>
      <c r="F53" s="129" t="s">
        <v>1138</v>
      </c>
      <c r="G53" s="152">
        <v>-22000</v>
      </c>
      <c r="J53" s="118"/>
    </row>
    <row r="54" spans="1:10" ht="15.6" x14ac:dyDescent="0.3">
      <c r="A54" s="127">
        <v>51</v>
      </c>
      <c r="B54" s="131">
        <v>43196</v>
      </c>
      <c r="C54" s="132" t="s">
        <v>1505</v>
      </c>
      <c r="D54" s="216" t="s">
        <v>1471</v>
      </c>
      <c r="E54" s="217" t="s">
        <v>1137</v>
      </c>
      <c r="F54" s="129" t="s">
        <v>1138</v>
      </c>
      <c r="G54" s="141">
        <v>-400000</v>
      </c>
      <c r="J54" s="118"/>
    </row>
    <row r="55" spans="1:10" ht="15.6" x14ac:dyDescent="0.3">
      <c r="A55" s="127">
        <v>52</v>
      </c>
      <c r="B55" s="131">
        <v>43196</v>
      </c>
      <c r="C55" s="132" t="s">
        <v>1697</v>
      </c>
      <c r="D55" s="216" t="s">
        <v>1522</v>
      </c>
      <c r="E55" s="217" t="s">
        <v>1137</v>
      </c>
      <c r="F55" s="129" t="s">
        <v>1138</v>
      </c>
      <c r="G55" s="141">
        <v>-100000</v>
      </c>
      <c r="J55" s="118"/>
    </row>
    <row r="56" spans="1:10" ht="15.6" x14ac:dyDescent="0.3">
      <c r="A56" s="127">
        <v>53</v>
      </c>
      <c r="B56" s="131">
        <v>43201</v>
      </c>
      <c r="C56" s="133" t="s">
        <v>5</v>
      </c>
      <c r="D56" s="133" t="s">
        <v>1520</v>
      </c>
      <c r="E56" s="206" t="s">
        <v>269</v>
      </c>
      <c r="F56" s="129" t="s">
        <v>1148</v>
      </c>
      <c r="G56" s="198">
        <v>0</v>
      </c>
      <c r="J56" s="118"/>
    </row>
    <row r="57" spans="1:10" ht="15.6" x14ac:dyDescent="0.3">
      <c r="A57" s="127">
        <v>54</v>
      </c>
      <c r="B57" s="128">
        <v>43201</v>
      </c>
      <c r="C57" s="129" t="s">
        <v>1221</v>
      </c>
      <c r="D57" s="239" t="s">
        <v>1520</v>
      </c>
      <c r="E57" s="240" t="s">
        <v>1137</v>
      </c>
      <c r="F57" s="129" t="s">
        <v>1148</v>
      </c>
      <c r="G57" s="197">
        <v>500000</v>
      </c>
    </row>
    <row r="58" spans="1:10" ht="15.6" x14ac:dyDescent="0.3">
      <c r="A58" s="127">
        <v>55</v>
      </c>
      <c r="B58" s="128">
        <v>43204</v>
      </c>
      <c r="C58" s="129" t="s">
        <v>1223</v>
      </c>
      <c r="D58" s="239" t="s">
        <v>1520</v>
      </c>
      <c r="E58" s="240" t="s">
        <v>1137</v>
      </c>
      <c r="F58" s="129" t="s">
        <v>1148</v>
      </c>
      <c r="G58" s="197">
        <v>250000</v>
      </c>
    </row>
    <row r="59" spans="1:10" ht="15.6" x14ac:dyDescent="0.3">
      <c r="A59" s="127">
        <v>56</v>
      </c>
      <c r="B59" s="128">
        <v>43204</v>
      </c>
      <c r="C59" s="129" t="s">
        <v>1225</v>
      </c>
      <c r="D59" s="218" t="s">
        <v>1521</v>
      </c>
      <c r="E59" s="217" t="s">
        <v>1137</v>
      </c>
      <c r="F59" s="129" t="s">
        <v>1138</v>
      </c>
      <c r="G59" s="152">
        <v>-2000</v>
      </c>
      <c r="J59" s="118"/>
    </row>
    <row r="60" spans="1:10" ht="15.6" x14ac:dyDescent="0.3">
      <c r="A60" s="127">
        <v>57</v>
      </c>
      <c r="B60" s="131">
        <v>43204</v>
      </c>
      <c r="C60" s="132" t="s">
        <v>1473</v>
      </c>
      <c r="D60" s="216" t="s">
        <v>1471</v>
      </c>
      <c r="E60" s="217" t="s">
        <v>1137</v>
      </c>
      <c r="F60" s="129" t="s">
        <v>1138</v>
      </c>
      <c r="G60" s="141">
        <v>-150000</v>
      </c>
      <c r="J60" s="118"/>
    </row>
    <row r="61" spans="1:10" ht="15.6" x14ac:dyDescent="0.3">
      <c r="A61" s="127">
        <v>58</v>
      </c>
      <c r="B61" s="131">
        <v>43204</v>
      </c>
      <c r="C61" s="132" t="s">
        <v>1490</v>
      </c>
      <c r="D61" s="216" t="s">
        <v>1523</v>
      </c>
      <c r="E61" s="217" t="s">
        <v>1137</v>
      </c>
      <c r="F61" s="129" t="s">
        <v>1138</v>
      </c>
      <c r="G61" s="141">
        <v>-23000</v>
      </c>
      <c r="J61" s="118"/>
    </row>
    <row r="62" spans="1:10" ht="15.6" x14ac:dyDescent="0.3">
      <c r="A62" s="127">
        <v>59</v>
      </c>
      <c r="B62" s="131">
        <v>43204</v>
      </c>
      <c r="C62" s="132" t="s">
        <v>1503</v>
      </c>
      <c r="D62" s="216" t="s">
        <v>1530</v>
      </c>
      <c r="E62" s="217" t="s">
        <v>1137</v>
      </c>
      <c r="F62" s="129" t="s">
        <v>1138</v>
      </c>
      <c r="G62" s="152">
        <v>-120000</v>
      </c>
      <c r="J62" s="118"/>
    </row>
    <row r="63" spans="1:10" ht="15.6" x14ac:dyDescent="0.3">
      <c r="A63" s="127">
        <v>60</v>
      </c>
      <c r="B63" s="131">
        <v>43206</v>
      </c>
      <c r="C63" s="132" t="s">
        <v>1495</v>
      </c>
      <c r="D63" s="216" t="s">
        <v>1522</v>
      </c>
      <c r="E63" s="217" t="s">
        <v>1137</v>
      </c>
      <c r="F63" s="129" t="s">
        <v>1138</v>
      </c>
      <c r="G63" s="141">
        <v>-100000</v>
      </c>
      <c r="J63" s="118"/>
    </row>
    <row r="64" spans="1:10" ht="15.6" x14ac:dyDescent="0.3">
      <c r="A64" s="127">
        <v>61</v>
      </c>
      <c r="B64" s="128">
        <v>43208</v>
      </c>
      <c r="C64" s="129" t="s">
        <v>1227</v>
      </c>
      <c r="D64" s="239" t="s">
        <v>1520</v>
      </c>
      <c r="E64" s="240" t="s">
        <v>1137</v>
      </c>
      <c r="F64" s="129" t="s">
        <v>1148</v>
      </c>
      <c r="G64" s="195">
        <v>400000</v>
      </c>
    </row>
    <row r="65" spans="1:10" ht="15.6" x14ac:dyDescent="0.3">
      <c r="A65" s="127">
        <v>62</v>
      </c>
      <c r="B65" s="131">
        <v>43208</v>
      </c>
      <c r="C65" s="132" t="s">
        <v>1474</v>
      </c>
      <c r="D65" s="216" t="s">
        <v>1471</v>
      </c>
      <c r="E65" s="217" t="s">
        <v>1137</v>
      </c>
      <c r="F65" s="129" t="s">
        <v>1138</v>
      </c>
      <c r="G65" s="141">
        <v>-150000</v>
      </c>
      <c r="J65" s="118"/>
    </row>
    <row r="66" spans="1:10" ht="15.6" x14ac:dyDescent="0.3">
      <c r="A66" s="127">
        <v>63</v>
      </c>
      <c r="B66" s="131">
        <v>43208</v>
      </c>
      <c r="C66" s="132" t="s">
        <v>1506</v>
      </c>
      <c r="D66" s="216" t="s">
        <v>1471</v>
      </c>
      <c r="E66" s="217" t="s">
        <v>1137</v>
      </c>
      <c r="F66" s="129" t="s">
        <v>1138</v>
      </c>
      <c r="G66" s="141">
        <v>-150000</v>
      </c>
      <c r="J66" s="118"/>
    </row>
    <row r="67" spans="1:10" ht="15.6" x14ac:dyDescent="0.3">
      <c r="A67" s="127">
        <v>64</v>
      </c>
      <c r="B67" s="131">
        <v>43208</v>
      </c>
      <c r="C67" s="129" t="s">
        <v>1476</v>
      </c>
      <c r="D67" s="218" t="s">
        <v>1471</v>
      </c>
      <c r="E67" s="217" t="s">
        <v>1137</v>
      </c>
      <c r="F67" s="129" t="s">
        <v>1138</v>
      </c>
      <c r="G67" s="141">
        <v>-50000</v>
      </c>
      <c r="J67" s="118"/>
    </row>
    <row r="68" spans="1:10" ht="15.6" x14ac:dyDescent="0.3">
      <c r="A68" s="127">
        <v>65</v>
      </c>
      <c r="B68" s="128">
        <v>43209</v>
      </c>
      <c r="C68" s="129" t="s">
        <v>1229</v>
      </c>
      <c r="D68" s="239" t="s">
        <v>1520</v>
      </c>
      <c r="E68" s="240" t="s">
        <v>1137</v>
      </c>
      <c r="F68" s="129" t="s">
        <v>1148</v>
      </c>
      <c r="G68" s="195">
        <v>500000</v>
      </c>
    </row>
    <row r="69" spans="1:10" ht="15.6" x14ac:dyDescent="0.3">
      <c r="A69" s="127">
        <v>66</v>
      </c>
      <c r="B69" s="131">
        <v>43209</v>
      </c>
      <c r="C69" s="132" t="s">
        <v>1490</v>
      </c>
      <c r="D69" s="216" t="s">
        <v>1523</v>
      </c>
      <c r="E69" s="217" t="s">
        <v>1137</v>
      </c>
      <c r="F69" s="129" t="s">
        <v>1138</v>
      </c>
      <c r="G69" s="141">
        <v>-200000</v>
      </c>
      <c r="J69" s="118"/>
    </row>
    <row r="70" spans="1:10" ht="15.6" x14ac:dyDescent="0.3">
      <c r="A70" s="127">
        <v>67</v>
      </c>
      <c r="B70" s="131">
        <v>43210</v>
      </c>
      <c r="C70" s="132" t="s">
        <v>1491</v>
      </c>
      <c r="D70" s="216" t="s">
        <v>1523</v>
      </c>
      <c r="E70" s="217" t="s">
        <v>1137</v>
      </c>
      <c r="F70" s="129" t="s">
        <v>1138</v>
      </c>
      <c r="G70" s="141">
        <v>-300000</v>
      </c>
      <c r="J70" s="118"/>
    </row>
    <row r="71" spans="1:10" ht="15.6" x14ac:dyDescent="0.3">
      <c r="A71" s="127">
        <v>68</v>
      </c>
      <c r="B71" s="131">
        <v>43210</v>
      </c>
      <c r="C71" s="132" t="s">
        <v>1496</v>
      </c>
      <c r="D71" s="216" t="s">
        <v>1522</v>
      </c>
      <c r="E71" s="217" t="s">
        <v>1137</v>
      </c>
      <c r="F71" s="129" t="s">
        <v>1138</v>
      </c>
      <c r="G71" s="141">
        <v>-50000</v>
      </c>
      <c r="J71" s="118"/>
    </row>
    <row r="72" spans="1:10" ht="15.6" x14ac:dyDescent="0.3">
      <c r="A72" s="127">
        <v>69</v>
      </c>
      <c r="B72" s="128">
        <v>43213</v>
      </c>
      <c r="C72" s="129" t="s">
        <v>1231</v>
      </c>
      <c r="D72" s="218" t="s">
        <v>1520</v>
      </c>
      <c r="E72" s="217" t="s">
        <v>1137</v>
      </c>
      <c r="F72" s="129" t="s">
        <v>1148</v>
      </c>
      <c r="G72" s="195">
        <v>300000</v>
      </c>
    </row>
    <row r="73" spans="1:10" ht="15.6" x14ac:dyDescent="0.3">
      <c r="A73" s="127">
        <v>70</v>
      </c>
      <c r="B73" s="131">
        <v>43213</v>
      </c>
      <c r="C73" s="132" t="s">
        <v>1492</v>
      </c>
      <c r="D73" s="216" t="s">
        <v>1523</v>
      </c>
      <c r="E73" s="217" t="s">
        <v>1137</v>
      </c>
      <c r="F73" s="129" t="s">
        <v>1138</v>
      </c>
      <c r="G73" s="141">
        <v>-200000</v>
      </c>
      <c r="J73" s="118"/>
    </row>
    <row r="74" spans="1:10" ht="15.6" x14ac:dyDescent="0.3">
      <c r="A74" s="127">
        <v>71</v>
      </c>
      <c r="B74" s="131">
        <v>43213</v>
      </c>
      <c r="C74" s="132" t="s">
        <v>1511</v>
      </c>
      <c r="D74" s="216" t="s">
        <v>1530</v>
      </c>
      <c r="E74" s="217" t="s">
        <v>1137</v>
      </c>
      <c r="F74" s="129" t="s">
        <v>1138</v>
      </c>
      <c r="G74" s="152">
        <v>-35000</v>
      </c>
      <c r="J74" s="118"/>
    </row>
    <row r="75" spans="1:10" ht="15.6" x14ac:dyDescent="0.3">
      <c r="A75" s="127">
        <v>72</v>
      </c>
      <c r="B75" s="131">
        <v>43216</v>
      </c>
      <c r="C75" s="132" t="s">
        <v>1475</v>
      </c>
      <c r="D75" s="216" t="s">
        <v>1471</v>
      </c>
      <c r="E75" s="217" t="s">
        <v>1137</v>
      </c>
      <c r="F75" s="129" t="s">
        <v>1138</v>
      </c>
      <c r="G75" s="141">
        <v>-50000</v>
      </c>
      <c r="J75" s="118"/>
    </row>
    <row r="76" spans="1:10" ht="15.6" x14ac:dyDescent="0.3">
      <c r="A76" s="127">
        <v>73</v>
      </c>
      <c r="B76" s="131">
        <v>43216</v>
      </c>
      <c r="C76" s="129" t="s">
        <v>1472</v>
      </c>
      <c r="D76" s="218" t="s">
        <v>1471</v>
      </c>
      <c r="E76" s="217" t="s">
        <v>1137</v>
      </c>
      <c r="F76" s="129" t="s">
        <v>1138</v>
      </c>
      <c r="G76" s="141">
        <v>-150000</v>
      </c>
      <c r="J76" s="118"/>
    </row>
    <row r="77" spans="1:10" ht="15.6" x14ac:dyDescent="0.3">
      <c r="A77" s="127">
        <v>74</v>
      </c>
      <c r="B77" s="128">
        <v>43219</v>
      </c>
      <c r="C77" s="129" t="s">
        <v>1233</v>
      </c>
      <c r="D77" s="239" t="s">
        <v>1520</v>
      </c>
      <c r="E77" s="240" t="s">
        <v>1137</v>
      </c>
      <c r="F77" s="129" t="s">
        <v>1148</v>
      </c>
      <c r="G77" s="195">
        <v>300000</v>
      </c>
    </row>
    <row r="78" spans="1:10" ht="15.6" x14ac:dyDescent="0.3">
      <c r="A78" s="127">
        <v>75</v>
      </c>
      <c r="B78" s="131">
        <v>43220</v>
      </c>
      <c r="C78" s="132" t="s">
        <v>1477</v>
      </c>
      <c r="D78" s="216" t="s">
        <v>1471</v>
      </c>
      <c r="E78" s="217" t="s">
        <v>1137</v>
      </c>
      <c r="F78" s="129" t="s">
        <v>1138</v>
      </c>
      <c r="G78" s="141">
        <v>-150000</v>
      </c>
      <c r="J78" s="118"/>
    </row>
    <row r="79" spans="1:10" ht="15.6" x14ac:dyDescent="0.3">
      <c r="A79" s="127">
        <v>76</v>
      </c>
      <c r="B79" s="131">
        <v>43220</v>
      </c>
      <c r="C79" s="132" t="s">
        <v>1497</v>
      </c>
      <c r="D79" s="216" t="s">
        <v>1522</v>
      </c>
      <c r="E79" s="217" t="s">
        <v>1137</v>
      </c>
      <c r="F79" s="129" t="s">
        <v>1138</v>
      </c>
      <c r="G79" s="141">
        <v>-50000</v>
      </c>
      <c r="J79" s="118"/>
    </row>
    <row r="80" spans="1:10" ht="15.6" x14ac:dyDescent="0.3">
      <c r="A80" s="127">
        <v>77</v>
      </c>
      <c r="B80" s="128">
        <v>43221</v>
      </c>
      <c r="C80" s="129" t="s">
        <v>1235</v>
      </c>
      <c r="D80" s="218" t="s">
        <v>1521</v>
      </c>
      <c r="E80" s="217" t="s">
        <v>1137</v>
      </c>
      <c r="F80" s="129" t="s">
        <v>1138</v>
      </c>
      <c r="G80" s="152">
        <v>-8000</v>
      </c>
      <c r="J80" s="118"/>
    </row>
    <row r="81" spans="1:10" ht="15.6" x14ac:dyDescent="0.3">
      <c r="A81" s="127">
        <v>78</v>
      </c>
      <c r="B81" s="128">
        <v>43221</v>
      </c>
      <c r="C81" s="129" t="s">
        <v>1237</v>
      </c>
      <c r="D81" s="218" t="s">
        <v>1521</v>
      </c>
      <c r="E81" s="217" t="s">
        <v>1137</v>
      </c>
      <c r="F81" s="129" t="s">
        <v>1138</v>
      </c>
      <c r="G81" s="152">
        <v>-5500</v>
      </c>
      <c r="J81" s="118"/>
    </row>
    <row r="82" spans="1:10" ht="15.6" x14ac:dyDescent="0.3">
      <c r="A82" s="127">
        <v>79</v>
      </c>
      <c r="B82" s="128">
        <v>43221</v>
      </c>
      <c r="C82" s="129" t="s">
        <v>1239</v>
      </c>
      <c r="D82" s="218" t="s">
        <v>1516</v>
      </c>
      <c r="E82" s="217" t="s">
        <v>1137</v>
      </c>
      <c r="F82" s="129" t="s">
        <v>1138</v>
      </c>
      <c r="G82" s="152">
        <v>0</v>
      </c>
      <c r="J82" s="118"/>
    </row>
    <row r="83" spans="1:10" ht="15.6" x14ac:dyDescent="0.3">
      <c r="A83" s="127">
        <v>80</v>
      </c>
      <c r="B83" s="128">
        <v>43221</v>
      </c>
      <c r="C83" s="129" t="s">
        <v>1163</v>
      </c>
      <c r="D83" s="218" t="s">
        <v>1521</v>
      </c>
      <c r="E83" s="217" t="s">
        <v>1137</v>
      </c>
      <c r="F83" s="129" t="s">
        <v>1138</v>
      </c>
      <c r="G83" s="152">
        <v>-1000</v>
      </c>
      <c r="J83" s="118"/>
    </row>
    <row r="84" spans="1:10" ht="15.6" x14ac:dyDescent="0.3">
      <c r="A84" s="127">
        <v>81</v>
      </c>
      <c r="B84" s="128">
        <v>43221</v>
      </c>
      <c r="C84" s="129" t="s">
        <v>1163</v>
      </c>
      <c r="D84" s="218" t="s">
        <v>1521</v>
      </c>
      <c r="E84" s="217" t="s">
        <v>1137</v>
      </c>
      <c r="F84" s="129" t="s">
        <v>1138</v>
      </c>
      <c r="G84" s="152">
        <v>-300</v>
      </c>
      <c r="J84" s="118"/>
    </row>
    <row r="85" spans="1:10" ht="15.6" x14ac:dyDescent="0.3">
      <c r="A85" s="127">
        <v>82</v>
      </c>
      <c r="B85" s="128">
        <v>43221</v>
      </c>
      <c r="C85" s="129" t="s">
        <v>1163</v>
      </c>
      <c r="D85" s="218" t="s">
        <v>1521</v>
      </c>
      <c r="E85" s="217" t="s">
        <v>1137</v>
      </c>
      <c r="F85" s="129" t="s">
        <v>1138</v>
      </c>
      <c r="G85" s="152">
        <v>-100</v>
      </c>
      <c r="J85" s="118"/>
    </row>
    <row r="86" spans="1:10" ht="15.6" x14ac:dyDescent="0.3">
      <c r="A86" s="127">
        <v>83</v>
      </c>
      <c r="B86" s="128">
        <v>43221</v>
      </c>
      <c r="C86" s="129" t="s">
        <v>1244</v>
      </c>
      <c r="D86" s="218" t="s">
        <v>1521</v>
      </c>
      <c r="E86" s="217" t="s">
        <v>1137</v>
      </c>
      <c r="F86" s="129" t="s">
        <v>1138</v>
      </c>
      <c r="G86" s="152">
        <v>-300</v>
      </c>
      <c r="J86" s="118"/>
    </row>
    <row r="87" spans="1:10" ht="15.6" x14ac:dyDescent="0.3">
      <c r="A87" s="127">
        <v>84</v>
      </c>
      <c r="B87" s="128">
        <v>43221</v>
      </c>
      <c r="C87" s="129" t="s">
        <v>1246</v>
      </c>
      <c r="D87" s="218" t="s">
        <v>1521</v>
      </c>
      <c r="E87" s="217" t="s">
        <v>1137</v>
      </c>
      <c r="F87" s="129" t="s">
        <v>1138</v>
      </c>
      <c r="G87" s="152">
        <v>-5000</v>
      </c>
      <c r="J87" s="118"/>
    </row>
    <row r="88" spans="1:10" ht="15.6" x14ac:dyDescent="0.3">
      <c r="A88" s="127">
        <v>85</v>
      </c>
      <c r="B88" s="128">
        <v>43221</v>
      </c>
      <c r="C88" s="129" t="s">
        <v>1248</v>
      </c>
      <c r="D88" s="218" t="s">
        <v>1521</v>
      </c>
      <c r="E88" s="217" t="s">
        <v>1137</v>
      </c>
      <c r="F88" s="129" t="s">
        <v>1138</v>
      </c>
      <c r="G88" s="152">
        <v>-5500</v>
      </c>
      <c r="J88" s="118"/>
    </row>
    <row r="89" spans="1:10" ht="15.6" x14ac:dyDescent="0.3">
      <c r="A89" s="127">
        <v>86</v>
      </c>
      <c r="B89" s="128">
        <v>43221</v>
      </c>
      <c r="C89" s="129" t="s">
        <v>1250</v>
      </c>
      <c r="D89" s="218" t="s">
        <v>1521</v>
      </c>
      <c r="E89" s="217" t="s">
        <v>1137</v>
      </c>
      <c r="F89" s="129" t="s">
        <v>1138</v>
      </c>
      <c r="G89" s="152">
        <v>-9000</v>
      </c>
      <c r="J89" s="118"/>
    </row>
    <row r="90" spans="1:10" ht="15.6" x14ac:dyDescent="0.3">
      <c r="A90" s="127">
        <v>87</v>
      </c>
      <c r="B90" s="128">
        <v>43221</v>
      </c>
      <c r="C90" s="129" t="s">
        <v>1252</v>
      </c>
      <c r="D90" s="218" t="s">
        <v>1521</v>
      </c>
      <c r="E90" s="217" t="s">
        <v>1137</v>
      </c>
      <c r="F90" s="129" t="s">
        <v>1138</v>
      </c>
      <c r="G90" s="152">
        <v>-340</v>
      </c>
      <c r="J90" s="118"/>
    </row>
    <row r="91" spans="1:10" ht="15.6" x14ac:dyDescent="0.3">
      <c r="A91" s="127">
        <v>88</v>
      </c>
      <c r="B91" s="128">
        <v>43221</v>
      </c>
      <c r="C91" s="129" t="s">
        <v>9</v>
      </c>
      <c r="D91" s="218" t="s">
        <v>1516</v>
      </c>
      <c r="E91" s="217" t="s">
        <v>1137</v>
      </c>
      <c r="F91" s="129" t="s">
        <v>1138</v>
      </c>
      <c r="G91" s="152"/>
      <c r="J91" s="118"/>
    </row>
    <row r="92" spans="1:10" ht="15.6" x14ac:dyDescent="0.3">
      <c r="A92" s="127">
        <v>89</v>
      </c>
      <c r="B92" s="128">
        <v>43221</v>
      </c>
      <c r="C92" s="129" t="s">
        <v>12</v>
      </c>
      <c r="D92" s="218" t="s">
        <v>1516</v>
      </c>
      <c r="E92" s="217" t="s">
        <v>1137</v>
      </c>
      <c r="F92" s="129" t="s">
        <v>1138</v>
      </c>
      <c r="G92" s="152"/>
      <c r="J92" s="118"/>
    </row>
    <row r="93" spans="1:10" ht="15.6" x14ac:dyDescent="0.3">
      <c r="A93" s="127">
        <v>90</v>
      </c>
      <c r="B93" s="128">
        <v>43221</v>
      </c>
      <c r="C93" s="129" t="s">
        <v>8</v>
      </c>
      <c r="D93" s="218" t="s">
        <v>1516</v>
      </c>
      <c r="E93" s="217" t="s">
        <v>1137</v>
      </c>
      <c r="F93" s="129" t="s">
        <v>1138</v>
      </c>
      <c r="G93" s="152"/>
      <c r="J93" s="118"/>
    </row>
    <row r="94" spans="1:10" ht="15.6" x14ac:dyDescent="0.3">
      <c r="A94" s="127">
        <v>91</v>
      </c>
      <c r="B94" s="128">
        <v>43221</v>
      </c>
      <c r="C94" s="129" t="s">
        <v>1143</v>
      </c>
      <c r="D94" s="218" t="s">
        <v>1517</v>
      </c>
      <c r="E94" s="217" t="s">
        <v>1137</v>
      </c>
      <c r="F94" s="129" t="s">
        <v>1138</v>
      </c>
      <c r="G94" s="152"/>
      <c r="J94" s="118"/>
    </row>
    <row r="95" spans="1:10" ht="15.6" x14ac:dyDescent="0.3">
      <c r="A95" s="127">
        <v>92</v>
      </c>
      <c r="B95" s="128">
        <v>43221</v>
      </c>
      <c r="C95" s="129" t="s">
        <v>11</v>
      </c>
      <c r="D95" s="218" t="s">
        <v>1516</v>
      </c>
      <c r="E95" s="217" t="s">
        <v>1137</v>
      </c>
      <c r="F95" s="129" t="s">
        <v>1138</v>
      </c>
      <c r="G95" s="152"/>
      <c r="J95" s="118"/>
    </row>
    <row r="96" spans="1:10" ht="15.6" x14ac:dyDescent="0.3">
      <c r="A96" s="127">
        <v>93</v>
      </c>
      <c r="B96" s="128">
        <v>43221</v>
      </c>
      <c r="C96" s="129" t="s">
        <v>1260</v>
      </c>
      <c r="D96" s="218" t="s">
        <v>1516</v>
      </c>
      <c r="E96" s="217" t="s">
        <v>1137</v>
      </c>
      <c r="F96" s="129" t="s">
        <v>1138</v>
      </c>
      <c r="G96" s="152"/>
      <c r="J96" s="118"/>
    </row>
    <row r="97" spans="1:10" ht="15.6" x14ac:dyDescent="0.3">
      <c r="A97" s="127">
        <v>94</v>
      </c>
      <c r="B97" s="128">
        <v>43221</v>
      </c>
      <c r="C97" s="129" t="s">
        <v>1262</v>
      </c>
      <c r="D97" s="218" t="s">
        <v>1516</v>
      </c>
      <c r="E97" s="217" t="s">
        <v>1137</v>
      </c>
      <c r="F97" s="129" t="s">
        <v>1138</v>
      </c>
      <c r="G97" s="152"/>
      <c r="J97" s="118"/>
    </row>
    <row r="98" spans="1:10" ht="15.6" x14ac:dyDescent="0.3">
      <c r="A98" s="127">
        <v>95</v>
      </c>
      <c r="B98" s="230">
        <v>43221</v>
      </c>
      <c r="C98" s="218" t="s">
        <v>1737</v>
      </c>
      <c r="D98" s="218" t="s">
        <v>1516</v>
      </c>
      <c r="E98" s="217" t="s">
        <v>1137</v>
      </c>
      <c r="F98" s="218" t="s">
        <v>1138</v>
      </c>
      <c r="G98" s="231">
        <f>-83600+15000</f>
        <v>-68600</v>
      </c>
      <c r="J98" s="118"/>
    </row>
    <row r="99" spans="1:10" ht="15.6" x14ac:dyDescent="0.3">
      <c r="A99" s="127">
        <v>96</v>
      </c>
      <c r="B99" s="235">
        <v>43221</v>
      </c>
      <c r="C99" s="226" t="s">
        <v>1738</v>
      </c>
      <c r="D99" s="226" t="s">
        <v>1516</v>
      </c>
      <c r="E99" s="221" t="s">
        <v>269</v>
      </c>
      <c r="F99" s="226" t="s">
        <v>1138</v>
      </c>
      <c r="G99" s="236">
        <v>-15000</v>
      </c>
      <c r="J99" s="118"/>
    </row>
    <row r="100" spans="1:10" ht="15.6" x14ac:dyDescent="0.3">
      <c r="A100" s="127">
        <v>97</v>
      </c>
      <c r="B100" s="128">
        <v>43224</v>
      </c>
      <c r="C100" s="129" t="s">
        <v>1267</v>
      </c>
      <c r="D100" s="218" t="s">
        <v>1521</v>
      </c>
      <c r="E100" s="217" t="s">
        <v>1137</v>
      </c>
      <c r="F100" s="129" t="s">
        <v>1138</v>
      </c>
      <c r="G100" s="152">
        <v>-150</v>
      </c>
      <c r="H100" s="160"/>
      <c r="J100" s="118"/>
    </row>
    <row r="101" spans="1:10" ht="15.6" x14ac:dyDescent="0.3">
      <c r="A101" s="127">
        <v>98</v>
      </c>
      <c r="B101" s="128">
        <v>43227</v>
      </c>
      <c r="C101" s="129" t="s">
        <v>1269</v>
      </c>
      <c r="D101" s="218" t="s">
        <v>1521</v>
      </c>
      <c r="E101" s="217" t="s">
        <v>1137</v>
      </c>
      <c r="F101" s="129" t="s">
        <v>1138</v>
      </c>
      <c r="G101" s="152">
        <v>-100</v>
      </c>
      <c r="J101" s="118"/>
    </row>
    <row r="102" spans="1:10" ht="15.6" x14ac:dyDescent="0.3">
      <c r="A102" s="127">
        <v>99</v>
      </c>
      <c r="B102" s="128">
        <v>43229</v>
      </c>
      <c r="C102" s="129" t="s">
        <v>1248</v>
      </c>
      <c r="D102" s="218" t="s">
        <v>1521</v>
      </c>
      <c r="E102" s="217" t="s">
        <v>1137</v>
      </c>
      <c r="F102" s="129" t="s">
        <v>1138</v>
      </c>
      <c r="G102" s="152">
        <v>-300</v>
      </c>
      <c r="I102" s="147"/>
      <c r="J102" s="118"/>
    </row>
    <row r="103" spans="1:10" ht="15.6" x14ac:dyDescent="0.3">
      <c r="A103" s="127">
        <v>100</v>
      </c>
      <c r="B103" s="128">
        <v>43230</v>
      </c>
      <c r="C103" s="129" t="s">
        <v>1269</v>
      </c>
      <c r="D103" s="218" t="s">
        <v>1521</v>
      </c>
      <c r="E103" s="217" t="s">
        <v>1137</v>
      </c>
      <c r="F103" s="129" t="s">
        <v>1138</v>
      </c>
      <c r="G103" s="152">
        <v>-50</v>
      </c>
      <c r="J103" s="118"/>
    </row>
    <row r="104" spans="1:10" ht="15.6" x14ac:dyDescent="0.3">
      <c r="A104" s="127">
        <v>101</v>
      </c>
      <c r="B104" s="131">
        <v>43231</v>
      </c>
      <c r="C104" s="132" t="s">
        <v>1498</v>
      </c>
      <c r="D104" s="216" t="s">
        <v>1522</v>
      </c>
      <c r="E104" s="217" t="s">
        <v>1137</v>
      </c>
      <c r="F104" s="129" t="s">
        <v>1138</v>
      </c>
      <c r="G104" s="141">
        <v>-50000</v>
      </c>
      <c r="J104" s="118"/>
    </row>
    <row r="105" spans="1:10" ht="15.6" x14ac:dyDescent="0.3">
      <c r="A105" s="127">
        <v>102</v>
      </c>
      <c r="B105" s="131">
        <v>43235</v>
      </c>
      <c r="C105" s="132" t="s">
        <v>1499</v>
      </c>
      <c r="D105" s="216" t="s">
        <v>1522</v>
      </c>
      <c r="E105" s="217" t="s">
        <v>1137</v>
      </c>
      <c r="F105" s="129" t="s">
        <v>1138</v>
      </c>
      <c r="G105" s="141">
        <v>-50000</v>
      </c>
      <c r="J105" s="118"/>
    </row>
    <row r="106" spans="1:10" ht="15.6" x14ac:dyDescent="0.3">
      <c r="A106" s="127">
        <v>103</v>
      </c>
      <c r="B106" s="128">
        <v>43236</v>
      </c>
      <c r="C106" s="129" t="s">
        <v>7</v>
      </c>
      <c r="D106" s="129" t="s">
        <v>1516</v>
      </c>
      <c r="E106" s="206" t="s">
        <v>269</v>
      </c>
      <c r="F106" s="150" t="s">
        <v>1138</v>
      </c>
      <c r="G106" s="198">
        <v>0</v>
      </c>
      <c r="J106" s="118"/>
    </row>
    <row r="107" spans="1:10" ht="15.6" x14ac:dyDescent="0.3">
      <c r="A107" s="127">
        <v>104</v>
      </c>
      <c r="B107" s="128">
        <v>43236</v>
      </c>
      <c r="C107" s="129" t="s">
        <v>8</v>
      </c>
      <c r="D107" s="129" t="s">
        <v>1516</v>
      </c>
      <c r="E107" s="206" t="s">
        <v>269</v>
      </c>
      <c r="F107" s="150" t="s">
        <v>1138</v>
      </c>
      <c r="G107" s="198">
        <v>0</v>
      </c>
      <c r="J107" s="118"/>
    </row>
    <row r="108" spans="1:10" ht="15.6" x14ac:dyDescent="0.3">
      <c r="A108" s="127">
        <v>105</v>
      </c>
      <c r="B108" s="128">
        <v>43236</v>
      </c>
      <c r="C108" s="129" t="s">
        <v>9</v>
      </c>
      <c r="D108" s="129" t="s">
        <v>1516</v>
      </c>
      <c r="E108" s="206" t="s">
        <v>269</v>
      </c>
      <c r="F108" s="150" t="s">
        <v>1138</v>
      </c>
      <c r="G108" s="198">
        <v>0</v>
      </c>
      <c r="J108" s="118"/>
    </row>
    <row r="109" spans="1:10" ht="15.6" x14ac:dyDescent="0.3">
      <c r="A109" s="127">
        <v>106</v>
      </c>
      <c r="B109" s="128">
        <v>43236</v>
      </c>
      <c r="C109" s="130" t="s">
        <v>10</v>
      </c>
      <c r="D109" s="130" t="s">
        <v>1516</v>
      </c>
      <c r="E109" s="206" t="s">
        <v>269</v>
      </c>
      <c r="F109" s="151" t="s">
        <v>1138</v>
      </c>
      <c r="G109" s="198">
        <v>0</v>
      </c>
      <c r="J109" s="118"/>
    </row>
    <row r="110" spans="1:10" ht="15.6" x14ac:dyDescent="0.3">
      <c r="A110" s="127">
        <v>107</v>
      </c>
      <c r="B110" s="128">
        <v>43236</v>
      </c>
      <c r="C110" s="130" t="s">
        <v>11</v>
      </c>
      <c r="D110" s="130" t="s">
        <v>1516</v>
      </c>
      <c r="E110" s="206" t="s">
        <v>269</v>
      </c>
      <c r="F110" s="151" t="s">
        <v>1138</v>
      </c>
      <c r="G110" s="198">
        <v>0</v>
      </c>
      <c r="J110" s="118"/>
    </row>
    <row r="111" spans="1:10" ht="15.6" x14ac:dyDescent="0.3">
      <c r="A111" s="127">
        <v>108</v>
      </c>
      <c r="B111" s="128">
        <v>43236</v>
      </c>
      <c r="C111" s="130" t="s">
        <v>12</v>
      </c>
      <c r="D111" s="130" t="s">
        <v>1516</v>
      </c>
      <c r="E111" s="206" t="s">
        <v>269</v>
      </c>
      <c r="F111" s="151" t="s">
        <v>1138</v>
      </c>
      <c r="G111" s="198">
        <v>0</v>
      </c>
      <c r="J111" s="118"/>
    </row>
    <row r="112" spans="1:10" ht="15.6" x14ac:dyDescent="0.3">
      <c r="A112" s="127">
        <v>109</v>
      </c>
      <c r="B112" s="128">
        <v>43236</v>
      </c>
      <c r="C112" s="130" t="s">
        <v>1538</v>
      </c>
      <c r="D112" s="219" t="s">
        <v>1530</v>
      </c>
      <c r="E112" s="220" t="s">
        <v>1137</v>
      </c>
      <c r="F112" s="151" t="s">
        <v>1138</v>
      </c>
      <c r="G112" s="198">
        <v>-48000</v>
      </c>
      <c r="J112" s="118"/>
    </row>
    <row r="113" spans="1:10" ht="15.6" x14ac:dyDescent="0.3">
      <c r="A113" s="127">
        <v>110</v>
      </c>
      <c r="B113" s="128">
        <v>43236</v>
      </c>
      <c r="C113" s="130" t="s">
        <v>1538</v>
      </c>
      <c r="D113" s="219" t="s">
        <v>1530</v>
      </c>
      <c r="E113" s="220" t="s">
        <v>1746</v>
      </c>
      <c r="F113" s="130" t="s">
        <v>1138</v>
      </c>
      <c r="G113" s="198">
        <v>-2000</v>
      </c>
      <c r="J113" s="118"/>
    </row>
    <row r="114" spans="1:10" ht="15.6" x14ac:dyDescent="0.3">
      <c r="A114" s="127" t="s">
        <v>1749</v>
      </c>
      <c r="B114" s="128">
        <v>43236</v>
      </c>
      <c r="C114" s="130" t="s">
        <v>1518</v>
      </c>
      <c r="D114" s="130" t="s">
        <v>1521</v>
      </c>
      <c r="E114" s="206" t="s">
        <v>269</v>
      </c>
      <c r="F114" s="151" t="s">
        <v>1138</v>
      </c>
      <c r="G114" s="198">
        <v>-627</v>
      </c>
      <c r="J114" s="118"/>
    </row>
    <row r="115" spans="1:10" ht="15.6" x14ac:dyDescent="0.3">
      <c r="A115" s="127">
        <v>111</v>
      </c>
      <c r="B115" s="128">
        <v>43236</v>
      </c>
      <c r="C115" s="130" t="s">
        <v>1706</v>
      </c>
      <c r="D115" s="130" t="s">
        <v>1521</v>
      </c>
      <c r="E115" s="206" t="s">
        <v>269</v>
      </c>
      <c r="F115" s="151" t="s">
        <v>1138</v>
      </c>
      <c r="G115" s="198">
        <v>-650</v>
      </c>
      <c r="J115" s="118"/>
    </row>
    <row r="116" spans="1:10" ht="15.6" x14ac:dyDescent="0.3">
      <c r="A116" s="127">
        <v>112</v>
      </c>
      <c r="B116" s="128">
        <v>43236</v>
      </c>
      <c r="C116" s="129" t="s">
        <v>1273</v>
      </c>
      <c r="D116" s="239" t="s">
        <v>1520</v>
      </c>
      <c r="E116" s="240" t="s">
        <v>1137</v>
      </c>
      <c r="F116" s="129" t="s">
        <v>1148</v>
      </c>
      <c r="G116" s="195">
        <v>500000</v>
      </c>
      <c r="J116" s="118"/>
    </row>
    <row r="117" spans="1:10" ht="15.6" x14ac:dyDescent="0.3">
      <c r="A117" s="127">
        <v>113</v>
      </c>
      <c r="B117" s="131">
        <v>43241</v>
      </c>
      <c r="C117" s="132" t="s">
        <v>1478</v>
      </c>
      <c r="D117" s="216" t="s">
        <v>1471</v>
      </c>
      <c r="E117" s="217" t="s">
        <v>1137</v>
      </c>
      <c r="F117" s="129" t="s">
        <v>1138</v>
      </c>
      <c r="G117" s="141">
        <v>-100000</v>
      </c>
    </row>
    <row r="118" spans="1:10" ht="15.6" x14ac:dyDescent="0.3">
      <c r="A118" s="127">
        <v>114</v>
      </c>
      <c r="B118" s="131">
        <v>43241</v>
      </c>
      <c r="C118" s="132" t="s">
        <v>1500</v>
      </c>
      <c r="D118" s="216" t="s">
        <v>1522</v>
      </c>
      <c r="E118" s="217" t="s">
        <v>1137</v>
      </c>
      <c r="F118" s="129" t="s">
        <v>1138</v>
      </c>
      <c r="G118" s="141">
        <v>-25000</v>
      </c>
      <c r="J118" s="118"/>
    </row>
    <row r="119" spans="1:10" ht="15.6" x14ac:dyDescent="0.3">
      <c r="A119" s="127">
        <v>115</v>
      </c>
      <c r="B119" s="131">
        <v>43249</v>
      </c>
      <c r="C119" s="132" t="s">
        <v>1479</v>
      </c>
      <c r="D119" s="216" t="s">
        <v>1471</v>
      </c>
      <c r="E119" s="217" t="s">
        <v>1137</v>
      </c>
      <c r="F119" s="129" t="s">
        <v>1138</v>
      </c>
      <c r="G119" s="141">
        <v>-50000</v>
      </c>
      <c r="J119" s="118"/>
    </row>
    <row r="120" spans="1:10" ht="15.6" x14ac:dyDescent="0.3">
      <c r="A120" s="127">
        <v>116</v>
      </c>
      <c r="B120" s="128">
        <v>43250</v>
      </c>
      <c r="C120" s="129" t="s">
        <v>15</v>
      </c>
      <c r="D120" s="226" t="s">
        <v>1519</v>
      </c>
      <c r="E120" s="221" t="s">
        <v>1137</v>
      </c>
      <c r="F120" s="129" t="s">
        <v>1138</v>
      </c>
      <c r="G120" s="152">
        <v>-30000</v>
      </c>
      <c r="J120" s="118"/>
    </row>
    <row r="121" spans="1:10" ht="15.6" x14ac:dyDescent="0.3">
      <c r="A121" s="127">
        <v>117</v>
      </c>
      <c r="B121" s="128">
        <v>43250</v>
      </c>
      <c r="C121" s="129" t="s">
        <v>1502</v>
      </c>
      <c r="D121" s="226" t="s">
        <v>1519</v>
      </c>
      <c r="E121" s="221" t="s">
        <v>269</v>
      </c>
      <c r="F121" s="129" t="s">
        <v>1138</v>
      </c>
      <c r="G121" s="152">
        <v>-2500</v>
      </c>
      <c r="J121" s="118"/>
    </row>
    <row r="122" spans="1:10" ht="15.6" x14ac:dyDescent="0.3">
      <c r="A122" s="127">
        <v>118</v>
      </c>
      <c r="B122" s="128">
        <v>43252</v>
      </c>
      <c r="C122" s="129" t="s">
        <v>9</v>
      </c>
      <c r="D122" s="218" t="s">
        <v>1516</v>
      </c>
      <c r="E122" s="217" t="s">
        <v>1137</v>
      </c>
      <c r="F122" s="129" t="s">
        <v>1138</v>
      </c>
      <c r="G122" s="196">
        <v>0</v>
      </c>
      <c r="J122" s="118"/>
    </row>
    <row r="123" spans="1:10" ht="15.6" x14ac:dyDescent="0.3">
      <c r="A123" s="127">
        <v>119</v>
      </c>
      <c r="B123" s="128">
        <v>43252</v>
      </c>
      <c r="C123" s="129" t="s">
        <v>8</v>
      </c>
      <c r="D123" s="218" t="s">
        <v>1516</v>
      </c>
      <c r="E123" s="217" t="s">
        <v>1137</v>
      </c>
      <c r="F123" s="129" t="s">
        <v>1138</v>
      </c>
      <c r="G123" s="196">
        <v>0</v>
      </c>
      <c r="J123" s="118"/>
    </row>
    <row r="124" spans="1:10" ht="15.6" x14ac:dyDescent="0.3">
      <c r="A124" s="127">
        <v>120</v>
      </c>
      <c r="B124" s="128">
        <v>43252</v>
      </c>
      <c r="C124" s="129" t="s">
        <v>7</v>
      </c>
      <c r="D124" s="218" t="s">
        <v>1516</v>
      </c>
      <c r="E124" s="217" t="s">
        <v>1137</v>
      </c>
      <c r="F124" s="129" t="s">
        <v>1138</v>
      </c>
      <c r="G124" s="196">
        <v>0</v>
      </c>
      <c r="J124" s="118"/>
    </row>
    <row r="125" spans="1:10" ht="15.6" x14ac:dyDescent="0.3">
      <c r="A125" s="127">
        <v>121</v>
      </c>
      <c r="B125" s="128">
        <v>43252</v>
      </c>
      <c r="C125" s="129" t="s">
        <v>12</v>
      </c>
      <c r="D125" s="218" t="s">
        <v>1516</v>
      </c>
      <c r="E125" s="217" t="s">
        <v>1137</v>
      </c>
      <c r="F125" s="129" t="s">
        <v>1138</v>
      </c>
      <c r="G125" s="196">
        <v>0</v>
      </c>
      <c r="J125" s="118"/>
    </row>
    <row r="126" spans="1:10" ht="15.6" x14ac:dyDescent="0.3">
      <c r="A126" s="127">
        <v>122</v>
      </c>
      <c r="B126" s="128">
        <v>43252</v>
      </c>
      <c r="C126" s="129" t="s">
        <v>11</v>
      </c>
      <c r="D126" s="218" t="s">
        <v>1516</v>
      </c>
      <c r="E126" s="217" t="s">
        <v>1137</v>
      </c>
      <c r="F126" s="129" t="s">
        <v>1138</v>
      </c>
      <c r="G126" s="196">
        <v>0</v>
      </c>
      <c r="J126" s="118"/>
    </row>
    <row r="127" spans="1:10" ht="15.6" x14ac:dyDescent="0.3">
      <c r="A127" s="127">
        <v>123</v>
      </c>
      <c r="B127" s="128">
        <v>43252</v>
      </c>
      <c r="C127" s="129" t="s">
        <v>1262</v>
      </c>
      <c r="D127" s="218" t="s">
        <v>1516</v>
      </c>
      <c r="E127" s="217" t="s">
        <v>1137</v>
      </c>
      <c r="F127" s="129" t="s">
        <v>1138</v>
      </c>
      <c r="G127" s="196">
        <v>0</v>
      </c>
      <c r="J127" s="118"/>
    </row>
    <row r="128" spans="1:10" ht="15.6" x14ac:dyDescent="0.3">
      <c r="A128" s="127">
        <v>124</v>
      </c>
      <c r="B128" s="128">
        <v>43252</v>
      </c>
      <c r="C128" s="129" t="s">
        <v>1283</v>
      </c>
      <c r="D128" s="218" t="s">
        <v>1516</v>
      </c>
      <c r="E128" s="217" t="s">
        <v>1137</v>
      </c>
      <c r="F128" s="129" t="s">
        <v>1138</v>
      </c>
      <c r="G128" s="196">
        <v>0</v>
      </c>
      <c r="J128" s="118"/>
    </row>
    <row r="129" spans="1:10" ht="15.6" x14ac:dyDescent="0.3">
      <c r="A129" s="127">
        <v>125</v>
      </c>
      <c r="B129" s="128">
        <v>43252</v>
      </c>
      <c r="C129" s="129" t="s">
        <v>1212</v>
      </c>
      <c r="D129" s="218" t="s">
        <v>1516</v>
      </c>
      <c r="E129" s="217" t="s">
        <v>1137</v>
      </c>
      <c r="F129" s="129" t="s">
        <v>1138</v>
      </c>
      <c r="G129" s="196">
        <v>0</v>
      </c>
      <c r="J129" s="118"/>
    </row>
    <row r="130" spans="1:10" ht="15.6" x14ac:dyDescent="0.3">
      <c r="A130" s="127">
        <v>126</v>
      </c>
      <c r="B130" s="128">
        <v>43252</v>
      </c>
      <c r="C130" s="129" t="s">
        <v>1286</v>
      </c>
      <c r="D130" s="218" t="s">
        <v>1516</v>
      </c>
      <c r="E130" s="217" t="s">
        <v>1137</v>
      </c>
      <c r="F130" s="129" t="s">
        <v>1138</v>
      </c>
      <c r="G130" s="196">
        <v>0</v>
      </c>
      <c r="J130" s="118"/>
    </row>
    <row r="131" spans="1:10" ht="15.6" x14ac:dyDescent="0.3">
      <c r="A131" s="127">
        <v>127</v>
      </c>
      <c r="B131" s="128">
        <v>43252</v>
      </c>
      <c r="C131" s="129" t="s">
        <v>1288</v>
      </c>
      <c r="D131" s="218" t="s">
        <v>1516</v>
      </c>
      <c r="E131" s="217" t="s">
        <v>1137</v>
      </c>
      <c r="F131" s="129" t="s">
        <v>1138</v>
      </c>
      <c r="G131" s="196">
        <v>0</v>
      </c>
      <c r="J131" s="118"/>
    </row>
    <row r="132" spans="1:10" ht="15.6" x14ac:dyDescent="0.3">
      <c r="A132" s="127">
        <v>128</v>
      </c>
      <c r="B132" s="128">
        <v>43252</v>
      </c>
      <c r="C132" s="129" t="s">
        <v>1290</v>
      </c>
      <c r="D132" s="218" t="s">
        <v>1516</v>
      </c>
      <c r="E132" s="217" t="s">
        <v>1137</v>
      </c>
      <c r="F132" s="129" t="s">
        <v>1138</v>
      </c>
      <c r="G132" s="196">
        <v>0</v>
      </c>
      <c r="J132" s="118"/>
    </row>
    <row r="133" spans="1:10" ht="15.6" x14ac:dyDescent="0.3">
      <c r="A133" s="127">
        <v>129</v>
      </c>
      <c r="B133" s="128">
        <v>43252</v>
      </c>
      <c r="C133" s="129" t="s">
        <v>1292</v>
      </c>
      <c r="D133" s="218" t="s">
        <v>1516</v>
      </c>
      <c r="E133" s="217" t="s">
        <v>1137</v>
      </c>
      <c r="F133" s="129" t="s">
        <v>1138</v>
      </c>
      <c r="G133" s="196">
        <v>0</v>
      </c>
      <c r="J133" s="118"/>
    </row>
    <row r="134" spans="1:10" ht="15.6" x14ac:dyDescent="0.3">
      <c r="A134" s="127">
        <v>130</v>
      </c>
      <c r="B134" s="230">
        <v>43252</v>
      </c>
      <c r="C134" s="218" t="s">
        <v>1737</v>
      </c>
      <c r="D134" s="218" t="s">
        <v>1516</v>
      </c>
      <c r="E134" s="217" t="s">
        <v>1137</v>
      </c>
      <c r="F134" s="218" t="s">
        <v>1138</v>
      </c>
      <c r="G134" s="231">
        <v>-51350</v>
      </c>
      <c r="J134" s="118"/>
    </row>
    <row r="135" spans="1:10" ht="15.6" x14ac:dyDescent="0.3">
      <c r="A135" s="127">
        <v>131</v>
      </c>
      <c r="B135" s="131">
        <v>43252</v>
      </c>
      <c r="C135" s="129" t="s">
        <v>1728</v>
      </c>
      <c r="D135" s="218" t="s">
        <v>1522</v>
      </c>
      <c r="E135" s="217" t="s">
        <v>1137</v>
      </c>
      <c r="F135" s="129" t="s">
        <v>1138</v>
      </c>
      <c r="G135" s="141">
        <v>-10800</v>
      </c>
      <c r="J135" s="118"/>
    </row>
    <row r="136" spans="1:10" ht="15.6" x14ac:dyDescent="0.3">
      <c r="A136" s="127">
        <v>132</v>
      </c>
      <c r="B136" s="131">
        <v>43256</v>
      </c>
      <c r="C136" s="132" t="s">
        <v>1504</v>
      </c>
      <c r="D136" s="216" t="s">
        <v>1530</v>
      </c>
      <c r="E136" s="217" t="s">
        <v>1137</v>
      </c>
      <c r="F136" s="129" t="s">
        <v>1138</v>
      </c>
      <c r="G136" s="152">
        <v>-26000</v>
      </c>
      <c r="J136" s="118"/>
    </row>
    <row r="137" spans="1:10" ht="15.6" x14ac:dyDescent="0.3">
      <c r="A137" s="127">
        <v>133</v>
      </c>
      <c r="B137" s="128">
        <v>43258</v>
      </c>
      <c r="C137" s="117" t="s">
        <v>9</v>
      </c>
      <c r="D137" s="222" t="s">
        <v>1516</v>
      </c>
      <c r="E137" s="217" t="s">
        <v>1137</v>
      </c>
      <c r="F137" s="129" t="s">
        <v>1138</v>
      </c>
      <c r="G137" s="152">
        <v>0</v>
      </c>
      <c r="J137" s="118"/>
    </row>
    <row r="138" spans="1:10" ht="15.6" x14ac:dyDescent="0.3">
      <c r="A138" s="127">
        <v>134</v>
      </c>
      <c r="B138" s="128">
        <v>43258</v>
      </c>
      <c r="C138" s="117" t="s">
        <v>11</v>
      </c>
      <c r="D138" s="222" t="s">
        <v>1516</v>
      </c>
      <c r="E138" s="217" t="s">
        <v>1137</v>
      </c>
      <c r="F138" s="129" t="s">
        <v>1138</v>
      </c>
      <c r="G138" s="152">
        <v>0</v>
      </c>
      <c r="J138" s="118"/>
    </row>
    <row r="139" spans="1:10" ht="15.6" x14ac:dyDescent="0.3">
      <c r="A139" s="127">
        <v>135</v>
      </c>
      <c r="B139" s="128">
        <v>43259</v>
      </c>
      <c r="C139" s="117" t="s">
        <v>1702</v>
      </c>
      <c r="D139" s="117" t="s">
        <v>1521</v>
      </c>
      <c r="E139" s="204" t="s">
        <v>269</v>
      </c>
      <c r="F139" s="129" t="s">
        <v>1138</v>
      </c>
      <c r="G139" s="152">
        <v>-120</v>
      </c>
      <c r="J139" s="118"/>
    </row>
    <row r="140" spans="1:10" ht="15.6" x14ac:dyDescent="0.3">
      <c r="A140" s="127">
        <v>136</v>
      </c>
      <c r="B140" s="131">
        <v>43260</v>
      </c>
      <c r="C140" s="129" t="s">
        <v>1483</v>
      </c>
      <c r="D140" s="218" t="s">
        <v>1471</v>
      </c>
      <c r="E140" s="217" t="s">
        <v>1137</v>
      </c>
      <c r="F140" s="129" t="s">
        <v>1138</v>
      </c>
      <c r="G140" s="141">
        <v>-10000</v>
      </c>
      <c r="J140" s="118"/>
    </row>
    <row r="141" spans="1:10" ht="15.6" x14ac:dyDescent="0.3">
      <c r="A141" s="127">
        <v>137</v>
      </c>
      <c r="B141" s="131">
        <v>43262</v>
      </c>
      <c r="C141" s="132" t="s">
        <v>1480</v>
      </c>
      <c r="D141" s="216" t="s">
        <v>1471</v>
      </c>
      <c r="E141" s="217" t="s">
        <v>1137</v>
      </c>
      <c r="F141" s="129" t="s">
        <v>1138</v>
      </c>
      <c r="G141" s="141">
        <v>-50000</v>
      </c>
      <c r="J141" s="118"/>
    </row>
    <row r="142" spans="1:10" ht="15.6" x14ac:dyDescent="0.3">
      <c r="A142" s="127">
        <v>138</v>
      </c>
      <c r="B142" s="131">
        <v>43262</v>
      </c>
      <c r="C142" s="132" t="s">
        <v>1504</v>
      </c>
      <c r="D142" s="216" t="s">
        <v>1530</v>
      </c>
      <c r="E142" s="217" t="s">
        <v>1137</v>
      </c>
      <c r="F142" s="129" t="s">
        <v>1138</v>
      </c>
      <c r="G142" s="152">
        <v>-25000</v>
      </c>
      <c r="J142" s="118"/>
    </row>
    <row r="143" spans="1:10" ht="15.6" x14ac:dyDescent="0.3">
      <c r="A143" s="127">
        <v>139</v>
      </c>
      <c r="B143" s="128">
        <v>43264</v>
      </c>
      <c r="C143" s="129" t="s">
        <v>1298</v>
      </c>
      <c r="D143" s="239" t="s">
        <v>1520</v>
      </c>
      <c r="E143" s="240" t="s">
        <v>1137</v>
      </c>
      <c r="F143" s="129" t="s">
        <v>1148</v>
      </c>
      <c r="G143" s="195">
        <v>300000</v>
      </c>
      <c r="J143" s="118"/>
    </row>
    <row r="144" spans="1:10" ht="15.6" x14ac:dyDescent="0.3">
      <c r="A144" s="127">
        <v>140</v>
      </c>
      <c r="B144" s="131">
        <v>43265</v>
      </c>
      <c r="C144" s="129" t="s">
        <v>1481</v>
      </c>
      <c r="D144" s="218" t="s">
        <v>1471</v>
      </c>
      <c r="E144" s="217" t="s">
        <v>1137</v>
      </c>
      <c r="F144" s="129" t="s">
        <v>1138</v>
      </c>
      <c r="G144" s="141">
        <v>-25000</v>
      </c>
    </row>
    <row r="145" spans="1:10" ht="15.6" x14ac:dyDescent="0.3">
      <c r="A145" s="127">
        <v>141</v>
      </c>
      <c r="B145" s="131">
        <v>43265</v>
      </c>
      <c r="C145" s="132" t="s">
        <v>1507</v>
      </c>
      <c r="D145" s="216" t="s">
        <v>1524</v>
      </c>
      <c r="E145" s="217" t="s">
        <v>1137</v>
      </c>
      <c r="F145" s="129" t="s">
        <v>1138</v>
      </c>
      <c r="G145" s="152">
        <v>-10000</v>
      </c>
      <c r="J145" s="118"/>
    </row>
    <row r="146" spans="1:10" ht="15.6" x14ac:dyDescent="0.3">
      <c r="A146" s="127">
        <v>142</v>
      </c>
      <c r="B146" s="131">
        <v>43278</v>
      </c>
      <c r="C146" s="129" t="s">
        <v>1481</v>
      </c>
      <c r="D146" s="218" t="s">
        <v>1471</v>
      </c>
      <c r="E146" s="217" t="s">
        <v>1137</v>
      </c>
      <c r="F146" s="129" t="s">
        <v>1138</v>
      </c>
      <c r="G146" s="141">
        <v>-25000</v>
      </c>
      <c r="J146" s="118"/>
    </row>
    <row r="147" spans="1:10" ht="15.6" x14ac:dyDescent="0.3">
      <c r="A147" s="127">
        <v>143</v>
      </c>
      <c r="B147" s="131">
        <v>43280</v>
      </c>
      <c r="C147" s="129" t="s">
        <v>1703</v>
      </c>
      <c r="D147" s="129" t="s">
        <v>1521</v>
      </c>
      <c r="E147" s="204" t="s">
        <v>269</v>
      </c>
      <c r="F147" s="129" t="s">
        <v>1138</v>
      </c>
      <c r="G147" s="141">
        <v>-240</v>
      </c>
      <c r="J147" s="118"/>
    </row>
    <row r="148" spans="1:10" ht="15.6" x14ac:dyDescent="0.3">
      <c r="A148" s="127">
        <v>144</v>
      </c>
      <c r="B148" s="158">
        <v>43282</v>
      </c>
      <c r="C148" s="159" t="s">
        <v>1729</v>
      </c>
      <c r="D148" s="159" t="s">
        <v>1516</v>
      </c>
      <c r="E148" s="207" t="s">
        <v>1137</v>
      </c>
      <c r="F148" s="159" t="s">
        <v>1138</v>
      </c>
      <c r="G148" s="170">
        <v>0</v>
      </c>
      <c r="J148" s="118"/>
    </row>
    <row r="149" spans="1:10" ht="15.6" x14ac:dyDescent="0.3">
      <c r="A149" s="127">
        <v>145</v>
      </c>
      <c r="B149" s="158">
        <v>43282</v>
      </c>
      <c r="C149" s="159" t="s">
        <v>1730</v>
      </c>
      <c r="D149" s="159" t="s">
        <v>1516</v>
      </c>
      <c r="E149" s="207" t="s">
        <v>1137</v>
      </c>
      <c r="F149" s="159" t="s">
        <v>1138</v>
      </c>
      <c r="G149" s="170">
        <v>0</v>
      </c>
      <c r="J149" s="118"/>
    </row>
    <row r="150" spans="1:10" ht="15.6" x14ac:dyDescent="0.3">
      <c r="A150" s="127">
        <v>146</v>
      </c>
      <c r="B150" s="158">
        <v>43282</v>
      </c>
      <c r="C150" s="159" t="s">
        <v>1731</v>
      </c>
      <c r="D150" s="159" t="s">
        <v>1516</v>
      </c>
      <c r="E150" s="207" t="s">
        <v>1137</v>
      </c>
      <c r="F150" s="159" t="s">
        <v>1138</v>
      </c>
      <c r="G150" s="170">
        <v>0</v>
      </c>
      <c r="J150" s="118"/>
    </row>
    <row r="151" spans="1:10" ht="15.6" x14ac:dyDescent="0.3">
      <c r="A151" s="127">
        <v>147</v>
      </c>
      <c r="B151" s="158">
        <v>43282</v>
      </c>
      <c r="C151" s="159" t="s">
        <v>1329</v>
      </c>
      <c r="D151" s="159" t="s">
        <v>1516</v>
      </c>
      <c r="E151" s="207" t="s">
        <v>1137</v>
      </c>
      <c r="F151" s="159" t="s">
        <v>1138</v>
      </c>
      <c r="G151" s="170">
        <v>0</v>
      </c>
      <c r="J151" s="118"/>
    </row>
    <row r="152" spans="1:10" ht="15.6" x14ac:dyDescent="0.3">
      <c r="A152" s="127">
        <v>148</v>
      </c>
      <c r="B152" s="158">
        <v>43282</v>
      </c>
      <c r="C152" s="159" t="s">
        <v>1732</v>
      </c>
      <c r="D152" s="159" t="s">
        <v>1516</v>
      </c>
      <c r="E152" s="207" t="s">
        <v>1137</v>
      </c>
      <c r="F152" s="159" t="s">
        <v>1138</v>
      </c>
      <c r="G152" s="170">
        <v>0</v>
      </c>
      <c r="J152" s="118"/>
    </row>
    <row r="153" spans="1:10" ht="15.6" x14ac:dyDescent="0.3">
      <c r="A153" s="127">
        <v>149</v>
      </c>
      <c r="B153" s="158">
        <v>43282</v>
      </c>
      <c r="C153" s="159" t="s">
        <v>21</v>
      </c>
      <c r="D153" s="159" t="s">
        <v>1516</v>
      </c>
      <c r="E153" s="207" t="s">
        <v>1137</v>
      </c>
      <c r="F153" s="159" t="s">
        <v>1138</v>
      </c>
      <c r="G153" s="170">
        <v>0</v>
      </c>
      <c r="J153" s="118"/>
    </row>
    <row r="154" spans="1:10" ht="15.6" x14ac:dyDescent="0.3">
      <c r="A154" s="127">
        <v>150</v>
      </c>
      <c r="B154" s="232">
        <v>43282</v>
      </c>
      <c r="C154" s="218" t="s">
        <v>1737</v>
      </c>
      <c r="D154" s="218" t="s">
        <v>1516</v>
      </c>
      <c r="E154" s="217" t="s">
        <v>1137</v>
      </c>
      <c r="F154" s="218" t="s">
        <v>1138</v>
      </c>
      <c r="G154" s="233">
        <f>-45062+13800</f>
        <v>-31262</v>
      </c>
      <c r="J154" s="118"/>
    </row>
    <row r="155" spans="1:10" ht="15.6" x14ac:dyDescent="0.3">
      <c r="A155" s="127">
        <v>151</v>
      </c>
      <c r="B155" s="237">
        <v>43282</v>
      </c>
      <c r="C155" s="226" t="s">
        <v>1738</v>
      </c>
      <c r="D155" s="226" t="s">
        <v>1516</v>
      </c>
      <c r="E155" s="221" t="s">
        <v>269</v>
      </c>
      <c r="F155" s="226" t="s">
        <v>1138</v>
      </c>
      <c r="G155" s="238">
        <v>-13800</v>
      </c>
      <c r="J155" s="118"/>
    </row>
    <row r="156" spans="1:10" ht="15.6" x14ac:dyDescent="0.3">
      <c r="A156" s="127">
        <v>152</v>
      </c>
      <c r="B156" s="131">
        <v>43282</v>
      </c>
      <c r="C156" s="129"/>
      <c r="D156" s="129"/>
      <c r="E156" s="204"/>
      <c r="F156" s="129"/>
      <c r="G156" s="141"/>
      <c r="H156" s="160"/>
      <c r="J156" s="118"/>
    </row>
    <row r="157" spans="1:10" ht="15.6" x14ac:dyDescent="0.3">
      <c r="A157" s="127">
        <v>153</v>
      </c>
      <c r="B157" s="156">
        <v>43282</v>
      </c>
      <c r="C157" s="150" t="s">
        <v>1539</v>
      </c>
      <c r="D157" s="150" t="s">
        <v>1516</v>
      </c>
      <c r="E157" s="205" t="s">
        <v>1137</v>
      </c>
      <c r="F157" s="150" t="s">
        <v>1138</v>
      </c>
      <c r="G157" s="196">
        <v>0</v>
      </c>
      <c r="J157" s="118"/>
    </row>
    <row r="158" spans="1:10" ht="15.6" x14ac:dyDescent="0.3">
      <c r="A158" s="127">
        <v>154</v>
      </c>
      <c r="B158" s="131">
        <v>43287</v>
      </c>
      <c r="C158" s="129" t="s">
        <v>1482</v>
      </c>
      <c r="D158" s="218" t="s">
        <v>1471</v>
      </c>
      <c r="E158" s="217" t="s">
        <v>1137</v>
      </c>
      <c r="F158" s="129" t="s">
        <v>1138</v>
      </c>
      <c r="G158" s="141">
        <v>-10000</v>
      </c>
      <c r="J158" s="118"/>
    </row>
    <row r="159" spans="1:10" ht="15.6" x14ac:dyDescent="0.3">
      <c r="A159" s="127">
        <v>155</v>
      </c>
      <c r="B159" s="128">
        <v>43289</v>
      </c>
      <c r="C159" s="129" t="s">
        <v>1540</v>
      </c>
      <c r="D159" s="129" t="s">
        <v>1517</v>
      </c>
      <c r="E159" s="206" t="s">
        <v>269</v>
      </c>
      <c r="F159" s="129" t="s">
        <v>1138</v>
      </c>
      <c r="G159" s="198">
        <v>0</v>
      </c>
      <c r="J159" s="118"/>
    </row>
    <row r="160" spans="1:10" ht="15.6" x14ac:dyDescent="0.3">
      <c r="A160" s="127">
        <v>156</v>
      </c>
      <c r="B160" s="156">
        <v>43298</v>
      </c>
      <c r="C160" s="157" t="s">
        <v>7</v>
      </c>
      <c r="D160" s="157" t="s">
        <v>1516</v>
      </c>
      <c r="E160" s="205" t="s">
        <v>1137</v>
      </c>
      <c r="F160" s="150" t="s">
        <v>1138</v>
      </c>
      <c r="G160" s="196">
        <v>0</v>
      </c>
      <c r="J160" s="118"/>
    </row>
    <row r="161" spans="1:10" ht="15.6" x14ac:dyDescent="0.3">
      <c r="A161" s="127">
        <v>157</v>
      </c>
      <c r="B161" s="128">
        <v>43299</v>
      </c>
      <c r="C161" s="133" t="s">
        <v>5</v>
      </c>
      <c r="D161" s="241" t="s">
        <v>1520</v>
      </c>
      <c r="E161" s="242" t="s">
        <v>1137</v>
      </c>
      <c r="F161" s="133" t="s">
        <v>1446</v>
      </c>
      <c r="G161" s="173">
        <v>400000</v>
      </c>
      <c r="J161" s="118"/>
    </row>
    <row r="162" spans="1:10" ht="15.6" x14ac:dyDescent="0.3">
      <c r="A162" s="127">
        <v>158</v>
      </c>
      <c r="B162" s="128">
        <v>43299</v>
      </c>
      <c r="C162" s="133" t="s">
        <v>6</v>
      </c>
      <c r="D162" s="225" t="s">
        <v>1523</v>
      </c>
      <c r="E162" s="220" t="s">
        <v>269</v>
      </c>
      <c r="F162" s="129" t="s">
        <v>1138</v>
      </c>
      <c r="G162" s="198">
        <v>-50000</v>
      </c>
      <c r="J162" s="118"/>
    </row>
    <row r="163" spans="1:10" ht="15.6" x14ac:dyDescent="0.3">
      <c r="A163" s="127">
        <v>159</v>
      </c>
      <c r="B163" s="128">
        <v>43299</v>
      </c>
      <c r="C163" s="129" t="s">
        <v>1541</v>
      </c>
      <c r="D163" s="129" t="s">
        <v>1530</v>
      </c>
      <c r="E163" s="206" t="s">
        <v>269</v>
      </c>
      <c r="F163" s="129" t="s">
        <v>1138</v>
      </c>
      <c r="G163" s="198">
        <v>-38000</v>
      </c>
      <c r="J163" s="118"/>
    </row>
    <row r="164" spans="1:10" ht="15.6" x14ac:dyDescent="0.3">
      <c r="A164" s="127">
        <v>160</v>
      </c>
      <c r="B164" s="128">
        <v>43299</v>
      </c>
      <c r="C164" s="129" t="s">
        <v>7</v>
      </c>
      <c r="D164" s="129" t="s">
        <v>1516</v>
      </c>
      <c r="E164" s="206" t="s">
        <v>269</v>
      </c>
      <c r="F164" s="129" t="s">
        <v>1138</v>
      </c>
      <c r="G164" s="211">
        <v>0</v>
      </c>
      <c r="J164" s="118"/>
    </row>
    <row r="165" spans="1:10" ht="15.6" x14ac:dyDescent="0.3">
      <c r="A165" s="127">
        <v>161</v>
      </c>
      <c r="B165" s="128">
        <v>43299</v>
      </c>
      <c r="C165" s="129" t="s">
        <v>8</v>
      </c>
      <c r="D165" s="129" t="s">
        <v>1516</v>
      </c>
      <c r="E165" s="206" t="s">
        <v>269</v>
      </c>
      <c r="F165" s="129" t="s">
        <v>1138</v>
      </c>
      <c r="G165" s="198">
        <v>0</v>
      </c>
      <c r="H165" s="160"/>
      <c r="J165" s="118"/>
    </row>
    <row r="166" spans="1:10" ht="15.6" x14ac:dyDescent="0.3">
      <c r="A166" s="127">
        <v>162</v>
      </c>
      <c r="B166" s="128">
        <v>43299</v>
      </c>
      <c r="C166" s="129" t="s">
        <v>9</v>
      </c>
      <c r="D166" s="129" t="s">
        <v>1516</v>
      </c>
      <c r="E166" s="206" t="s">
        <v>269</v>
      </c>
      <c r="F166" s="129" t="s">
        <v>1138</v>
      </c>
      <c r="G166" s="211">
        <v>0</v>
      </c>
      <c r="J166" s="118"/>
    </row>
    <row r="167" spans="1:10" ht="15.6" x14ac:dyDescent="0.3">
      <c r="A167" s="127">
        <v>163</v>
      </c>
      <c r="B167" s="156">
        <v>43300</v>
      </c>
      <c r="C167" s="157" t="s">
        <v>7</v>
      </c>
      <c r="D167" s="157" t="s">
        <v>1516</v>
      </c>
      <c r="E167" s="205" t="s">
        <v>1137</v>
      </c>
      <c r="F167" s="150" t="s">
        <v>1138</v>
      </c>
      <c r="G167" s="196">
        <v>0</v>
      </c>
      <c r="J167" s="118"/>
    </row>
    <row r="168" spans="1:10" ht="15.6" x14ac:dyDescent="0.3">
      <c r="A168" s="127">
        <v>164</v>
      </c>
      <c r="B168" s="128">
        <v>43302</v>
      </c>
      <c r="C168" s="129" t="s">
        <v>1542</v>
      </c>
      <c r="D168" s="129" t="s">
        <v>1471</v>
      </c>
      <c r="E168" s="206" t="s">
        <v>269</v>
      </c>
      <c r="F168" s="129" t="s">
        <v>1138</v>
      </c>
      <c r="G168" s="198">
        <v>-100000</v>
      </c>
      <c r="J168" s="118"/>
    </row>
    <row r="169" spans="1:10" ht="15.6" x14ac:dyDescent="0.3">
      <c r="A169" s="127">
        <v>165</v>
      </c>
      <c r="B169" s="128">
        <v>43302</v>
      </c>
      <c r="C169" s="129" t="s">
        <v>1704</v>
      </c>
      <c r="D169" s="129" t="s">
        <v>1521</v>
      </c>
      <c r="E169" s="206" t="s">
        <v>269</v>
      </c>
      <c r="F169" s="129" t="s">
        <v>1138</v>
      </c>
      <c r="G169" s="198">
        <v>-490</v>
      </c>
      <c r="J169" s="118"/>
    </row>
    <row r="170" spans="1:10" ht="15.6" x14ac:dyDescent="0.3">
      <c r="A170" s="127">
        <v>166</v>
      </c>
      <c r="B170" s="128">
        <v>43302</v>
      </c>
      <c r="C170" s="129" t="s">
        <v>1163</v>
      </c>
      <c r="D170" s="129" t="s">
        <v>1521</v>
      </c>
      <c r="E170" s="206" t="s">
        <v>269</v>
      </c>
      <c r="F170" s="129" t="s">
        <v>1138</v>
      </c>
      <c r="G170" s="198">
        <v>-1000</v>
      </c>
      <c r="J170" s="118"/>
    </row>
    <row r="171" spans="1:10" ht="15.6" x14ac:dyDescent="0.3">
      <c r="A171" s="127">
        <v>167</v>
      </c>
      <c r="B171" s="128">
        <v>43305</v>
      </c>
      <c r="C171" s="129" t="s">
        <v>1543</v>
      </c>
      <c r="D171" s="226" t="s">
        <v>1530</v>
      </c>
      <c r="E171" s="220" t="s">
        <v>269</v>
      </c>
      <c r="F171" s="129" t="s">
        <v>1138</v>
      </c>
      <c r="G171" s="198">
        <v>-21000</v>
      </c>
      <c r="J171" s="118"/>
    </row>
    <row r="172" spans="1:10" ht="15.6" x14ac:dyDescent="0.3">
      <c r="A172" s="127">
        <v>168</v>
      </c>
      <c r="B172" s="128">
        <v>43305</v>
      </c>
      <c r="C172" s="129" t="s">
        <v>1544</v>
      </c>
      <c r="D172" s="129" t="s">
        <v>1471</v>
      </c>
      <c r="E172" s="206" t="s">
        <v>269</v>
      </c>
      <c r="F172" s="129" t="s">
        <v>1138</v>
      </c>
      <c r="G172" s="198">
        <v>-25000</v>
      </c>
      <c r="J172" s="118"/>
    </row>
    <row r="173" spans="1:10" ht="15.6" x14ac:dyDescent="0.3">
      <c r="A173" s="127">
        <v>169</v>
      </c>
      <c r="B173" s="128">
        <v>43305</v>
      </c>
      <c r="C173" s="129" t="s">
        <v>21</v>
      </c>
      <c r="D173" s="129" t="s">
        <v>1471</v>
      </c>
      <c r="E173" s="206" t="s">
        <v>269</v>
      </c>
      <c r="F173" s="129" t="s">
        <v>1138</v>
      </c>
      <c r="G173" s="198">
        <v>-2000</v>
      </c>
      <c r="J173" s="118"/>
    </row>
    <row r="174" spans="1:10" ht="15.6" x14ac:dyDescent="0.3">
      <c r="A174" s="127">
        <v>170</v>
      </c>
      <c r="B174" s="128">
        <v>43305</v>
      </c>
      <c r="C174" s="129" t="s">
        <v>12</v>
      </c>
      <c r="D174" s="129" t="s">
        <v>1471</v>
      </c>
      <c r="E174" s="206" t="s">
        <v>269</v>
      </c>
      <c r="F174" s="129" t="s">
        <v>1138</v>
      </c>
      <c r="G174" s="198">
        <v>-2000</v>
      </c>
    </row>
    <row r="175" spans="1:10" ht="15.6" x14ac:dyDescent="0.3">
      <c r="A175" s="127">
        <v>171</v>
      </c>
      <c r="B175" s="128">
        <v>43305</v>
      </c>
      <c r="C175" s="130" t="s">
        <v>1318</v>
      </c>
      <c r="D175" s="223" t="s">
        <v>1521</v>
      </c>
      <c r="E175" s="217" t="s">
        <v>1137</v>
      </c>
      <c r="F175" s="129" t="s">
        <v>1138</v>
      </c>
      <c r="G175" s="152">
        <v>-500</v>
      </c>
      <c r="J175" s="118"/>
    </row>
    <row r="176" spans="1:10" ht="15.6" x14ac:dyDescent="0.3">
      <c r="A176" s="127">
        <v>172</v>
      </c>
      <c r="B176" s="128">
        <v>43305</v>
      </c>
      <c r="C176" s="133" t="s">
        <v>1163</v>
      </c>
      <c r="D176" s="224" t="s">
        <v>1521</v>
      </c>
      <c r="E176" s="217" t="s">
        <v>1137</v>
      </c>
      <c r="F176" s="129" t="s">
        <v>1138</v>
      </c>
      <c r="G176" s="152">
        <v>-100</v>
      </c>
      <c r="J176" s="118"/>
    </row>
    <row r="177" spans="1:10" ht="15.6" x14ac:dyDescent="0.3">
      <c r="A177" s="127">
        <v>173</v>
      </c>
      <c r="B177" s="128">
        <v>43305</v>
      </c>
      <c r="C177" s="133" t="s">
        <v>1321</v>
      </c>
      <c r="D177" s="224" t="s">
        <v>1521</v>
      </c>
      <c r="E177" s="217" t="s">
        <v>1137</v>
      </c>
      <c r="F177" s="129" t="s">
        <v>1138</v>
      </c>
      <c r="G177" s="152">
        <v>-60</v>
      </c>
      <c r="J177" s="118"/>
    </row>
    <row r="178" spans="1:10" ht="15.6" x14ac:dyDescent="0.3">
      <c r="A178" s="127">
        <v>174</v>
      </c>
      <c r="B178" s="128">
        <v>43305</v>
      </c>
      <c r="C178" s="129" t="s">
        <v>1250</v>
      </c>
      <c r="D178" s="218" t="s">
        <v>1521</v>
      </c>
      <c r="E178" s="217" t="s">
        <v>1137</v>
      </c>
      <c r="F178" s="129" t="s">
        <v>1138</v>
      </c>
      <c r="G178" s="152">
        <v>-5000</v>
      </c>
      <c r="J178" s="118"/>
    </row>
    <row r="179" spans="1:10" ht="15.6" x14ac:dyDescent="0.3">
      <c r="A179" s="127">
        <v>175</v>
      </c>
      <c r="B179" s="128">
        <v>43305</v>
      </c>
      <c r="C179" s="129" t="s">
        <v>1324</v>
      </c>
      <c r="D179" s="218" t="s">
        <v>1521</v>
      </c>
      <c r="E179" s="217" t="s">
        <v>1137</v>
      </c>
      <c r="F179" s="129" t="s">
        <v>1138</v>
      </c>
      <c r="G179" s="152">
        <v>-3200</v>
      </c>
      <c r="J179" s="118"/>
    </row>
    <row r="180" spans="1:10" ht="15.6" x14ac:dyDescent="0.3">
      <c r="A180" s="127">
        <v>176</v>
      </c>
      <c r="B180" s="128">
        <v>43305</v>
      </c>
      <c r="C180" s="129" t="s">
        <v>219</v>
      </c>
      <c r="D180" s="218" t="s">
        <v>1521</v>
      </c>
      <c r="E180" s="217" t="s">
        <v>1137</v>
      </c>
      <c r="F180" s="129" t="s">
        <v>1138</v>
      </c>
      <c r="G180" s="152">
        <v>-200</v>
      </c>
      <c r="J180" s="118"/>
    </row>
    <row r="181" spans="1:10" ht="15.6" x14ac:dyDescent="0.3">
      <c r="A181" s="127">
        <v>177</v>
      </c>
      <c r="B181" s="128">
        <v>43305</v>
      </c>
      <c r="C181" s="129" t="s">
        <v>1327</v>
      </c>
      <c r="D181" s="218" t="s">
        <v>1521</v>
      </c>
      <c r="E181" s="217" t="s">
        <v>1137</v>
      </c>
      <c r="F181" s="129" t="s">
        <v>1138</v>
      </c>
      <c r="G181" s="152">
        <v>-1500</v>
      </c>
      <c r="J181" s="118"/>
    </row>
    <row r="182" spans="1:10" ht="15.6" x14ac:dyDescent="0.3">
      <c r="A182" s="127">
        <v>178</v>
      </c>
      <c r="B182" s="156">
        <v>43312</v>
      </c>
      <c r="C182" s="150" t="s">
        <v>1260</v>
      </c>
      <c r="D182" s="150" t="s">
        <v>1516</v>
      </c>
      <c r="E182" s="205" t="s">
        <v>1137</v>
      </c>
      <c r="F182" s="150" t="s">
        <v>1138</v>
      </c>
      <c r="G182" s="196">
        <v>0</v>
      </c>
      <c r="J182" s="118"/>
    </row>
    <row r="183" spans="1:10" ht="15.6" x14ac:dyDescent="0.3">
      <c r="A183" s="127">
        <v>179</v>
      </c>
      <c r="B183" s="128">
        <v>43312</v>
      </c>
      <c r="C183" s="129" t="s">
        <v>1331</v>
      </c>
      <c r="D183" s="218" t="s">
        <v>1516</v>
      </c>
      <c r="E183" s="217" t="s">
        <v>1137</v>
      </c>
      <c r="F183" s="129" t="s">
        <v>1138</v>
      </c>
      <c r="G183" s="152">
        <v>0</v>
      </c>
      <c r="J183" s="118"/>
    </row>
    <row r="184" spans="1:10" ht="15.6" x14ac:dyDescent="0.3">
      <c r="A184" s="127">
        <v>180</v>
      </c>
      <c r="B184" s="131">
        <v>43312</v>
      </c>
      <c r="C184" s="132" t="s">
        <v>1525</v>
      </c>
      <c r="D184" s="216" t="s">
        <v>1522</v>
      </c>
      <c r="E184" s="217" t="s">
        <v>1137</v>
      </c>
      <c r="F184" s="129" t="s">
        <v>1138</v>
      </c>
      <c r="G184" s="141">
        <v>-20000</v>
      </c>
      <c r="J184" s="118"/>
    </row>
    <row r="185" spans="1:10" ht="15.6" x14ac:dyDescent="0.3">
      <c r="A185" s="127">
        <v>181</v>
      </c>
      <c r="B185" s="158">
        <v>43313</v>
      </c>
      <c r="C185" s="159" t="s">
        <v>1329</v>
      </c>
      <c r="D185" s="159" t="s">
        <v>1516</v>
      </c>
      <c r="E185" s="207" t="s">
        <v>1137</v>
      </c>
      <c r="F185" s="159" t="s">
        <v>1138</v>
      </c>
      <c r="G185" s="170">
        <v>0</v>
      </c>
      <c r="J185" s="118"/>
    </row>
    <row r="186" spans="1:10" ht="15.6" x14ac:dyDescent="0.3">
      <c r="A186" s="127">
        <v>182</v>
      </c>
      <c r="B186" s="158">
        <v>43313</v>
      </c>
      <c r="C186" s="159" t="s">
        <v>1729</v>
      </c>
      <c r="D186" s="159" t="s">
        <v>1516</v>
      </c>
      <c r="E186" s="207" t="s">
        <v>1137</v>
      </c>
      <c r="F186" s="159" t="s">
        <v>1138</v>
      </c>
      <c r="G186" s="170">
        <v>0</v>
      </c>
      <c r="J186" s="118"/>
    </row>
    <row r="187" spans="1:10" ht="15.6" x14ac:dyDescent="0.3">
      <c r="A187" s="127">
        <v>183</v>
      </c>
      <c r="B187" s="158">
        <v>43313</v>
      </c>
      <c r="C187" s="159" t="s">
        <v>1735</v>
      </c>
      <c r="D187" s="159" t="s">
        <v>1516</v>
      </c>
      <c r="E187" s="207" t="s">
        <v>1137</v>
      </c>
      <c r="F187" s="159" t="s">
        <v>1138</v>
      </c>
      <c r="G187" s="170">
        <v>0</v>
      </c>
      <c r="J187" s="118"/>
    </row>
    <row r="188" spans="1:10" ht="15.6" x14ac:dyDescent="0.3">
      <c r="A188" s="127">
        <v>184</v>
      </c>
      <c r="B188" s="158">
        <v>43313</v>
      </c>
      <c r="C188" s="159" t="s">
        <v>1733</v>
      </c>
      <c r="D188" s="159" t="s">
        <v>1516</v>
      </c>
      <c r="E188" s="207" t="s">
        <v>1137</v>
      </c>
      <c r="F188" s="159" t="s">
        <v>1138</v>
      </c>
      <c r="G188" s="170">
        <v>0</v>
      </c>
      <c r="J188" s="118"/>
    </row>
    <row r="189" spans="1:10" ht="15.6" x14ac:dyDescent="0.3">
      <c r="A189" s="127">
        <v>185</v>
      </c>
      <c r="B189" s="158">
        <v>43313</v>
      </c>
      <c r="C189" s="159" t="s">
        <v>21</v>
      </c>
      <c r="D189" s="159" t="s">
        <v>1516</v>
      </c>
      <c r="E189" s="207" t="s">
        <v>1137</v>
      </c>
      <c r="F189" s="159" t="s">
        <v>1138</v>
      </c>
      <c r="G189" s="170">
        <v>0</v>
      </c>
      <c r="J189" s="118"/>
    </row>
    <row r="190" spans="1:10" ht="15.6" x14ac:dyDescent="0.3">
      <c r="A190" s="127">
        <v>186</v>
      </c>
      <c r="B190" s="158">
        <v>43313</v>
      </c>
      <c r="C190" s="159" t="s">
        <v>1734</v>
      </c>
      <c r="D190" s="159" t="s">
        <v>1516</v>
      </c>
      <c r="E190" s="207" t="s">
        <v>1137</v>
      </c>
      <c r="F190" s="159" t="s">
        <v>1138</v>
      </c>
      <c r="G190" s="170">
        <v>0</v>
      </c>
      <c r="J190" s="118"/>
    </row>
    <row r="191" spans="1:10" ht="15.6" x14ac:dyDescent="0.3">
      <c r="A191" s="127">
        <v>187</v>
      </c>
      <c r="B191" s="158">
        <v>43313</v>
      </c>
      <c r="C191" s="159" t="s">
        <v>1732</v>
      </c>
      <c r="D191" s="159" t="s">
        <v>1516</v>
      </c>
      <c r="E191" s="207" t="s">
        <v>1137</v>
      </c>
      <c r="F191" s="159" t="s">
        <v>1138</v>
      </c>
      <c r="G191" s="170">
        <v>0</v>
      </c>
      <c r="J191" s="118"/>
    </row>
    <row r="192" spans="1:10" ht="15.6" x14ac:dyDescent="0.3">
      <c r="A192" s="127">
        <v>188</v>
      </c>
      <c r="B192" s="232">
        <v>43313</v>
      </c>
      <c r="C192" s="218" t="s">
        <v>1737</v>
      </c>
      <c r="D192" s="218" t="s">
        <v>1516</v>
      </c>
      <c r="E192" s="217" t="s">
        <v>1137</v>
      </c>
      <c r="F192" s="218" t="s">
        <v>1138</v>
      </c>
      <c r="G192" s="233">
        <f>-126450+83700</f>
        <v>-42750</v>
      </c>
      <c r="J192" s="118"/>
    </row>
    <row r="193" spans="1:10" ht="15.6" x14ac:dyDescent="0.3">
      <c r="A193" s="127">
        <v>189</v>
      </c>
      <c r="B193" s="237">
        <v>43313</v>
      </c>
      <c r="C193" s="226" t="s">
        <v>1738</v>
      </c>
      <c r="D193" s="226" t="s">
        <v>1516</v>
      </c>
      <c r="E193" s="221" t="s">
        <v>269</v>
      </c>
      <c r="F193" s="226" t="s">
        <v>1138</v>
      </c>
      <c r="G193" s="238">
        <f>-83000-700</f>
        <v>-83700</v>
      </c>
      <c r="J193" s="118"/>
    </row>
    <row r="194" spans="1:10" ht="15.6" x14ac:dyDescent="0.3">
      <c r="A194" s="127">
        <v>190</v>
      </c>
      <c r="B194" s="128">
        <v>43318</v>
      </c>
      <c r="C194" s="130" t="s">
        <v>1545</v>
      </c>
      <c r="D194" s="130" t="s">
        <v>1521</v>
      </c>
      <c r="E194" s="206" t="s">
        <v>269</v>
      </c>
      <c r="F194" s="129" t="s">
        <v>1138</v>
      </c>
      <c r="G194" s="198">
        <v>-120</v>
      </c>
      <c r="J194" s="118"/>
    </row>
    <row r="195" spans="1:10" ht="15.6" x14ac:dyDescent="0.3">
      <c r="A195" s="127">
        <v>191</v>
      </c>
      <c r="B195" s="128">
        <v>43320</v>
      </c>
      <c r="C195" s="129" t="s">
        <v>1546</v>
      </c>
      <c r="D195" s="129" t="s">
        <v>1471</v>
      </c>
      <c r="E195" s="206" t="s">
        <v>269</v>
      </c>
      <c r="F195" s="129" t="s">
        <v>1138</v>
      </c>
      <c r="G195" s="198">
        <v>-100000</v>
      </c>
      <c r="J195" s="118"/>
    </row>
    <row r="196" spans="1:10" ht="15.6" x14ac:dyDescent="0.3">
      <c r="A196" s="127">
        <v>192</v>
      </c>
      <c r="B196" s="128">
        <v>43320</v>
      </c>
      <c r="C196" s="129" t="s">
        <v>1260</v>
      </c>
      <c r="D196" s="129" t="s">
        <v>1516</v>
      </c>
      <c r="E196" s="206" t="s">
        <v>269</v>
      </c>
      <c r="F196" s="129" t="s">
        <v>1138</v>
      </c>
      <c r="G196" s="211">
        <v>0</v>
      </c>
      <c r="J196" s="118"/>
    </row>
    <row r="197" spans="1:10" ht="15.6" x14ac:dyDescent="0.3">
      <c r="A197" s="127">
        <v>193</v>
      </c>
      <c r="B197" s="128">
        <v>43323</v>
      </c>
      <c r="C197" s="129" t="s">
        <v>1260</v>
      </c>
      <c r="D197" s="129" t="s">
        <v>1516</v>
      </c>
      <c r="E197" s="206" t="s">
        <v>269</v>
      </c>
      <c r="F197" s="129" t="s">
        <v>1138</v>
      </c>
      <c r="G197" s="211">
        <v>0</v>
      </c>
      <c r="J197" s="118"/>
    </row>
    <row r="198" spans="1:10" ht="15.6" x14ac:dyDescent="0.3">
      <c r="A198" s="127">
        <v>194</v>
      </c>
      <c r="B198" s="128">
        <v>43325</v>
      </c>
      <c r="C198" s="129" t="s">
        <v>1707</v>
      </c>
      <c r="D198" s="129" t="s">
        <v>1516</v>
      </c>
      <c r="E198" s="206" t="s">
        <v>269</v>
      </c>
      <c r="F198" s="129" t="s">
        <v>1138</v>
      </c>
      <c r="G198" s="198">
        <v>0</v>
      </c>
      <c r="J198" s="118"/>
    </row>
    <row r="199" spans="1:10" ht="15.6" x14ac:dyDescent="0.3">
      <c r="A199" s="127">
        <v>195</v>
      </c>
      <c r="B199" s="128">
        <v>43325</v>
      </c>
      <c r="C199" s="129" t="s">
        <v>1260</v>
      </c>
      <c r="D199" s="129" t="s">
        <v>1516</v>
      </c>
      <c r="E199" s="206" t="s">
        <v>269</v>
      </c>
      <c r="F199" s="129" t="s">
        <v>1138</v>
      </c>
      <c r="G199" s="211">
        <v>0</v>
      </c>
      <c r="J199" s="118"/>
    </row>
    <row r="200" spans="1:10" ht="15.6" x14ac:dyDescent="0.3">
      <c r="A200" s="127">
        <v>196</v>
      </c>
      <c r="B200" s="128">
        <v>43325</v>
      </c>
      <c r="C200" s="129" t="s">
        <v>1708</v>
      </c>
      <c r="D200" s="129" t="s">
        <v>1516</v>
      </c>
      <c r="E200" s="206" t="s">
        <v>269</v>
      </c>
      <c r="F200" s="129" t="s">
        <v>1138</v>
      </c>
      <c r="G200" s="198">
        <v>0</v>
      </c>
      <c r="J200" s="118"/>
    </row>
    <row r="201" spans="1:10" ht="15.6" x14ac:dyDescent="0.3">
      <c r="A201" s="127">
        <v>197</v>
      </c>
      <c r="B201" s="128">
        <v>43325</v>
      </c>
      <c r="C201" s="129" t="s">
        <v>1709</v>
      </c>
      <c r="D201" s="129" t="s">
        <v>1516</v>
      </c>
      <c r="E201" s="206" t="s">
        <v>269</v>
      </c>
      <c r="F201" s="129" t="s">
        <v>1138</v>
      </c>
      <c r="G201" s="198">
        <v>0</v>
      </c>
      <c r="J201" s="118"/>
    </row>
    <row r="202" spans="1:10" ht="15.6" x14ac:dyDescent="0.3">
      <c r="A202" s="127">
        <v>198</v>
      </c>
      <c r="B202" s="128">
        <v>43325</v>
      </c>
      <c r="C202" s="129" t="s">
        <v>26</v>
      </c>
      <c r="D202" s="129" t="s">
        <v>1522</v>
      </c>
      <c r="E202" s="206" t="s">
        <v>269</v>
      </c>
      <c r="F202" s="129" t="s">
        <v>1138</v>
      </c>
      <c r="G202" s="198">
        <v>-20000</v>
      </c>
      <c r="J202" s="118"/>
    </row>
    <row r="203" spans="1:10" ht="15.6" x14ac:dyDescent="0.3">
      <c r="A203" s="127">
        <v>199</v>
      </c>
      <c r="B203" s="128">
        <v>43325</v>
      </c>
      <c r="C203" s="129" t="s">
        <v>1547</v>
      </c>
      <c r="D203" s="129" t="s">
        <v>1471</v>
      </c>
      <c r="E203" s="206" t="s">
        <v>269</v>
      </c>
      <c r="F203" s="129" t="s">
        <v>1138</v>
      </c>
      <c r="G203" s="198">
        <v>-118000</v>
      </c>
      <c r="J203" s="118"/>
    </row>
    <row r="204" spans="1:10" ht="15.6" x14ac:dyDescent="0.3">
      <c r="A204" s="127">
        <v>200</v>
      </c>
      <c r="B204" s="128">
        <v>43327</v>
      </c>
      <c r="C204" s="129" t="s">
        <v>26</v>
      </c>
      <c r="D204" s="129" t="s">
        <v>1522</v>
      </c>
      <c r="E204" s="206" t="s">
        <v>269</v>
      </c>
      <c r="F204" s="129" t="s">
        <v>1138</v>
      </c>
      <c r="G204" s="198">
        <v>-30000</v>
      </c>
      <c r="J204" s="118"/>
    </row>
    <row r="205" spans="1:10" ht="15.6" x14ac:dyDescent="0.3">
      <c r="A205" s="127">
        <v>201</v>
      </c>
      <c r="B205" s="128">
        <v>43328</v>
      </c>
      <c r="C205" s="129" t="s">
        <v>7</v>
      </c>
      <c r="D205" s="129" t="s">
        <v>1516</v>
      </c>
      <c r="E205" s="206" t="s">
        <v>269</v>
      </c>
      <c r="F205" s="129" t="s">
        <v>1138</v>
      </c>
      <c r="G205" s="211">
        <v>0</v>
      </c>
      <c r="J205" s="118"/>
    </row>
    <row r="206" spans="1:10" ht="15.6" x14ac:dyDescent="0.3">
      <c r="A206" s="127">
        <v>202</v>
      </c>
      <c r="B206" s="128">
        <v>43328</v>
      </c>
      <c r="C206" s="129" t="s">
        <v>9</v>
      </c>
      <c r="D206" s="129" t="s">
        <v>1516</v>
      </c>
      <c r="E206" s="206" t="s">
        <v>269</v>
      </c>
      <c r="F206" s="129" t="s">
        <v>1138</v>
      </c>
      <c r="G206" s="198">
        <v>0</v>
      </c>
      <c r="J206" s="118"/>
    </row>
    <row r="207" spans="1:10" ht="15.6" x14ac:dyDescent="0.3">
      <c r="A207" s="127">
        <v>203</v>
      </c>
      <c r="B207" s="128">
        <v>43328</v>
      </c>
      <c r="C207" s="129" t="s">
        <v>1260</v>
      </c>
      <c r="D207" s="129" t="s">
        <v>1516</v>
      </c>
      <c r="E207" s="206" t="s">
        <v>269</v>
      </c>
      <c r="F207" s="129" t="s">
        <v>1138</v>
      </c>
      <c r="G207" s="198">
        <v>0</v>
      </c>
      <c r="J207" s="118"/>
    </row>
    <row r="208" spans="1:10" ht="15.6" x14ac:dyDescent="0.3">
      <c r="A208" s="127">
        <v>204</v>
      </c>
      <c r="B208" s="128">
        <v>43328</v>
      </c>
      <c r="C208" s="129" t="s">
        <v>1710</v>
      </c>
      <c r="D208" s="129" t="s">
        <v>1516</v>
      </c>
      <c r="E208" s="206" t="s">
        <v>269</v>
      </c>
      <c r="F208" s="129" t="s">
        <v>1138</v>
      </c>
      <c r="G208" s="198">
        <v>0</v>
      </c>
      <c r="J208" s="118"/>
    </row>
    <row r="209" spans="1:10" ht="15.6" x14ac:dyDescent="0.3">
      <c r="A209" s="127">
        <v>205</v>
      </c>
      <c r="B209" s="128">
        <v>43329</v>
      </c>
      <c r="C209" s="129" t="s">
        <v>9</v>
      </c>
      <c r="D209" s="218" t="s">
        <v>1516</v>
      </c>
      <c r="E209" s="217" t="s">
        <v>1137</v>
      </c>
      <c r="F209" s="129" t="s">
        <v>1138</v>
      </c>
      <c r="G209" s="152">
        <v>0</v>
      </c>
      <c r="J209" s="118"/>
    </row>
    <row r="210" spans="1:10" ht="15.6" x14ac:dyDescent="0.3">
      <c r="A210" s="127">
        <v>206</v>
      </c>
      <c r="B210" s="128">
        <v>43329</v>
      </c>
      <c r="C210" s="129" t="s">
        <v>1334</v>
      </c>
      <c r="D210" s="218" t="s">
        <v>1521</v>
      </c>
      <c r="E210" s="217" t="s">
        <v>1137</v>
      </c>
      <c r="F210" s="129" t="s">
        <v>1138</v>
      </c>
      <c r="G210" s="152">
        <v>-200</v>
      </c>
      <c r="J210" s="118"/>
    </row>
    <row r="211" spans="1:10" ht="15.6" x14ac:dyDescent="0.3">
      <c r="A211" s="127">
        <v>207</v>
      </c>
      <c r="B211" s="128">
        <v>43331</v>
      </c>
      <c r="C211" s="129" t="s">
        <v>1336</v>
      </c>
      <c r="D211" s="239" t="s">
        <v>1520</v>
      </c>
      <c r="E211" s="240" t="s">
        <v>1137</v>
      </c>
      <c r="F211" s="129" t="s">
        <v>1148</v>
      </c>
      <c r="G211" s="195">
        <v>400000</v>
      </c>
      <c r="J211" s="118"/>
    </row>
    <row r="212" spans="1:10" ht="15.6" x14ac:dyDescent="0.3">
      <c r="A212" s="127">
        <v>208</v>
      </c>
      <c r="B212" s="131">
        <v>43332</v>
      </c>
      <c r="C212" s="132" t="s">
        <v>1484</v>
      </c>
      <c r="D212" s="216" t="s">
        <v>1471</v>
      </c>
      <c r="E212" s="217" t="s">
        <v>1137</v>
      </c>
      <c r="F212" s="129" t="s">
        <v>1138</v>
      </c>
      <c r="G212" s="141">
        <v>-50000</v>
      </c>
      <c r="J212" s="118"/>
    </row>
    <row r="213" spans="1:10" ht="15.6" x14ac:dyDescent="0.3">
      <c r="A213" s="127">
        <v>209</v>
      </c>
      <c r="B213" s="131">
        <v>43332</v>
      </c>
      <c r="C213" s="129" t="s">
        <v>1485</v>
      </c>
      <c r="D213" s="218" t="s">
        <v>1471</v>
      </c>
      <c r="E213" s="217" t="s">
        <v>1137</v>
      </c>
      <c r="F213" s="129" t="s">
        <v>1138</v>
      </c>
      <c r="G213" s="141">
        <v>-50000</v>
      </c>
      <c r="J213" s="118"/>
    </row>
    <row r="214" spans="1:10" ht="15.6" x14ac:dyDescent="0.3">
      <c r="A214" s="127">
        <v>210</v>
      </c>
      <c r="B214" s="128">
        <v>43332</v>
      </c>
      <c r="C214" s="129" t="s">
        <v>7</v>
      </c>
      <c r="D214" s="129" t="s">
        <v>1516</v>
      </c>
      <c r="E214" s="206" t="s">
        <v>269</v>
      </c>
      <c r="F214" s="129" t="s">
        <v>1138</v>
      </c>
      <c r="G214" s="198">
        <v>0</v>
      </c>
      <c r="J214" s="118"/>
    </row>
    <row r="215" spans="1:10" ht="15.6" x14ac:dyDescent="0.3">
      <c r="A215" s="127">
        <v>211</v>
      </c>
      <c r="B215" s="128">
        <v>43332</v>
      </c>
      <c r="C215" s="129" t="s">
        <v>1260</v>
      </c>
      <c r="D215" s="129" t="s">
        <v>1516</v>
      </c>
      <c r="E215" s="206" t="s">
        <v>269</v>
      </c>
      <c r="F215" s="129" t="s">
        <v>1138</v>
      </c>
      <c r="G215" s="211">
        <v>0</v>
      </c>
    </row>
    <row r="216" spans="1:10" ht="15.6" x14ac:dyDescent="0.3">
      <c r="A216" s="127">
        <v>212</v>
      </c>
      <c r="B216" s="131">
        <v>43332</v>
      </c>
      <c r="C216" s="132" t="s">
        <v>26</v>
      </c>
      <c r="D216" s="216" t="s">
        <v>1522</v>
      </c>
      <c r="E216" s="217" t="s">
        <v>1137</v>
      </c>
      <c r="F216" s="129" t="s">
        <v>1138</v>
      </c>
      <c r="G216" s="141">
        <v>-30000</v>
      </c>
      <c r="J216" s="118"/>
    </row>
    <row r="217" spans="1:10" ht="15.6" x14ac:dyDescent="0.3">
      <c r="A217" s="127">
        <v>213</v>
      </c>
      <c r="B217" s="131">
        <v>43333</v>
      </c>
      <c r="C217" s="129" t="s">
        <v>1486</v>
      </c>
      <c r="D217" s="218" t="s">
        <v>1471</v>
      </c>
      <c r="E217" s="217" t="s">
        <v>1137</v>
      </c>
      <c r="F217" s="129" t="s">
        <v>1138</v>
      </c>
      <c r="G217" s="141">
        <v>-40000</v>
      </c>
      <c r="J217" s="118"/>
    </row>
    <row r="218" spans="1:10" ht="15.6" x14ac:dyDescent="0.3">
      <c r="A218" s="127">
        <v>214</v>
      </c>
      <c r="B218" s="128">
        <v>43333</v>
      </c>
      <c r="C218" s="129" t="s">
        <v>1338</v>
      </c>
      <c r="D218" s="218" t="s">
        <v>1521</v>
      </c>
      <c r="E218" s="217" t="s">
        <v>1137</v>
      </c>
      <c r="F218" s="129" t="s">
        <v>1138</v>
      </c>
      <c r="G218" s="152">
        <v>-550</v>
      </c>
      <c r="J218" s="118"/>
    </row>
    <row r="219" spans="1:10" ht="15.6" x14ac:dyDescent="0.3">
      <c r="A219" s="127">
        <v>215</v>
      </c>
      <c r="B219" s="128">
        <v>43333</v>
      </c>
      <c r="C219" s="129" t="s">
        <v>1321</v>
      </c>
      <c r="D219" s="218" t="s">
        <v>1521</v>
      </c>
      <c r="E219" s="217" t="s">
        <v>1137</v>
      </c>
      <c r="F219" s="129" t="s">
        <v>1138</v>
      </c>
      <c r="G219" s="152">
        <v>-200</v>
      </c>
      <c r="J219" s="118"/>
    </row>
    <row r="220" spans="1:10" ht="15.6" x14ac:dyDescent="0.3">
      <c r="A220" s="127">
        <v>216</v>
      </c>
      <c r="B220" s="128">
        <v>43333</v>
      </c>
      <c r="C220" s="129" t="s">
        <v>1341</v>
      </c>
      <c r="D220" s="218" t="s">
        <v>1516</v>
      </c>
      <c r="E220" s="217" t="s">
        <v>1137</v>
      </c>
      <c r="F220" s="129" t="s">
        <v>1138</v>
      </c>
      <c r="G220" s="196">
        <v>0</v>
      </c>
      <c r="J220" s="118"/>
    </row>
    <row r="221" spans="1:10" ht="15.6" x14ac:dyDescent="0.3">
      <c r="A221" s="127">
        <v>217</v>
      </c>
      <c r="B221" s="128">
        <v>43333</v>
      </c>
      <c r="C221" s="129" t="s">
        <v>9</v>
      </c>
      <c r="D221" s="218" t="s">
        <v>1516</v>
      </c>
      <c r="E221" s="217" t="s">
        <v>1137</v>
      </c>
      <c r="F221" s="129" t="s">
        <v>1138</v>
      </c>
      <c r="G221" s="152">
        <v>0</v>
      </c>
      <c r="J221" s="118"/>
    </row>
    <row r="222" spans="1:10" ht="15.6" x14ac:dyDescent="0.3">
      <c r="A222" s="127">
        <v>218</v>
      </c>
      <c r="B222" s="128">
        <v>43333</v>
      </c>
      <c r="C222" s="129" t="s">
        <v>1344</v>
      </c>
      <c r="D222" s="218" t="s">
        <v>1516</v>
      </c>
      <c r="E222" s="217" t="s">
        <v>1137</v>
      </c>
      <c r="F222" s="129" t="s">
        <v>1138</v>
      </c>
      <c r="G222" s="152">
        <v>0</v>
      </c>
      <c r="J222" s="118"/>
    </row>
    <row r="223" spans="1:10" ht="15.6" x14ac:dyDescent="0.3">
      <c r="A223" s="127">
        <v>219</v>
      </c>
      <c r="B223" s="128">
        <v>43333</v>
      </c>
      <c r="C223" s="129" t="s">
        <v>12</v>
      </c>
      <c r="D223" s="218" t="s">
        <v>1516</v>
      </c>
      <c r="E223" s="217" t="s">
        <v>1137</v>
      </c>
      <c r="F223" s="129" t="s">
        <v>1138</v>
      </c>
      <c r="G223" s="152">
        <v>0</v>
      </c>
      <c r="J223" s="118"/>
    </row>
    <row r="224" spans="1:10" ht="15.6" x14ac:dyDescent="0.3">
      <c r="A224" s="127">
        <v>220</v>
      </c>
      <c r="B224" s="128">
        <v>43333</v>
      </c>
      <c r="C224" s="129" t="s">
        <v>1347</v>
      </c>
      <c r="D224" s="218" t="s">
        <v>1516</v>
      </c>
      <c r="E224" s="217" t="s">
        <v>1137</v>
      </c>
      <c r="F224" s="129" t="s">
        <v>1138</v>
      </c>
      <c r="G224" s="152">
        <v>0</v>
      </c>
      <c r="J224" s="118"/>
    </row>
    <row r="225" spans="1:10" ht="15.6" x14ac:dyDescent="0.3">
      <c r="A225" s="127">
        <v>221</v>
      </c>
      <c r="B225" s="128">
        <v>43333</v>
      </c>
      <c r="C225" s="129" t="s">
        <v>1698</v>
      </c>
      <c r="D225" s="218" t="s">
        <v>1517</v>
      </c>
      <c r="E225" s="217" t="s">
        <v>1137</v>
      </c>
      <c r="F225" s="129" t="s">
        <v>1138</v>
      </c>
      <c r="G225" s="152">
        <v>0</v>
      </c>
      <c r="J225" s="118"/>
    </row>
    <row r="226" spans="1:10" ht="15.6" x14ac:dyDescent="0.3">
      <c r="A226" s="127">
        <v>222</v>
      </c>
      <c r="B226" s="131">
        <v>43334</v>
      </c>
      <c r="C226" s="132" t="s">
        <v>1512</v>
      </c>
      <c r="D226" s="216" t="s">
        <v>1530</v>
      </c>
      <c r="E226" s="217" t="s">
        <v>1137</v>
      </c>
      <c r="F226" s="129" t="s">
        <v>1138</v>
      </c>
      <c r="G226" s="152">
        <v>-100000</v>
      </c>
      <c r="J226" s="118"/>
    </row>
    <row r="227" spans="1:10" ht="15.6" x14ac:dyDescent="0.3">
      <c r="A227" s="127">
        <v>223</v>
      </c>
      <c r="B227" s="131">
        <v>43335</v>
      </c>
      <c r="C227" s="132" t="s">
        <v>1493</v>
      </c>
      <c r="D227" s="216" t="s">
        <v>1523</v>
      </c>
      <c r="E227" s="217" t="s">
        <v>1137</v>
      </c>
      <c r="F227" s="129" t="s">
        <v>1138</v>
      </c>
      <c r="G227" s="141">
        <v>-100000</v>
      </c>
      <c r="J227" s="118"/>
    </row>
    <row r="228" spans="1:10" ht="15.6" x14ac:dyDescent="0.3">
      <c r="A228" s="127">
        <v>224</v>
      </c>
      <c r="B228" s="131">
        <v>43336</v>
      </c>
      <c r="C228" s="132" t="s">
        <v>1494</v>
      </c>
      <c r="D228" s="216" t="s">
        <v>1523</v>
      </c>
      <c r="E228" s="217" t="s">
        <v>1137</v>
      </c>
      <c r="F228" s="129" t="s">
        <v>1138</v>
      </c>
      <c r="G228" s="141">
        <v>-100000</v>
      </c>
      <c r="J228" s="118"/>
    </row>
    <row r="229" spans="1:10" ht="15.6" x14ac:dyDescent="0.3">
      <c r="A229" s="127">
        <v>225</v>
      </c>
      <c r="B229" s="128">
        <v>43338</v>
      </c>
      <c r="C229" s="129" t="s">
        <v>29</v>
      </c>
      <c r="D229" s="218" t="s">
        <v>1516</v>
      </c>
      <c r="E229" s="217" t="s">
        <v>1137</v>
      </c>
      <c r="F229" s="129" t="s">
        <v>1138</v>
      </c>
      <c r="G229" s="152">
        <v>0</v>
      </c>
      <c r="J229" s="118"/>
    </row>
    <row r="230" spans="1:10" ht="15.6" x14ac:dyDescent="0.3">
      <c r="A230" s="127">
        <v>226</v>
      </c>
      <c r="B230" s="128">
        <v>43338</v>
      </c>
      <c r="C230" s="129" t="s">
        <v>104</v>
      </c>
      <c r="D230" s="218" t="s">
        <v>1521</v>
      </c>
      <c r="E230" s="217" t="s">
        <v>1137</v>
      </c>
      <c r="F230" s="129" t="s">
        <v>1138</v>
      </c>
      <c r="G230" s="152">
        <v>-270</v>
      </c>
      <c r="J230" s="118"/>
    </row>
    <row r="231" spans="1:10" ht="15.6" x14ac:dyDescent="0.3">
      <c r="A231" s="127">
        <v>227</v>
      </c>
      <c r="B231" s="128">
        <v>43340</v>
      </c>
      <c r="C231" s="129" t="s">
        <v>1356</v>
      </c>
      <c r="D231" s="218" t="s">
        <v>1521</v>
      </c>
      <c r="E231" s="217" t="s">
        <v>1137</v>
      </c>
      <c r="F231" s="129" t="s">
        <v>1138</v>
      </c>
      <c r="G231" s="152">
        <v>-30</v>
      </c>
      <c r="J231" s="118"/>
    </row>
    <row r="232" spans="1:10" ht="15.6" x14ac:dyDescent="0.3">
      <c r="A232" s="127">
        <v>228</v>
      </c>
      <c r="B232" s="131">
        <v>43342</v>
      </c>
      <c r="C232" s="129" t="s">
        <v>1481</v>
      </c>
      <c r="D232" s="218" t="s">
        <v>1471</v>
      </c>
      <c r="E232" s="217" t="s">
        <v>1137</v>
      </c>
      <c r="F232" s="129" t="s">
        <v>1138</v>
      </c>
      <c r="G232" s="141">
        <v>-5000</v>
      </c>
      <c r="J232" s="118"/>
    </row>
    <row r="233" spans="1:10" ht="15.6" x14ac:dyDescent="0.3">
      <c r="A233" s="127">
        <v>229</v>
      </c>
      <c r="B233" s="128">
        <v>43342</v>
      </c>
      <c r="C233" s="129" t="s">
        <v>1358</v>
      </c>
      <c r="D233" s="218" t="s">
        <v>1521</v>
      </c>
      <c r="E233" s="217" t="s">
        <v>1137</v>
      </c>
      <c r="F233" s="129" t="s">
        <v>1138</v>
      </c>
      <c r="G233" s="152">
        <v>-170</v>
      </c>
      <c r="J233" s="118"/>
    </row>
    <row r="234" spans="1:10" ht="15.6" x14ac:dyDescent="0.3">
      <c r="A234" s="127">
        <v>230</v>
      </c>
      <c r="B234" s="128">
        <v>43342</v>
      </c>
      <c r="C234" s="129" t="s">
        <v>9</v>
      </c>
      <c r="D234" s="218" t="s">
        <v>1516</v>
      </c>
      <c r="E234" s="217" t="s">
        <v>1137</v>
      </c>
      <c r="F234" s="129" t="s">
        <v>1138</v>
      </c>
      <c r="G234" s="152">
        <v>0</v>
      </c>
      <c r="J234" s="118"/>
    </row>
    <row r="235" spans="1:10" ht="15.6" x14ac:dyDescent="0.3">
      <c r="A235" s="127">
        <v>231</v>
      </c>
      <c r="B235" s="128">
        <v>43343</v>
      </c>
      <c r="C235" s="129" t="s">
        <v>9</v>
      </c>
      <c r="D235" s="218" t="s">
        <v>1516</v>
      </c>
      <c r="E235" s="217" t="s">
        <v>1137</v>
      </c>
      <c r="F235" s="129" t="s">
        <v>1138</v>
      </c>
      <c r="G235" s="152">
        <v>0</v>
      </c>
      <c r="J235" s="118"/>
    </row>
    <row r="236" spans="1:10" ht="15.6" x14ac:dyDescent="0.3">
      <c r="A236" s="127">
        <v>232</v>
      </c>
      <c r="B236" s="128">
        <v>43343</v>
      </c>
      <c r="C236" s="129" t="s">
        <v>1260</v>
      </c>
      <c r="D236" s="218" t="s">
        <v>1516</v>
      </c>
      <c r="E236" s="217" t="s">
        <v>1137</v>
      </c>
      <c r="F236" s="129" t="s">
        <v>1138</v>
      </c>
      <c r="G236" s="152">
        <v>0</v>
      </c>
      <c r="J236" s="118"/>
    </row>
    <row r="237" spans="1:10" ht="15.6" x14ac:dyDescent="0.3">
      <c r="A237" s="127">
        <v>233</v>
      </c>
      <c r="B237" s="128">
        <v>43344</v>
      </c>
      <c r="C237" s="129" t="s">
        <v>29</v>
      </c>
      <c r="D237" s="218" t="s">
        <v>1516</v>
      </c>
      <c r="E237" s="217" t="s">
        <v>1137</v>
      </c>
      <c r="F237" s="129" t="s">
        <v>1138</v>
      </c>
      <c r="G237" s="152">
        <v>0</v>
      </c>
      <c r="J237" s="118"/>
    </row>
    <row r="238" spans="1:10" ht="15.6" x14ac:dyDescent="0.3">
      <c r="A238" s="127">
        <v>234</v>
      </c>
      <c r="B238" s="131">
        <v>43346</v>
      </c>
      <c r="C238" s="132" t="s">
        <v>1509</v>
      </c>
      <c r="D238" s="216" t="s">
        <v>1524</v>
      </c>
      <c r="E238" s="217" t="s">
        <v>1137</v>
      </c>
      <c r="F238" s="129" t="s">
        <v>1138</v>
      </c>
      <c r="G238" s="195">
        <v>-10000</v>
      </c>
      <c r="J238" s="118"/>
    </row>
    <row r="239" spans="1:10" ht="15.6" x14ac:dyDescent="0.3">
      <c r="A239" s="127">
        <v>235</v>
      </c>
      <c r="B239" s="128">
        <v>43348</v>
      </c>
      <c r="C239" s="129" t="s">
        <v>34</v>
      </c>
      <c r="D239" s="218" t="s">
        <v>1521</v>
      </c>
      <c r="E239" s="217" t="s">
        <v>1137</v>
      </c>
      <c r="F239" s="129" t="s">
        <v>1138</v>
      </c>
      <c r="G239" s="195">
        <v>-468</v>
      </c>
      <c r="J239" s="118"/>
    </row>
    <row r="240" spans="1:10" ht="15.6" x14ac:dyDescent="0.3">
      <c r="A240" s="127">
        <v>236</v>
      </c>
      <c r="B240" s="128">
        <v>43348</v>
      </c>
      <c r="C240" s="129" t="s">
        <v>9</v>
      </c>
      <c r="D240" s="218" t="s">
        <v>1516</v>
      </c>
      <c r="E240" s="217" t="s">
        <v>1137</v>
      </c>
      <c r="F240" s="129" t="s">
        <v>1138</v>
      </c>
      <c r="G240" s="152">
        <v>0</v>
      </c>
      <c r="J240" s="118"/>
    </row>
    <row r="241" spans="1:10" ht="15.6" x14ac:dyDescent="0.3">
      <c r="A241" s="127">
        <v>237</v>
      </c>
      <c r="B241" s="131">
        <v>43349</v>
      </c>
      <c r="C241" s="132" t="s">
        <v>1508</v>
      </c>
      <c r="D241" s="216" t="s">
        <v>1524</v>
      </c>
      <c r="E241" s="217" t="s">
        <v>1137</v>
      </c>
      <c r="F241" s="129" t="s">
        <v>1138</v>
      </c>
      <c r="G241" s="152">
        <v>-10000</v>
      </c>
      <c r="J241" s="118"/>
    </row>
    <row r="242" spans="1:10" ht="15.6" x14ac:dyDescent="0.3">
      <c r="A242" s="127">
        <v>238</v>
      </c>
      <c r="B242" s="131">
        <v>43350</v>
      </c>
      <c r="C242" s="129" t="s">
        <v>1487</v>
      </c>
      <c r="D242" s="218" t="s">
        <v>1471</v>
      </c>
      <c r="E242" s="217" t="s">
        <v>1137</v>
      </c>
      <c r="F242" s="129" t="s">
        <v>1138</v>
      </c>
      <c r="G242" s="141">
        <v>-100000</v>
      </c>
      <c r="J242" s="118"/>
    </row>
    <row r="243" spans="1:10" ht="15.6" x14ac:dyDescent="0.3">
      <c r="A243" s="127">
        <v>239</v>
      </c>
      <c r="B243" s="128">
        <v>43350</v>
      </c>
      <c r="C243" s="129" t="s">
        <v>1367</v>
      </c>
      <c r="D243" s="218" t="s">
        <v>1521</v>
      </c>
      <c r="E243" s="217" t="s">
        <v>1137</v>
      </c>
      <c r="F243" s="129" t="s">
        <v>1138</v>
      </c>
      <c r="G243" s="195">
        <v>-350</v>
      </c>
      <c r="J243" s="118"/>
    </row>
    <row r="244" spans="1:10" ht="15.6" x14ac:dyDescent="0.3">
      <c r="A244" s="127">
        <v>240</v>
      </c>
      <c r="B244" s="131">
        <v>43350</v>
      </c>
      <c r="C244" s="132" t="s">
        <v>26</v>
      </c>
      <c r="D244" s="216" t="s">
        <v>1522</v>
      </c>
      <c r="E244" s="217" t="s">
        <v>1137</v>
      </c>
      <c r="F244" s="129" t="s">
        <v>1138</v>
      </c>
      <c r="G244" s="141">
        <v>-25000</v>
      </c>
      <c r="J244" s="118"/>
    </row>
    <row r="245" spans="1:10" ht="15.6" x14ac:dyDescent="0.3">
      <c r="A245" s="127">
        <v>241</v>
      </c>
      <c r="B245" s="128">
        <v>43353</v>
      </c>
      <c r="C245" s="129" t="s">
        <v>1369</v>
      </c>
      <c r="D245" s="218" t="s">
        <v>1521</v>
      </c>
      <c r="E245" s="217" t="s">
        <v>1137</v>
      </c>
      <c r="F245" s="129" t="s">
        <v>1138</v>
      </c>
      <c r="G245" s="195">
        <v>-500</v>
      </c>
      <c r="J245" s="118"/>
    </row>
    <row r="246" spans="1:10" ht="15.6" x14ac:dyDescent="0.3">
      <c r="A246" s="127">
        <v>242</v>
      </c>
      <c r="B246" s="131">
        <v>43354</v>
      </c>
      <c r="C246" s="129" t="s">
        <v>1488</v>
      </c>
      <c r="D246" s="218" t="s">
        <v>1471</v>
      </c>
      <c r="E246" s="217" t="s">
        <v>1137</v>
      </c>
      <c r="F246" s="129" t="s">
        <v>1138</v>
      </c>
      <c r="G246" s="141">
        <v>-10000</v>
      </c>
      <c r="J246" s="118"/>
    </row>
    <row r="247" spans="1:10" ht="15.6" x14ac:dyDescent="0.3">
      <c r="A247" s="127">
        <v>243</v>
      </c>
      <c r="B247" s="128">
        <v>43354</v>
      </c>
      <c r="C247" s="129" t="s">
        <v>9</v>
      </c>
      <c r="D247" s="218" t="s">
        <v>1516</v>
      </c>
      <c r="E247" s="217" t="s">
        <v>1137</v>
      </c>
      <c r="F247" s="129" t="s">
        <v>1138</v>
      </c>
      <c r="G247" s="152">
        <v>0</v>
      </c>
      <c r="J247" s="118"/>
    </row>
    <row r="248" spans="1:10" ht="15.6" x14ac:dyDescent="0.3">
      <c r="A248" s="127">
        <v>244</v>
      </c>
      <c r="B248" s="128">
        <v>43358</v>
      </c>
      <c r="C248" s="129" t="s">
        <v>29</v>
      </c>
      <c r="D248" s="129" t="s">
        <v>1516</v>
      </c>
      <c r="E248" s="206" t="s">
        <v>269</v>
      </c>
      <c r="F248" s="129" t="s">
        <v>1138</v>
      </c>
      <c r="G248" s="198">
        <v>-1000</v>
      </c>
      <c r="J248" s="118"/>
    </row>
    <row r="249" spans="1:10" ht="15.6" x14ac:dyDescent="0.3">
      <c r="A249" s="127">
        <v>245</v>
      </c>
      <c r="B249" s="128">
        <v>43358</v>
      </c>
      <c r="C249" s="129" t="s">
        <v>30</v>
      </c>
      <c r="D249" s="129" t="s">
        <v>1471</v>
      </c>
      <c r="E249" s="206" t="s">
        <v>269</v>
      </c>
      <c r="F249" s="129" t="s">
        <v>1138</v>
      </c>
      <c r="G249" s="198">
        <v>-800</v>
      </c>
      <c r="J249" s="118"/>
    </row>
    <row r="250" spans="1:10" ht="15.6" x14ac:dyDescent="0.3">
      <c r="A250" s="127">
        <v>246</v>
      </c>
      <c r="B250" s="128">
        <v>43358</v>
      </c>
      <c r="C250" s="129" t="s">
        <v>1548</v>
      </c>
      <c r="D250" s="129" t="s">
        <v>1526</v>
      </c>
      <c r="E250" s="206" t="s">
        <v>269</v>
      </c>
      <c r="F250" s="129" t="s">
        <v>1138</v>
      </c>
      <c r="G250" s="198">
        <v>-10000</v>
      </c>
      <c r="J250" s="118"/>
    </row>
    <row r="251" spans="1:10" ht="15.6" x14ac:dyDescent="0.3">
      <c r="A251" s="127">
        <v>247</v>
      </c>
      <c r="B251" s="128">
        <v>43358</v>
      </c>
      <c r="C251" s="129" t="s">
        <v>32</v>
      </c>
      <c r="D251" s="226" t="s">
        <v>1471</v>
      </c>
      <c r="E251" s="220" t="s">
        <v>1753</v>
      </c>
      <c r="F251" s="129" t="s">
        <v>1138</v>
      </c>
      <c r="G251" s="198">
        <v>-15000</v>
      </c>
      <c r="J251" s="118"/>
    </row>
    <row r="252" spans="1:10" ht="15.6" x14ac:dyDescent="0.3">
      <c r="A252" s="127">
        <v>248</v>
      </c>
      <c r="B252" s="128">
        <v>43358</v>
      </c>
      <c r="C252" s="129" t="s">
        <v>1549</v>
      </c>
      <c r="D252" s="129" t="s">
        <v>1517</v>
      </c>
      <c r="E252" s="206" t="s">
        <v>269</v>
      </c>
      <c r="F252" s="129" t="s">
        <v>1138</v>
      </c>
      <c r="G252" s="198">
        <v>0</v>
      </c>
      <c r="J252" s="118"/>
    </row>
    <row r="253" spans="1:10" ht="15.6" x14ac:dyDescent="0.3">
      <c r="A253" s="127">
        <v>249</v>
      </c>
      <c r="B253" s="128">
        <v>43358</v>
      </c>
      <c r="C253" s="129" t="s">
        <v>1376</v>
      </c>
      <c r="D253" s="239" t="s">
        <v>1520</v>
      </c>
      <c r="E253" s="242" t="s">
        <v>1137</v>
      </c>
      <c r="F253" s="129" t="s">
        <v>1148</v>
      </c>
      <c r="G253" s="195">
        <v>100000</v>
      </c>
      <c r="J253" s="118"/>
    </row>
    <row r="254" spans="1:10" ht="15.6" x14ac:dyDescent="0.3">
      <c r="A254" s="127">
        <v>250</v>
      </c>
      <c r="B254" s="128">
        <v>43358</v>
      </c>
      <c r="C254" s="129" t="s">
        <v>1163</v>
      </c>
      <c r="D254" s="218" t="s">
        <v>1521</v>
      </c>
      <c r="E254" s="217" t="s">
        <v>1137</v>
      </c>
      <c r="F254" s="129" t="s">
        <v>1138</v>
      </c>
      <c r="G254" s="195">
        <v>-500</v>
      </c>
      <c r="J254" s="118"/>
    </row>
    <row r="255" spans="1:10" ht="15.6" x14ac:dyDescent="0.3">
      <c r="A255" s="127">
        <v>251</v>
      </c>
      <c r="B255" s="128">
        <v>43358</v>
      </c>
      <c r="C255" s="129" t="s">
        <v>9</v>
      </c>
      <c r="D255" s="218" t="s">
        <v>1516</v>
      </c>
      <c r="E255" s="217" t="s">
        <v>1137</v>
      </c>
      <c r="F255" s="129" t="s">
        <v>1138</v>
      </c>
      <c r="G255" s="152">
        <v>0</v>
      </c>
      <c r="J255" s="118"/>
    </row>
    <row r="256" spans="1:10" ht="15.6" x14ac:dyDescent="0.3">
      <c r="A256" s="127">
        <v>252</v>
      </c>
      <c r="B256" s="230">
        <v>43358</v>
      </c>
      <c r="C256" s="218" t="s">
        <v>1739</v>
      </c>
      <c r="D256" s="218" t="s">
        <v>1516</v>
      </c>
      <c r="E256" s="217" t="s">
        <v>1137</v>
      </c>
      <c r="F256" s="218" t="s">
        <v>1138</v>
      </c>
      <c r="G256" s="234">
        <v>-4400</v>
      </c>
    </row>
    <row r="257" spans="1:10" ht="15.6" x14ac:dyDescent="0.3">
      <c r="A257" s="127">
        <v>253</v>
      </c>
      <c r="B257" s="131">
        <v>43358</v>
      </c>
      <c r="C257" s="129" t="s">
        <v>1513</v>
      </c>
      <c r="D257" s="218" t="s">
        <v>1530</v>
      </c>
      <c r="E257" s="217" t="s">
        <v>1137</v>
      </c>
      <c r="F257" s="129" t="s">
        <v>1138</v>
      </c>
      <c r="G257" s="152">
        <v>-23000</v>
      </c>
      <c r="J257" s="118"/>
    </row>
    <row r="258" spans="1:10" ht="15.6" x14ac:dyDescent="0.3">
      <c r="A258" s="127">
        <v>254</v>
      </c>
      <c r="B258" s="128">
        <v>43360</v>
      </c>
      <c r="C258" s="129" t="s">
        <v>29</v>
      </c>
      <c r="D258" s="129" t="s">
        <v>1516</v>
      </c>
      <c r="E258" s="206" t="s">
        <v>269</v>
      </c>
      <c r="F258" s="129" t="s">
        <v>1138</v>
      </c>
      <c r="G258" s="198">
        <v>-1000</v>
      </c>
      <c r="J258" s="118"/>
    </row>
    <row r="259" spans="1:10" ht="15.6" x14ac:dyDescent="0.3">
      <c r="A259" s="127">
        <v>255</v>
      </c>
      <c r="B259" s="128">
        <v>43366</v>
      </c>
      <c r="C259" s="129" t="s">
        <v>1548</v>
      </c>
      <c r="D259" s="129" t="s">
        <v>1526</v>
      </c>
      <c r="E259" s="206" t="s">
        <v>269</v>
      </c>
      <c r="F259" s="129" t="s">
        <v>1138</v>
      </c>
      <c r="G259" s="198">
        <v>-10000</v>
      </c>
      <c r="J259" s="118"/>
    </row>
    <row r="260" spans="1:10" ht="15.6" x14ac:dyDescent="0.3">
      <c r="A260" s="127">
        <v>256</v>
      </c>
      <c r="B260" s="128">
        <v>43366</v>
      </c>
      <c r="C260" s="129" t="s">
        <v>29</v>
      </c>
      <c r="D260" s="129" t="s">
        <v>1516</v>
      </c>
      <c r="E260" s="206" t="s">
        <v>269</v>
      </c>
      <c r="F260" s="129" t="s">
        <v>1138</v>
      </c>
      <c r="G260" s="198">
        <v>-2000</v>
      </c>
      <c r="J260" s="118"/>
    </row>
    <row r="261" spans="1:10" ht="15.6" x14ac:dyDescent="0.3">
      <c r="A261" s="127">
        <v>257</v>
      </c>
      <c r="B261" s="131">
        <v>43367</v>
      </c>
      <c r="C261" s="129" t="s">
        <v>1489</v>
      </c>
      <c r="D261" s="218" t="s">
        <v>1471</v>
      </c>
      <c r="E261" s="217" t="s">
        <v>1137</v>
      </c>
      <c r="F261" s="129" t="s">
        <v>1138</v>
      </c>
      <c r="G261" s="141">
        <v>-10000</v>
      </c>
      <c r="J261" s="118"/>
    </row>
    <row r="262" spans="1:10" ht="15.6" x14ac:dyDescent="0.3">
      <c r="A262" s="127">
        <v>258</v>
      </c>
      <c r="B262" s="128">
        <v>43367</v>
      </c>
      <c r="C262" s="129" t="s">
        <v>1382</v>
      </c>
      <c r="D262" s="129" t="s">
        <v>1520</v>
      </c>
      <c r="E262" s="204" t="s">
        <v>1137</v>
      </c>
      <c r="F262" s="129" t="s">
        <v>1148</v>
      </c>
      <c r="G262" s="195">
        <v>150000</v>
      </c>
      <c r="J262" s="118"/>
    </row>
    <row r="263" spans="1:10" ht="15.6" x14ac:dyDescent="0.3">
      <c r="A263" s="127">
        <v>259</v>
      </c>
      <c r="B263" s="128">
        <v>43368</v>
      </c>
      <c r="C263" s="129" t="s">
        <v>1548</v>
      </c>
      <c r="D263" s="129" t="s">
        <v>1526</v>
      </c>
      <c r="E263" s="206" t="s">
        <v>269</v>
      </c>
      <c r="F263" s="129" t="s">
        <v>1138</v>
      </c>
      <c r="G263" s="198">
        <v>-15000</v>
      </c>
      <c r="J263" s="118"/>
    </row>
    <row r="264" spans="1:10" ht="15.6" x14ac:dyDescent="0.3">
      <c r="A264" s="127">
        <v>260</v>
      </c>
      <c r="B264" s="128">
        <v>43368</v>
      </c>
      <c r="C264" s="129" t="s">
        <v>29</v>
      </c>
      <c r="D264" s="129" t="s">
        <v>1516</v>
      </c>
      <c r="E264" s="206" t="s">
        <v>269</v>
      </c>
      <c r="F264" s="129" t="s">
        <v>1138</v>
      </c>
      <c r="G264" s="198">
        <v>-1000</v>
      </c>
      <c r="J264" s="118"/>
    </row>
    <row r="265" spans="1:10" ht="15.6" x14ac:dyDescent="0.3">
      <c r="A265" s="127">
        <v>261</v>
      </c>
      <c r="B265" s="131">
        <v>43370</v>
      </c>
      <c r="C265" s="129" t="s">
        <v>1489</v>
      </c>
      <c r="D265" s="218" t="s">
        <v>1471</v>
      </c>
      <c r="E265" s="217" t="s">
        <v>1137</v>
      </c>
      <c r="F265" s="129" t="s">
        <v>1138</v>
      </c>
      <c r="G265" s="141">
        <v>-7000</v>
      </c>
    </row>
    <row r="266" spans="1:10" ht="15.6" x14ac:dyDescent="0.3">
      <c r="A266" s="127">
        <v>262</v>
      </c>
      <c r="B266" s="128">
        <v>43372</v>
      </c>
      <c r="C266" s="129" t="s">
        <v>34</v>
      </c>
      <c r="D266" s="129" t="s">
        <v>1521</v>
      </c>
      <c r="E266" s="206" t="s">
        <v>269</v>
      </c>
      <c r="F266" s="129" t="s">
        <v>1138</v>
      </c>
      <c r="G266" s="198">
        <v>-540</v>
      </c>
      <c r="J266" s="118"/>
    </row>
    <row r="267" spans="1:10" ht="15.6" x14ac:dyDescent="0.3">
      <c r="A267" s="127">
        <v>263</v>
      </c>
      <c r="B267" s="128">
        <v>43372</v>
      </c>
      <c r="C267" s="129" t="s">
        <v>35</v>
      </c>
      <c r="D267" s="129" t="s">
        <v>1521</v>
      </c>
      <c r="E267" s="206" t="s">
        <v>269</v>
      </c>
      <c r="F267" s="129" t="s">
        <v>1138</v>
      </c>
      <c r="G267" s="198">
        <v>-100</v>
      </c>
      <c r="J267" s="118"/>
    </row>
    <row r="268" spans="1:10" ht="15.6" x14ac:dyDescent="0.3">
      <c r="A268" s="127">
        <v>264</v>
      </c>
      <c r="B268" s="128">
        <v>43372</v>
      </c>
      <c r="C268" s="129" t="s">
        <v>1548</v>
      </c>
      <c r="D268" s="129" t="s">
        <v>1526</v>
      </c>
      <c r="E268" s="206" t="s">
        <v>269</v>
      </c>
      <c r="F268" s="129" t="s">
        <v>1138</v>
      </c>
      <c r="G268" s="198">
        <v>-50000</v>
      </c>
      <c r="J268" s="118"/>
    </row>
    <row r="269" spans="1:10" ht="15.6" x14ac:dyDescent="0.3">
      <c r="A269" s="127">
        <v>265</v>
      </c>
      <c r="B269" s="128">
        <v>43372</v>
      </c>
      <c r="C269" s="129" t="s">
        <v>29</v>
      </c>
      <c r="D269" s="129" t="s">
        <v>1516</v>
      </c>
      <c r="E269" s="206" t="s">
        <v>269</v>
      </c>
      <c r="F269" s="129" t="s">
        <v>1138</v>
      </c>
      <c r="G269" s="198">
        <v>-1000</v>
      </c>
      <c r="J269" s="118"/>
    </row>
    <row r="270" spans="1:10" ht="15.6" x14ac:dyDescent="0.3">
      <c r="A270" s="127">
        <v>266</v>
      </c>
      <c r="B270" s="128">
        <v>43372</v>
      </c>
      <c r="C270" s="133" t="s">
        <v>1550</v>
      </c>
      <c r="D270" s="133" t="s">
        <v>1520</v>
      </c>
      <c r="E270" s="206" t="s">
        <v>269</v>
      </c>
      <c r="F270" s="133" t="s">
        <v>1148</v>
      </c>
      <c r="G270" s="141">
        <v>100000</v>
      </c>
      <c r="J270" s="118"/>
    </row>
    <row r="271" spans="1:10" ht="15.6" x14ac:dyDescent="0.3">
      <c r="A271" s="127">
        <v>267</v>
      </c>
      <c r="B271" s="128">
        <v>43376</v>
      </c>
      <c r="C271" s="129" t="s">
        <v>1551</v>
      </c>
      <c r="D271" s="129" t="s">
        <v>1471</v>
      </c>
      <c r="E271" s="206" t="s">
        <v>269</v>
      </c>
      <c r="F271" s="129" t="s">
        <v>1138</v>
      </c>
      <c r="G271" s="198">
        <v>-10000</v>
      </c>
      <c r="J271" s="118"/>
    </row>
    <row r="272" spans="1:10" ht="15.6" x14ac:dyDescent="0.3">
      <c r="A272" s="127">
        <v>268</v>
      </c>
      <c r="B272" s="128">
        <v>43376</v>
      </c>
      <c r="C272" s="129" t="s">
        <v>1552</v>
      </c>
      <c r="D272" s="129" t="s">
        <v>1516</v>
      </c>
      <c r="E272" s="206" t="s">
        <v>269</v>
      </c>
      <c r="F272" s="129" t="s">
        <v>1138</v>
      </c>
      <c r="G272" s="198">
        <v>-1000</v>
      </c>
      <c r="J272" s="118"/>
    </row>
    <row r="273" spans="1:10" ht="15.6" x14ac:dyDescent="0.3">
      <c r="A273" s="127">
        <v>269</v>
      </c>
      <c r="B273" s="128">
        <v>43377</v>
      </c>
      <c r="C273" s="133" t="s">
        <v>1553</v>
      </c>
      <c r="D273" s="133" t="s">
        <v>1520</v>
      </c>
      <c r="E273" s="206" t="s">
        <v>269</v>
      </c>
      <c r="F273" s="133" t="s">
        <v>1148</v>
      </c>
      <c r="G273" s="141">
        <v>50000</v>
      </c>
    </row>
    <row r="274" spans="1:10" ht="15.6" x14ac:dyDescent="0.3">
      <c r="A274" s="127">
        <v>270</v>
      </c>
      <c r="B274" s="128">
        <v>43377</v>
      </c>
      <c r="C274" s="133" t="s">
        <v>1554</v>
      </c>
      <c r="D274" s="133" t="s">
        <v>1523</v>
      </c>
      <c r="E274" s="206" t="s">
        <v>269</v>
      </c>
      <c r="F274" s="129" t="s">
        <v>1138</v>
      </c>
      <c r="G274" s="198">
        <v>-200000</v>
      </c>
      <c r="J274" s="118"/>
    </row>
    <row r="275" spans="1:10" ht="15.6" x14ac:dyDescent="0.3">
      <c r="A275" s="127">
        <v>271</v>
      </c>
      <c r="B275" s="128">
        <v>43377</v>
      </c>
      <c r="C275" s="129" t="s">
        <v>1548</v>
      </c>
      <c r="D275" s="129" t="s">
        <v>1526</v>
      </c>
      <c r="E275" s="206" t="s">
        <v>269</v>
      </c>
      <c r="F275" s="129" t="s">
        <v>1138</v>
      </c>
      <c r="G275" s="198">
        <v>-20000</v>
      </c>
      <c r="J275" s="118"/>
    </row>
    <row r="276" spans="1:10" ht="15.6" x14ac:dyDescent="0.3">
      <c r="A276" s="127">
        <v>272</v>
      </c>
      <c r="B276" s="128">
        <v>43377</v>
      </c>
      <c r="C276" s="129" t="s">
        <v>1711</v>
      </c>
      <c r="D276" s="129" t="s">
        <v>1521</v>
      </c>
      <c r="E276" s="206" t="s">
        <v>269</v>
      </c>
      <c r="F276" s="129" t="s">
        <v>1138</v>
      </c>
      <c r="G276" s="198">
        <v>-4000</v>
      </c>
    </row>
    <row r="277" spans="1:10" ht="15.6" x14ac:dyDescent="0.3">
      <c r="A277" s="127">
        <v>273</v>
      </c>
      <c r="B277" s="128">
        <v>43377</v>
      </c>
      <c r="C277" s="129" t="s">
        <v>42</v>
      </c>
      <c r="D277" s="129" t="s">
        <v>1521</v>
      </c>
      <c r="E277" s="206" t="s">
        <v>269</v>
      </c>
      <c r="F277" s="129" t="s">
        <v>1138</v>
      </c>
      <c r="G277" s="198">
        <v>-2000</v>
      </c>
      <c r="J277" s="118"/>
    </row>
    <row r="278" spans="1:10" ht="15.6" x14ac:dyDescent="0.3">
      <c r="A278" s="127">
        <v>274</v>
      </c>
      <c r="B278" s="128">
        <v>43378</v>
      </c>
      <c r="C278" s="129" t="s">
        <v>1555</v>
      </c>
      <c r="D278" s="129" t="s">
        <v>1517</v>
      </c>
      <c r="E278" s="206" t="s">
        <v>269</v>
      </c>
      <c r="F278" s="129" t="s">
        <v>1138</v>
      </c>
      <c r="G278" s="198">
        <v>-60000</v>
      </c>
      <c r="J278" s="118"/>
    </row>
    <row r="279" spans="1:10" ht="15.6" x14ac:dyDescent="0.3">
      <c r="A279" s="127">
        <v>275</v>
      </c>
      <c r="B279" s="128">
        <v>43378</v>
      </c>
      <c r="C279" s="129" t="s">
        <v>1556</v>
      </c>
      <c r="D279" s="129" t="s">
        <v>1516</v>
      </c>
      <c r="E279" s="206" t="s">
        <v>269</v>
      </c>
      <c r="F279" s="129" t="s">
        <v>1138</v>
      </c>
      <c r="G279" s="198">
        <v>-4900</v>
      </c>
      <c r="J279" s="118"/>
    </row>
    <row r="280" spans="1:10" ht="15.6" x14ac:dyDescent="0.3">
      <c r="A280" s="127">
        <v>276</v>
      </c>
      <c r="B280" s="128">
        <v>43380</v>
      </c>
      <c r="C280" s="129" t="s">
        <v>1557</v>
      </c>
      <c r="D280" s="129" t="s">
        <v>1521</v>
      </c>
      <c r="E280" s="206" t="s">
        <v>269</v>
      </c>
      <c r="F280" s="129" t="s">
        <v>1138</v>
      </c>
      <c r="G280" s="198">
        <v>-520</v>
      </c>
      <c r="J280" s="118"/>
    </row>
    <row r="281" spans="1:10" ht="15.6" x14ac:dyDescent="0.3">
      <c r="A281" s="127">
        <v>277</v>
      </c>
      <c r="B281" s="128">
        <v>43380</v>
      </c>
      <c r="C281" s="129" t="s">
        <v>1558</v>
      </c>
      <c r="D281" s="129" t="s">
        <v>1521</v>
      </c>
      <c r="E281" s="206" t="s">
        <v>269</v>
      </c>
      <c r="F281" s="129" t="s">
        <v>1138</v>
      </c>
      <c r="G281" s="198">
        <v>-550</v>
      </c>
      <c r="J281" s="118"/>
    </row>
    <row r="282" spans="1:10" ht="15.6" x14ac:dyDescent="0.3">
      <c r="A282" s="127">
        <v>278</v>
      </c>
      <c r="B282" s="128">
        <v>43381</v>
      </c>
      <c r="C282" s="129" t="s">
        <v>7</v>
      </c>
      <c r="D282" s="129" t="s">
        <v>1516</v>
      </c>
      <c r="E282" s="206" t="s">
        <v>269</v>
      </c>
      <c r="F282" s="129" t="s">
        <v>1138</v>
      </c>
      <c r="G282" s="198">
        <v>-1000</v>
      </c>
      <c r="J282" s="118"/>
    </row>
    <row r="283" spans="1:10" ht="15.6" x14ac:dyDescent="0.3">
      <c r="A283" s="127">
        <v>279</v>
      </c>
      <c r="B283" s="128">
        <v>43382</v>
      </c>
      <c r="C283" s="129" t="s">
        <v>47</v>
      </c>
      <c r="D283" s="129" t="s">
        <v>1521</v>
      </c>
      <c r="E283" s="206" t="s">
        <v>269</v>
      </c>
      <c r="F283" s="129" t="s">
        <v>1138</v>
      </c>
      <c r="G283" s="198">
        <v>-20</v>
      </c>
      <c r="J283" s="118"/>
    </row>
    <row r="284" spans="1:10" ht="15.6" x14ac:dyDescent="0.3">
      <c r="A284" s="127">
        <v>280</v>
      </c>
      <c r="B284" s="128">
        <v>43382</v>
      </c>
      <c r="C284" s="129" t="s">
        <v>26</v>
      </c>
      <c r="D284" s="129" t="s">
        <v>1522</v>
      </c>
      <c r="E284" s="206" t="s">
        <v>269</v>
      </c>
      <c r="F284" s="129" t="s">
        <v>1138</v>
      </c>
      <c r="G284" s="198">
        <v>-15000</v>
      </c>
      <c r="J284" s="118"/>
    </row>
    <row r="285" spans="1:10" ht="15.6" x14ac:dyDescent="0.3">
      <c r="A285" s="127">
        <v>281</v>
      </c>
      <c r="B285" s="128">
        <v>43382</v>
      </c>
      <c r="C285" s="129" t="s">
        <v>1558</v>
      </c>
      <c r="D285" s="129" t="s">
        <v>1521</v>
      </c>
      <c r="E285" s="206" t="s">
        <v>269</v>
      </c>
      <c r="F285" s="129" t="s">
        <v>1138</v>
      </c>
      <c r="G285" s="198">
        <v>-220</v>
      </c>
      <c r="J285" s="118"/>
    </row>
    <row r="286" spans="1:10" ht="15.6" x14ac:dyDescent="0.3">
      <c r="A286" s="127">
        <v>282</v>
      </c>
      <c r="B286" s="128">
        <v>43382</v>
      </c>
      <c r="C286" s="129" t="s">
        <v>1559</v>
      </c>
      <c r="D286" s="129" t="s">
        <v>1516</v>
      </c>
      <c r="E286" s="206" t="s">
        <v>269</v>
      </c>
      <c r="F286" s="129" t="s">
        <v>1138</v>
      </c>
      <c r="G286" s="198">
        <v>-9850</v>
      </c>
      <c r="J286" s="118"/>
    </row>
    <row r="287" spans="1:10" ht="15.6" x14ac:dyDescent="0.3">
      <c r="A287" s="127">
        <v>283</v>
      </c>
      <c r="B287" s="128">
        <v>43386</v>
      </c>
      <c r="C287" s="129" t="s">
        <v>1551</v>
      </c>
      <c r="D287" s="129" t="s">
        <v>1471</v>
      </c>
      <c r="E287" s="206" t="s">
        <v>269</v>
      </c>
      <c r="F287" s="129" t="s">
        <v>1138</v>
      </c>
      <c r="G287" s="198">
        <v>-3000</v>
      </c>
      <c r="J287" s="118"/>
    </row>
    <row r="288" spans="1:10" ht="15.6" x14ac:dyDescent="0.3">
      <c r="A288" s="127">
        <v>284</v>
      </c>
      <c r="B288" s="128">
        <v>43386</v>
      </c>
      <c r="C288" s="129" t="s">
        <v>49</v>
      </c>
      <c r="D288" s="129" t="s">
        <v>1521</v>
      </c>
      <c r="E288" s="206" t="s">
        <v>269</v>
      </c>
      <c r="F288" s="129" t="s">
        <v>1138</v>
      </c>
      <c r="G288" s="198">
        <v>-150</v>
      </c>
      <c r="J288" s="118"/>
    </row>
    <row r="289" spans="1:10" ht="15.6" x14ac:dyDescent="0.3">
      <c r="A289" s="127">
        <v>285</v>
      </c>
      <c r="B289" s="128">
        <v>43388</v>
      </c>
      <c r="C289" s="129" t="s">
        <v>1551</v>
      </c>
      <c r="D289" s="129" t="s">
        <v>1471</v>
      </c>
      <c r="E289" s="206" t="s">
        <v>269</v>
      </c>
      <c r="F289" s="129" t="s">
        <v>1138</v>
      </c>
      <c r="G289" s="198">
        <v>-7000</v>
      </c>
      <c r="J289" s="118"/>
    </row>
    <row r="290" spans="1:10" ht="15.6" x14ac:dyDescent="0.3">
      <c r="A290" s="127">
        <v>286</v>
      </c>
      <c r="B290" s="128">
        <v>43388</v>
      </c>
      <c r="C290" s="129" t="s">
        <v>1548</v>
      </c>
      <c r="D290" s="129" t="s">
        <v>1526</v>
      </c>
      <c r="E290" s="206" t="s">
        <v>269</v>
      </c>
      <c r="F290" s="129" t="s">
        <v>1138</v>
      </c>
      <c r="G290" s="198">
        <v>-20000</v>
      </c>
      <c r="J290" s="118"/>
    </row>
    <row r="291" spans="1:10" ht="15.6" x14ac:dyDescent="0.3">
      <c r="A291" s="127">
        <v>287</v>
      </c>
      <c r="B291" s="128">
        <v>43388</v>
      </c>
      <c r="C291" s="129" t="s">
        <v>9</v>
      </c>
      <c r="D291" s="129" t="s">
        <v>1516</v>
      </c>
      <c r="E291" s="206" t="s">
        <v>269</v>
      </c>
      <c r="F291" s="129" t="s">
        <v>1138</v>
      </c>
      <c r="G291" s="198">
        <v>-1000</v>
      </c>
      <c r="J291" s="118"/>
    </row>
    <row r="292" spans="1:10" ht="15.6" x14ac:dyDescent="0.3">
      <c r="A292" s="127">
        <v>288</v>
      </c>
      <c r="B292" s="128">
        <v>43389</v>
      </c>
      <c r="C292" s="129" t="s">
        <v>26</v>
      </c>
      <c r="D292" s="129" t="s">
        <v>1522</v>
      </c>
      <c r="E292" s="206" t="s">
        <v>269</v>
      </c>
      <c r="F292" s="129" t="s">
        <v>1138</v>
      </c>
      <c r="G292" s="198">
        <v>-10000</v>
      </c>
      <c r="J292" s="118"/>
    </row>
    <row r="293" spans="1:10" ht="15.6" x14ac:dyDescent="0.3">
      <c r="A293" s="127">
        <v>289</v>
      </c>
      <c r="B293" s="128">
        <v>43392</v>
      </c>
      <c r="C293" s="129" t="s">
        <v>1548</v>
      </c>
      <c r="D293" s="129" t="s">
        <v>1526</v>
      </c>
      <c r="E293" s="206" t="s">
        <v>269</v>
      </c>
      <c r="F293" s="129" t="s">
        <v>1138</v>
      </c>
      <c r="G293" s="198">
        <v>-5000</v>
      </c>
      <c r="J293" s="118"/>
    </row>
    <row r="294" spans="1:10" ht="15.6" x14ac:dyDescent="0.3">
      <c r="A294" s="127">
        <v>290</v>
      </c>
      <c r="B294" s="128">
        <v>43393</v>
      </c>
      <c r="C294" s="129" t="s">
        <v>7</v>
      </c>
      <c r="D294" s="129" t="s">
        <v>1516</v>
      </c>
      <c r="E294" s="206" t="s">
        <v>269</v>
      </c>
      <c r="F294" s="129" t="s">
        <v>1138</v>
      </c>
      <c r="G294" s="198">
        <v>-1000</v>
      </c>
      <c r="J294" s="118"/>
    </row>
    <row r="295" spans="1:10" ht="15.6" x14ac:dyDescent="0.3">
      <c r="A295" s="127">
        <v>291</v>
      </c>
      <c r="B295" s="128">
        <v>43393</v>
      </c>
      <c r="C295" s="129" t="s">
        <v>42</v>
      </c>
      <c r="D295" s="129" t="s">
        <v>1521</v>
      </c>
      <c r="E295" s="206" t="s">
        <v>269</v>
      </c>
      <c r="F295" s="129" t="s">
        <v>1138</v>
      </c>
      <c r="G295" s="198">
        <v>-100</v>
      </c>
      <c r="J295" s="118"/>
    </row>
    <row r="296" spans="1:10" ht="15.6" x14ac:dyDescent="0.3">
      <c r="A296" s="127">
        <v>292</v>
      </c>
      <c r="B296" s="128">
        <v>43395</v>
      </c>
      <c r="C296" s="129" t="s">
        <v>50</v>
      </c>
      <c r="D296" s="129" t="s">
        <v>1527</v>
      </c>
      <c r="E296" s="206" t="s">
        <v>269</v>
      </c>
      <c r="F296" s="129" t="s">
        <v>1138</v>
      </c>
      <c r="G296" s="198">
        <v>-2960</v>
      </c>
      <c r="J296" s="118"/>
    </row>
    <row r="297" spans="1:10" ht="15.6" x14ac:dyDescent="0.3">
      <c r="A297" s="127">
        <v>293</v>
      </c>
      <c r="B297" s="128">
        <v>43396</v>
      </c>
      <c r="C297" s="129" t="s">
        <v>9</v>
      </c>
      <c r="D297" s="129" t="s">
        <v>1516</v>
      </c>
      <c r="E297" s="206" t="s">
        <v>269</v>
      </c>
      <c r="F297" s="129" t="s">
        <v>1138</v>
      </c>
      <c r="G297" s="198">
        <v>-1000</v>
      </c>
      <c r="J297" s="118"/>
    </row>
    <row r="298" spans="1:10" ht="15.6" x14ac:dyDescent="0.3">
      <c r="A298" s="127">
        <v>294</v>
      </c>
      <c r="B298" s="128">
        <v>43396</v>
      </c>
      <c r="C298" s="133" t="s">
        <v>1550</v>
      </c>
      <c r="D298" s="133" t="s">
        <v>1520</v>
      </c>
      <c r="E298" s="206" t="s">
        <v>269</v>
      </c>
      <c r="F298" s="133" t="s">
        <v>1148</v>
      </c>
      <c r="G298" s="141">
        <v>60000</v>
      </c>
      <c r="J298" s="118"/>
    </row>
    <row r="299" spans="1:10" ht="15.6" x14ac:dyDescent="0.3">
      <c r="A299" s="127">
        <v>295</v>
      </c>
      <c r="B299" s="128">
        <v>43396</v>
      </c>
      <c r="C299" s="129" t="s">
        <v>26</v>
      </c>
      <c r="D299" s="129" t="s">
        <v>1522</v>
      </c>
      <c r="E299" s="206" t="s">
        <v>269</v>
      </c>
      <c r="F299" s="129" t="s">
        <v>1138</v>
      </c>
      <c r="G299" s="198">
        <v>-10000</v>
      </c>
      <c r="J299" s="118"/>
    </row>
    <row r="300" spans="1:10" ht="15.6" x14ac:dyDescent="0.3">
      <c r="A300" s="127">
        <v>296</v>
      </c>
      <c r="B300" s="128">
        <v>43397</v>
      </c>
      <c r="C300" s="129" t="s">
        <v>1560</v>
      </c>
      <c r="D300" s="129" t="s">
        <v>1526</v>
      </c>
      <c r="E300" s="206" t="s">
        <v>269</v>
      </c>
      <c r="F300" s="129" t="s">
        <v>1138</v>
      </c>
      <c r="G300" s="198">
        <v>-87000</v>
      </c>
      <c r="J300" s="118"/>
    </row>
    <row r="301" spans="1:10" ht="15.6" x14ac:dyDescent="0.3">
      <c r="A301" s="127">
        <v>297</v>
      </c>
      <c r="B301" s="128">
        <v>43397</v>
      </c>
      <c r="C301" s="133" t="s">
        <v>1561</v>
      </c>
      <c r="D301" s="133" t="s">
        <v>1516</v>
      </c>
      <c r="E301" s="206" t="s">
        <v>269</v>
      </c>
      <c r="F301" s="129" t="s">
        <v>1138</v>
      </c>
      <c r="G301" s="198">
        <v>-3200</v>
      </c>
    </row>
    <row r="302" spans="1:10" ht="15.6" x14ac:dyDescent="0.3">
      <c r="A302" s="127">
        <v>298</v>
      </c>
      <c r="B302" s="128">
        <v>43397</v>
      </c>
      <c r="C302" s="133" t="s">
        <v>1562</v>
      </c>
      <c r="D302" s="133" t="s">
        <v>1520</v>
      </c>
      <c r="E302" s="206" t="s">
        <v>269</v>
      </c>
      <c r="F302" s="133" t="s">
        <v>1148</v>
      </c>
      <c r="G302" s="141">
        <v>50000</v>
      </c>
      <c r="J302" s="118"/>
    </row>
    <row r="303" spans="1:10" ht="15.6" x14ac:dyDescent="0.3">
      <c r="A303" s="127">
        <v>299</v>
      </c>
      <c r="B303" s="128">
        <v>43397</v>
      </c>
      <c r="C303" s="133" t="s">
        <v>1563</v>
      </c>
      <c r="D303" s="133" t="s">
        <v>1520</v>
      </c>
      <c r="E303" s="206" t="s">
        <v>269</v>
      </c>
      <c r="F303" s="133" t="s">
        <v>1148</v>
      </c>
      <c r="G303" s="141">
        <v>50000</v>
      </c>
      <c r="J303" s="118"/>
    </row>
    <row r="304" spans="1:10" ht="15.6" x14ac:dyDescent="0.3">
      <c r="A304" s="127">
        <v>300</v>
      </c>
      <c r="B304" s="128">
        <v>43397</v>
      </c>
      <c r="C304" s="129" t="s">
        <v>1564</v>
      </c>
      <c r="D304" s="129" t="s">
        <v>1471</v>
      </c>
      <c r="E304" s="206" t="s">
        <v>269</v>
      </c>
      <c r="F304" s="129" t="s">
        <v>1138</v>
      </c>
      <c r="G304" s="198">
        <v>-15000</v>
      </c>
      <c r="J304" s="118"/>
    </row>
    <row r="305" spans="1:10" ht="15.6" x14ac:dyDescent="0.3">
      <c r="A305" s="127">
        <v>301</v>
      </c>
      <c r="B305" s="128">
        <v>43398</v>
      </c>
      <c r="C305" s="129" t="s">
        <v>7</v>
      </c>
      <c r="D305" s="129" t="s">
        <v>1516</v>
      </c>
      <c r="E305" s="206" t="s">
        <v>269</v>
      </c>
      <c r="F305" s="129" t="s">
        <v>1138</v>
      </c>
      <c r="G305" s="198">
        <v>-1000</v>
      </c>
      <c r="J305" s="118"/>
    </row>
    <row r="306" spans="1:10" ht="15.6" x14ac:dyDescent="0.3">
      <c r="A306" s="127">
        <v>302</v>
      </c>
      <c r="B306" s="128">
        <v>43398</v>
      </c>
      <c r="C306" s="129" t="s">
        <v>9</v>
      </c>
      <c r="D306" s="129" t="s">
        <v>1516</v>
      </c>
      <c r="E306" s="206" t="s">
        <v>269</v>
      </c>
      <c r="F306" s="129" t="s">
        <v>1138</v>
      </c>
      <c r="G306" s="198">
        <v>-1000</v>
      </c>
      <c r="J306" s="118"/>
    </row>
    <row r="307" spans="1:10" ht="15.6" x14ac:dyDescent="0.3">
      <c r="A307" s="127">
        <v>303</v>
      </c>
      <c r="B307" s="128">
        <v>43400</v>
      </c>
      <c r="C307" s="129" t="s">
        <v>7</v>
      </c>
      <c r="D307" s="129" t="s">
        <v>1516</v>
      </c>
      <c r="E307" s="206" t="s">
        <v>269</v>
      </c>
      <c r="F307" s="129" t="s">
        <v>1138</v>
      </c>
      <c r="G307" s="198">
        <v>-1000</v>
      </c>
      <c r="J307" s="118"/>
    </row>
    <row r="308" spans="1:10" ht="15.6" x14ac:dyDescent="0.3">
      <c r="A308" s="127">
        <v>304</v>
      </c>
      <c r="B308" s="128">
        <v>43400</v>
      </c>
      <c r="C308" s="129" t="s">
        <v>42</v>
      </c>
      <c r="D308" s="129" t="s">
        <v>1521</v>
      </c>
      <c r="E308" s="206" t="s">
        <v>269</v>
      </c>
      <c r="F308" s="129" t="s">
        <v>1138</v>
      </c>
      <c r="G308" s="198">
        <v>-110</v>
      </c>
      <c r="J308" s="118"/>
    </row>
    <row r="309" spans="1:10" ht="15.6" x14ac:dyDescent="0.3">
      <c r="A309" s="127">
        <v>305</v>
      </c>
      <c r="B309" s="128">
        <v>43400</v>
      </c>
      <c r="C309" s="129" t="s">
        <v>56</v>
      </c>
      <c r="D309" s="129" t="s">
        <v>1521</v>
      </c>
      <c r="E309" s="206" t="s">
        <v>269</v>
      </c>
      <c r="F309" s="129" t="s">
        <v>1138</v>
      </c>
      <c r="G309" s="198">
        <v>-1100</v>
      </c>
      <c r="J309" s="118"/>
    </row>
    <row r="310" spans="1:10" ht="15.6" x14ac:dyDescent="0.3">
      <c r="A310" s="127">
        <v>306</v>
      </c>
      <c r="B310" s="128">
        <v>43400</v>
      </c>
      <c r="C310" s="129" t="s">
        <v>1548</v>
      </c>
      <c r="D310" s="129" t="s">
        <v>1526</v>
      </c>
      <c r="E310" s="206" t="s">
        <v>269</v>
      </c>
      <c r="F310" s="129" t="s">
        <v>1138</v>
      </c>
      <c r="G310" s="198">
        <v>-3000</v>
      </c>
      <c r="J310" s="118"/>
    </row>
    <row r="311" spans="1:10" ht="15.6" x14ac:dyDescent="0.3">
      <c r="A311" s="127">
        <v>307</v>
      </c>
      <c r="B311" s="128">
        <v>43400</v>
      </c>
      <c r="C311" s="129" t="s">
        <v>57</v>
      </c>
      <c r="D311" s="129" t="s">
        <v>1521</v>
      </c>
      <c r="E311" s="206" t="s">
        <v>269</v>
      </c>
      <c r="F311" s="129" t="s">
        <v>1138</v>
      </c>
      <c r="G311" s="198">
        <v>-450</v>
      </c>
      <c r="J311" s="118"/>
    </row>
    <row r="312" spans="1:10" ht="15.6" x14ac:dyDescent="0.3">
      <c r="A312" s="127">
        <v>308</v>
      </c>
      <c r="B312" s="128">
        <v>43402</v>
      </c>
      <c r="C312" s="129" t="s">
        <v>5</v>
      </c>
      <c r="D312" s="129" t="s">
        <v>1520</v>
      </c>
      <c r="E312" s="206" t="s">
        <v>269</v>
      </c>
      <c r="F312" s="129" t="s">
        <v>1148</v>
      </c>
      <c r="G312" s="141">
        <v>200000</v>
      </c>
      <c r="J312" s="118"/>
    </row>
    <row r="313" spans="1:10" ht="15.6" x14ac:dyDescent="0.3">
      <c r="A313" s="127">
        <v>309</v>
      </c>
      <c r="B313" s="128">
        <v>43402</v>
      </c>
      <c r="C313" s="129" t="s">
        <v>1565</v>
      </c>
      <c r="D313" s="129" t="s">
        <v>1523</v>
      </c>
      <c r="E313" s="206" t="s">
        <v>269</v>
      </c>
      <c r="F313" s="129" t="s">
        <v>1138</v>
      </c>
      <c r="G313" s="198">
        <v>-50000</v>
      </c>
      <c r="J313" s="118"/>
    </row>
    <row r="314" spans="1:10" ht="15.6" x14ac:dyDescent="0.3">
      <c r="A314" s="127">
        <v>310</v>
      </c>
      <c r="B314" s="128">
        <v>43402</v>
      </c>
      <c r="C314" s="129" t="s">
        <v>1566</v>
      </c>
      <c r="D314" s="129" t="s">
        <v>1530</v>
      </c>
      <c r="E314" s="206" t="s">
        <v>269</v>
      </c>
      <c r="F314" s="129" t="s">
        <v>1138</v>
      </c>
      <c r="G314" s="198">
        <v>-68000</v>
      </c>
      <c r="J314" s="118"/>
    </row>
    <row r="315" spans="1:10" ht="15.6" x14ac:dyDescent="0.3">
      <c r="A315" s="127">
        <v>311</v>
      </c>
      <c r="B315" s="128">
        <v>43402</v>
      </c>
      <c r="C315" s="129" t="s">
        <v>1548</v>
      </c>
      <c r="D315" s="129" t="s">
        <v>1526</v>
      </c>
      <c r="E315" s="206" t="s">
        <v>269</v>
      </c>
      <c r="F315" s="129" t="s">
        <v>1138</v>
      </c>
      <c r="G315" s="198">
        <v>-10000</v>
      </c>
      <c r="J315" s="118"/>
    </row>
    <row r="316" spans="1:10" ht="15.6" x14ac:dyDescent="0.3">
      <c r="A316" s="127">
        <v>312</v>
      </c>
      <c r="B316" s="128">
        <v>43402</v>
      </c>
      <c r="C316" s="129" t="s">
        <v>1567</v>
      </c>
      <c r="D316" s="129" t="s">
        <v>1516</v>
      </c>
      <c r="E316" s="206" t="s">
        <v>269</v>
      </c>
      <c r="F316" s="129" t="s">
        <v>1138</v>
      </c>
      <c r="G316" s="198">
        <v>-850</v>
      </c>
      <c r="J316" s="118"/>
    </row>
    <row r="317" spans="1:10" ht="15.6" x14ac:dyDescent="0.3">
      <c r="A317" s="127">
        <v>313</v>
      </c>
      <c r="B317" s="128">
        <v>43402</v>
      </c>
      <c r="C317" s="129" t="s">
        <v>62</v>
      </c>
      <c r="D317" s="129" t="s">
        <v>1521</v>
      </c>
      <c r="E317" s="206" t="s">
        <v>269</v>
      </c>
      <c r="F317" s="129" t="s">
        <v>1138</v>
      </c>
      <c r="G317" s="198">
        <v>-300</v>
      </c>
      <c r="J317" s="118"/>
    </row>
    <row r="318" spans="1:10" ht="15.6" x14ac:dyDescent="0.3">
      <c r="A318" s="127">
        <v>314</v>
      </c>
      <c r="B318" s="128">
        <v>43402</v>
      </c>
      <c r="C318" s="129" t="s">
        <v>63</v>
      </c>
      <c r="D318" s="129" t="s">
        <v>1521</v>
      </c>
      <c r="E318" s="206" t="s">
        <v>269</v>
      </c>
      <c r="F318" s="129" t="s">
        <v>1138</v>
      </c>
      <c r="G318" s="198">
        <v>-200</v>
      </c>
      <c r="J318" s="118"/>
    </row>
    <row r="319" spans="1:10" ht="15.6" x14ac:dyDescent="0.3">
      <c r="A319" s="127">
        <v>315</v>
      </c>
      <c r="B319" s="128">
        <v>43402</v>
      </c>
      <c r="C319" s="129" t="s">
        <v>1568</v>
      </c>
      <c r="D319" s="129" t="s">
        <v>1516</v>
      </c>
      <c r="E319" s="206" t="s">
        <v>269</v>
      </c>
      <c r="F319" s="129" t="s">
        <v>1138</v>
      </c>
      <c r="G319" s="198">
        <v>-10000</v>
      </c>
      <c r="J319" s="118"/>
    </row>
    <row r="320" spans="1:10" ht="15.6" x14ac:dyDescent="0.3">
      <c r="A320" s="127">
        <v>316</v>
      </c>
      <c r="B320" s="128">
        <v>43402</v>
      </c>
      <c r="C320" s="129" t="s">
        <v>26</v>
      </c>
      <c r="D320" s="129" t="s">
        <v>1522</v>
      </c>
      <c r="E320" s="206" t="s">
        <v>269</v>
      </c>
      <c r="F320" s="129" t="s">
        <v>1138</v>
      </c>
      <c r="G320" s="198">
        <v>-50000</v>
      </c>
      <c r="J320" s="118"/>
    </row>
    <row r="321" spans="1:10" ht="15.6" x14ac:dyDescent="0.3">
      <c r="A321" s="127">
        <v>317</v>
      </c>
      <c r="B321" s="128">
        <v>43402</v>
      </c>
      <c r="C321" s="129" t="s">
        <v>1569</v>
      </c>
      <c r="D321" s="129" t="s">
        <v>1516</v>
      </c>
      <c r="E321" s="206" t="s">
        <v>269</v>
      </c>
      <c r="F321" s="129" t="s">
        <v>1138</v>
      </c>
      <c r="G321" s="198">
        <v>-850</v>
      </c>
      <c r="J321" s="118"/>
    </row>
    <row r="322" spans="1:10" ht="15.6" x14ac:dyDescent="0.3">
      <c r="A322" s="127">
        <v>318</v>
      </c>
      <c r="B322" s="128">
        <v>43402</v>
      </c>
      <c r="C322" s="129" t="s">
        <v>7</v>
      </c>
      <c r="D322" s="129" t="s">
        <v>1516</v>
      </c>
      <c r="E322" s="206" t="s">
        <v>269</v>
      </c>
      <c r="F322" s="129" t="s">
        <v>1138</v>
      </c>
      <c r="G322" s="198">
        <v>-1150</v>
      </c>
      <c r="J322" s="118"/>
    </row>
    <row r="323" spans="1:10" ht="15.6" x14ac:dyDescent="0.3">
      <c r="A323" s="127">
        <v>319</v>
      </c>
      <c r="B323" s="128">
        <v>43402</v>
      </c>
      <c r="C323" s="129" t="s">
        <v>66</v>
      </c>
      <c r="D323" s="129" t="s">
        <v>1521</v>
      </c>
      <c r="E323" s="206" t="s">
        <v>269</v>
      </c>
      <c r="F323" s="129" t="s">
        <v>1138</v>
      </c>
      <c r="G323" s="198">
        <v>-200</v>
      </c>
      <c r="J323" s="118"/>
    </row>
    <row r="324" spans="1:10" ht="15.6" x14ac:dyDescent="0.3">
      <c r="A324" s="127">
        <v>320</v>
      </c>
      <c r="B324" s="128">
        <v>43402</v>
      </c>
      <c r="C324" s="129" t="s">
        <v>1570</v>
      </c>
      <c r="D324" s="239" t="s">
        <v>1520</v>
      </c>
      <c r="E324" s="240" t="s">
        <v>1137</v>
      </c>
      <c r="F324" s="129" t="s">
        <v>1148</v>
      </c>
      <c r="G324" s="173">
        <v>50000</v>
      </c>
      <c r="J324" s="118"/>
    </row>
    <row r="325" spans="1:10" ht="15.6" x14ac:dyDescent="0.3">
      <c r="A325" s="127">
        <v>321</v>
      </c>
      <c r="B325" s="128">
        <v>43402</v>
      </c>
      <c r="C325" s="129" t="s">
        <v>1570</v>
      </c>
      <c r="D325" s="239" t="s">
        <v>1520</v>
      </c>
      <c r="E325" s="240" t="s">
        <v>1137</v>
      </c>
      <c r="F325" s="129" t="s">
        <v>1148</v>
      </c>
      <c r="G325" s="173">
        <v>50000</v>
      </c>
      <c r="J325" s="118"/>
    </row>
    <row r="326" spans="1:10" ht="15.6" x14ac:dyDescent="0.3">
      <c r="A326" s="127">
        <v>322</v>
      </c>
      <c r="B326" s="128">
        <v>43403</v>
      </c>
      <c r="C326" s="129" t="s">
        <v>1551</v>
      </c>
      <c r="D326" s="129" t="s">
        <v>1471</v>
      </c>
      <c r="E326" s="206" t="s">
        <v>269</v>
      </c>
      <c r="F326" s="129" t="s">
        <v>1138</v>
      </c>
      <c r="G326" s="198">
        <v>-5000</v>
      </c>
      <c r="J326" s="118"/>
    </row>
    <row r="327" spans="1:10" ht="15.6" x14ac:dyDescent="0.3">
      <c r="A327" s="127">
        <v>323</v>
      </c>
      <c r="B327" s="128">
        <v>43403</v>
      </c>
      <c r="C327" s="129" t="s">
        <v>67</v>
      </c>
      <c r="D327" s="129" t="s">
        <v>1516</v>
      </c>
      <c r="E327" s="206" t="s">
        <v>269</v>
      </c>
      <c r="F327" s="129" t="s">
        <v>1138</v>
      </c>
      <c r="G327" s="198">
        <v>-1850</v>
      </c>
    </row>
    <row r="328" spans="1:10" ht="15.6" x14ac:dyDescent="0.3">
      <c r="A328" s="127">
        <v>324</v>
      </c>
      <c r="B328" s="128">
        <v>43403</v>
      </c>
      <c r="C328" s="129" t="s">
        <v>42</v>
      </c>
      <c r="D328" s="129" t="s">
        <v>1521</v>
      </c>
      <c r="E328" s="206" t="s">
        <v>269</v>
      </c>
      <c r="F328" s="129" t="s">
        <v>1138</v>
      </c>
      <c r="G328" s="198">
        <v>-150</v>
      </c>
    </row>
    <row r="329" spans="1:10" ht="15.6" x14ac:dyDescent="0.3">
      <c r="A329" s="127">
        <v>325</v>
      </c>
      <c r="B329" s="128">
        <v>43403</v>
      </c>
      <c r="C329" s="129" t="s">
        <v>68</v>
      </c>
      <c r="D329" s="129" t="s">
        <v>1521</v>
      </c>
      <c r="E329" s="206" t="s">
        <v>269</v>
      </c>
      <c r="F329" s="129" t="s">
        <v>1138</v>
      </c>
      <c r="G329" s="198">
        <v>-320</v>
      </c>
      <c r="J329" s="118"/>
    </row>
    <row r="330" spans="1:10" ht="15.6" x14ac:dyDescent="0.3">
      <c r="A330" s="127">
        <v>326</v>
      </c>
      <c r="B330" s="128">
        <v>43404</v>
      </c>
      <c r="C330" s="129" t="s">
        <v>7</v>
      </c>
      <c r="D330" s="129" t="s">
        <v>1516</v>
      </c>
      <c r="E330" s="206" t="s">
        <v>269</v>
      </c>
      <c r="F330" s="129" t="s">
        <v>1138</v>
      </c>
      <c r="G330" s="198">
        <v>-1000</v>
      </c>
      <c r="J330" s="118"/>
    </row>
    <row r="331" spans="1:10" ht="15.6" x14ac:dyDescent="0.3">
      <c r="A331" s="127">
        <v>327</v>
      </c>
      <c r="B331" s="128">
        <v>43405</v>
      </c>
      <c r="C331" s="129" t="s">
        <v>69</v>
      </c>
      <c r="D331" s="129" t="s">
        <v>1524</v>
      </c>
      <c r="E331" s="206" t="s">
        <v>269</v>
      </c>
      <c r="F331" s="129" t="s">
        <v>1138</v>
      </c>
      <c r="G331" s="198">
        <v>-50115</v>
      </c>
      <c r="J331" s="118"/>
    </row>
    <row r="332" spans="1:10" ht="15.6" x14ac:dyDescent="0.3">
      <c r="A332" s="127">
        <v>328</v>
      </c>
      <c r="B332" s="131">
        <v>43405</v>
      </c>
      <c r="C332" s="132" t="s">
        <v>1528</v>
      </c>
      <c r="D332" s="216" t="s">
        <v>1524</v>
      </c>
      <c r="E332" s="217" t="s">
        <v>1137</v>
      </c>
      <c r="F332" s="129" t="s">
        <v>1138</v>
      </c>
      <c r="G332" s="152">
        <v>-50000</v>
      </c>
      <c r="J332" s="118"/>
    </row>
    <row r="333" spans="1:10" ht="15.6" x14ac:dyDescent="0.3">
      <c r="A333" s="127">
        <v>329</v>
      </c>
      <c r="B333" s="128">
        <v>43407</v>
      </c>
      <c r="C333" s="133" t="s">
        <v>1550</v>
      </c>
      <c r="D333" s="133" t="s">
        <v>1520</v>
      </c>
      <c r="E333" s="206" t="s">
        <v>269</v>
      </c>
      <c r="F333" s="133" t="s">
        <v>1148</v>
      </c>
      <c r="G333" s="141">
        <v>50000</v>
      </c>
      <c r="J333" s="118"/>
    </row>
    <row r="334" spans="1:10" ht="15.6" x14ac:dyDescent="0.3">
      <c r="A334" s="127">
        <v>330</v>
      </c>
      <c r="B334" s="128">
        <v>43407</v>
      </c>
      <c r="C334" s="129" t="s">
        <v>1548</v>
      </c>
      <c r="D334" s="129" t="s">
        <v>1526</v>
      </c>
      <c r="E334" s="206" t="s">
        <v>269</v>
      </c>
      <c r="F334" s="129" t="s">
        <v>1138</v>
      </c>
      <c r="G334" s="198">
        <v>-30000</v>
      </c>
      <c r="J334" s="118"/>
    </row>
    <row r="335" spans="1:10" ht="15.6" x14ac:dyDescent="0.3">
      <c r="A335" s="127">
        <v>331</v>
      </c>
      <c r="B335" s="128">
        <v>43407</v>
      </c>
      <c r="C335" s="129" t="s">
        <v>1551</v>
      </c>
      <c r="D335" s="129" t="s">
        <v>1471</v>
      </c>
      <c r="E335" s="206" t="s">
        <v>269</v>
      </c>
      <c r="F335" s="129" t="s">
        <v>1138</v>
      </c>
      <c r="G335" s="198">
        <v>-20000</v>
      </c>
      <c r="J335" s="118"/>
    </row>
    <row r="336" spans="1:10" ht="15.6" x14ac:dyDescent="0.3">
      <c r="A336" s="127">
        <v>332</v>
      </c>
      <c r="B336" s="128">
        <v>43409</v>
      </c>
      <c r="C336" s="129" t="s">
        <v>1571</v>
      </c>
      <c r="D336" s="129" t="s">
        <v>1517</v>
      </c>
      <c r="E336" s="206" t="s">
        <v>269</v>
      </c>
      <c r="F336" s="129" t="s">
        <v>1138</v>
      </c>
      <c r="G336" s="198">
        <v>-60000</v>
      </c>
      <c r="J336" s="118"/>
    </row>
    <row r="337" spans="1:10" ht="15.6" x14ac:dyDescent="0.3">
      <c r="A337" s="127">
        <v>333</v>
      </c>
      <c r="B337" s="128">
        <v>43409</v>
      </c>
      <c r="C337" s="129" t="s">
        <v>1572</v>
      </c>
      <c r="D337" s="129" t="s">
        <v>1516</v>
      </c>
      <c r="E337" s="206" t="s">
        <v>269</v>
      </c>
      <c r="F337" s="129" t="s">
        <v>1138</v>
      </c>
      <c r="G337" s="198">
        <v>-7450</v>
      </c>
      <c r="J337" s="118"/>
    </row>
    <row r="338" spans="1:10" ht="15.6" x14ac:dyDescent="0.3">
      <c r="A338" s="127">
        <v>334</v>
      </c>
      <c r="B338" s="128">
        <v>43409</v>
      </c>
      <c r="C338" s="129" t="s">
        <v>1573</v>
      </c>
      <c r="D338" s="129" t="s">
        <v>1516</v>
      </c>
      <c r="E338" s="206" t="s">
        <v>269</v>
      </c>
      <c r="F338" s="129" t="s">
        <v>1138</v>
      </c>
      <c r="G338" s="198">
        <v>-12600</v>
      </c>
      <c r="J338" s="118"/>
    </row>
    <row r="339" spans="1:10" ht="15.6" x14ac:dyDescent="0.3">
      <c r="A339" s="127">
        <v>335</v>
      </c>
      <c r="B339" s="128">
        <v>43409</v>
      </c>
      <c r="C339" s="129" t="s">
        <v>1574</v>
      </c>
      <c r="D339" s="129" t="s">
        <v>1516</v>
      </c>
      <c r="E339" s="206" t="s">
        <v>269</v>
      </c>
      <c r="F339" s="129" t="s">
        <v>1138</v>
      </c>
      <c r="G339" s="198">
        <v>-12800</v>
      </c>
      <c r="J339" s="118"/>
    </row>
    <row r="340" spans="1:10" ht="15.6" x14ac:dyDescent="0.3">
      <c r="A340" s="127">
        <v>336</v>
      </c>
      <c r="B340" s="128">
        <v>43409</v>
      </c>
      <c r="C340" s="133" t="s">
        <v>1550</v>
      </c>
      <c r="D340" s="133" t="s">
        <v>1520</v>
      </c>
      <c r="E340" s="206" t="s">
        <v>269</v>
      </c>
      <c r="F340" s="133" t="s">
        <v>1148</v>
      </c>
      <c r="G340" s="141">
        <v>50000</v>
      </c>
      <c r="J340" s="118"/>
    </row>
    <row r="341" spans="1:10" ht="15.6" x14ac:dyDescent="0.3">
      <c r="A341" s="127">
        <v>337</v>
      </c>
      <c r="B341" s="128">
        <v>43409</v>
      </c>
      <c r="C341" s="133" t="s">
        <v>1575</v>
      </c>
      <c r="D341" s="133" t="s">
        <v>1523</v>
      </c>
      <c r="E341" s="206" t="s">
        <v>269</v>
      </c>
      <c r="F341" s="129" t="s">
        <v>1138</v>
      </c>
      <c r="G341" s="198">
        <v>-100000</v>
      </c>
      <c r="J341" s="118"/>
    </row>
    <row r="342" spans="1:10" ht="15.6" x14ac:dyDescent="0.3">
      <c r="A342" s="127">
        <v>338</v>
      </c>
      <c r="B342" s="128">
        <v>43410</v>
      </c>
      <c r="C342" s="129" t="s">
        <v>26</v>
      </c>
      <c r="D342" s="129" t="s">
        <v>1522</v>
      </c>
      <c r="E342" s="206" t="s">
        <v>269</v>
      </c>
      <c r="F342" s="129" t="s">
        <v>1138</v>
      </c>
      <c r="G342" s="198">
        <v>-25000</v>
      </c>
      <c r="J342" s="118"/>
    </row>
    <row r="343" spans="1:10" ht="15.6" x14ac:dyDescent="0.3">
      <c r="A343" s="127">
        <v>339</v>
      </c>
      <c r="B343" s="128">
        <v>43410</v>
      </c>
      <c r="C343" s="133" t="s">
        <v>1576</v>
      </c>
      <c r="D343" s="133" t="s">
        <v>1523</v>
      </c>
      <c r="E343" s="206" t="s">
        <v>269</v>
      </c>
      <c r="F343" s="129" t="s">
        <v>1138</v>
      </c>
      <c r="G343" s="198">
        <v>-100000</v>
      </c>
      <c r="J343" s="118"/>
    </row>
    <row r="344" spans="1:10" ht="15.6" x14ac:dyDescent="0.3">
      <c r="A344" s="127">
        <v>340</v>
      </c>
      <c r="B344" s="128">
        <v>43411</v>
      </c>
      <c r="C344" s="129" t="s">
        <v>1551</v>
      </c>
      <c r="D344" s="129" t="s">
        <v>1471</v>
      </c>
      <c r="E344" s="206" t="s">
        <v>269</v>
      </c>
      <c r="F344" s="129" t="s">
        <v>1138</v>
      </c>
      <c r="G344" s="198">
        <v>-25000</v>
      </c>
      <c r="J344" s="118"/>
    </row>
    <row r="345" spans="1:10" ht="15.6" x14ac:dyDescent="0.3">
      <c r="A345" s="127">
        <v>341</v>
      </c>
      <c r="B345" s="128">
        <v>43411</v>
      </c>
      <c r="C345" s="129" t="s">
        <v>1548</v>
      </c>
      <c r="D345" s="129" t="s">
        <v>1526</v>
      </c>
      <c r="E345" s="206" t="s">
        <v>269</v>
      </c>
      <c r="F345" s="129" t="s">
        <v>1138</v>
      </c>
      <c r="G345" s="198">
        <v>-10000</v>
      </c>
      <c r="J345" s="118"/>
    </row>
    <row r="346" spans="1:10" ht="15.6" x14ac:dyDescent="0.3">
      <c r="A346" s="127">
        <v>342</v>
      </c>
      <c r="B346" s="128">
        <v>43414</v>
      </c>
      <c r="C346" s="133" t="s">
        <v>1550</v>
      </c>
      <c r="D346" s="133" t="s">
        <v>1520</v>
      </c>
      <c r="E346" s="206" t="s">
        <v>269</v>
      </c>
      <c r="F346" s="133" t="s">
        <v>1148</v>
      </c>
      <c r="G346" s="198">
        <v>35000</v>
      </c>
      <c r="J346" s="118"/>
    </row>
    <row r="347" spans="1:10" ht="15.6" x14ac:dyDescent="0.3">
      <c r="A347" s="127">
        <v>338</v>
      </c>
      <c r="B347" s="128">
        <v>43415</v>
      </c>
      <c r="C347" s="133" t="s">
        <v>1550</v>
      </c>
      <c r="D347" s="133" t="s">
        <v>1520</v>
      </c>
      <c r="E347" s="206" t="s">
        <v>269</v>
      </c>
      <c r="F347" s="133" t="s">
        <v>1148</v>
      </c>
      <c r="G347" s="141">
        <v>65000</v>
      </c>
      <c r="J347" s="118"/>
    </row>
    <row r="348" spans="1:10" ht="15.6" x14ac:dyDescent="0.3">
      <c r="A348" s="127">
        <v>343</v>
      </c>
      <c r="B348" s="128">
        <v>43415</v>
      </c>
      <c r="C348" s="129" t="s">
        <v>1551</v>
      </c>
      <c r="D348" s="129" t="s">
        <v>1471</v>
      </c>
      <c r="E348" s="206" t="s">
        <v>269</v>
      </c>
      <c r="F348" s="129" t="s">
        <v>1138</v>
      </c>
      <c r="G348" s="198">
        <v>-50000</v>
      </c>
      <c r="J348" s="118"/>
    </row>
    <row r="349" spans="1:10" ht="15.6" x14ac:dyDescent="0.3">
      <c r="A349" s="127">
        <v>344</v>
      </c>
      <c r="B349" s="128">
        <v>43415</v>
      </c>
      <c r="C349" s="130" t="s">
        <v>1577</v>
      </c>
      <c r="D349" s="130" t="s">
        <v>1530</v>
      </c>
      <c r="E349" s="206" t="s">
        <v>269</v>
      </c>
      <c r="F349" s="129" t="s">
        <v>1138</v>
      </c>
      <c r="G349" s="198">
        <v>-23000</v>
      </c>
      <c r="J349" s="118"/>
    </row>
    <row r="350" spans="1:10" ht="15.6" x14ac:dyDescent="0.3">
      <c r="A350" s="127">
        <v>345</v>
      </c>
      <c r="B350" s="128">
        <v>43415</v>
      </c>
      <c r="C350" s="129" t="s">
        <v>62</v>
      </c>
      <c r="D350" s="129" t="s">
        <v>1521</v>
      </c>
      <c r="E350" s="206" t="s">
        <v>269</v>
      </c>
      <c r="F350" s="129" t="s">
        <v>1138</v>
      </c>
      <c r="G350" s="198">
        <v>-100</v>
      </c>
      <c r="J350" s="118"/>
    </row>
    <row r="351" spans="1:10" ht="15.6" x14ac:dyDescent="0.3">
      <c r="A351" s="127">
        <v>346</v>
      </c>
      <c r="B351" s="128">
        <v>43415</v>
      </c>
      <c r="C351" s="129" t="s">
        <v>7</v>
      </c>
      <c r="D351" s="129" t="s">
        <v>1516</v>
      </c>
      <c r="E351" s="206" t="s">
        <v>269</v>
      </c>
      <c r="F351" s="129" t="s">
        <v>1138</v>
      </c>
      <c r="G351" s="198">
        <v>-2000</v>
      </c>
      <c r="J351" s="118"/>
    </row>
    <row r="352" spans="1:10" ht="15.6" x14ac:dyDescent="0.3">
      <c r="A352" s="127">
        <v>347</v>
      </c>
      <c r="B352" s="128">
        <v>43415</v>
      </c>
      <c r="C352" s="129" t="s">
        <v>77</v>
      </c>
      <c r="D352" s="129" t="s">
        <v>1516</v>
      </c>
      <c r="E352" s="206" t="s">
        <v>269</v>
      </c>
      <c r="F352" s="129" t="s">
        <v>1138</v>
      </c>
      <c r="G352" s="198">
        <v>-1000</v>
      </c>
      <c r="J352" s="118"/>
    </row>
    <row r="353" spans="1:10" ht="15.6" x14ac:dyDescent="0.3">
      <c r="A353" s="127">
        <v>348</v>
      </c>
      <c r="B353" s="128">
        <v>43415</v>
      </c>
      <c r="C353" s="129" t="s">
        <v>42</v>
      </c>
      <c r="D353" s="129" t="s">
        <v>1521</v>
      </c>
      <c r="E353" s="206" t="s">
        <v>269</v>
      </c>
      <c r="F353" s="129" t="s">
        <v>1138</v>
      </c>
      <c r="G353" s="198">
        <v>-200</v>
      </c>
      <c r="J353" s="118"/>
    </row>
    <row r="354" spans="1:10" ht="15.6" x14ac:dyDescent="0.3">
      <c r="A354" s="127">
        <v>349</v>
      </c>
      <c r="B354" s="128">
        <v>43416</v>
      </c>
      <c r="C354" s="133" t="s">
        <v>1562</v>
      </c>
      <c r="D354" s="133" t="s">
        <v>1520</v>
      </c>
      <c r="E354" s="206" t="s">
        <v>269</v>
      </c>
      <c r="F354" s="133" t="s">
        <v>1148</v>
      </c>
      <c r="G354" s="141">
        <v>50000</v>
      </c>
      <c r="J354" s="118"/>
    </row>
    <row r="355" spans="1:10" ht="15.6" x14ac:dyDescent="0.3">
      <c r="A355" s="127">
        <v>350</v>
      </c>
      <c r="B355" s="128">
        <v>43416</v>
      </c>
      <c r="C355" s="133" t="s">
        <v>1562</v>
      </c>
      <c r="D355" s="133" t="s">
        <v>1520</v>
      </c>
      <c r="E355" s="206" t="s">
        <v>269</v>
      </c>
      <c r="F355" s="133" t="s">
        <v>1148</v>
      </c>
      <c r="G355" s="141">
        <v>50000</v>
      </c>
      <c r="J355" s="118"/>
    </row>
    <row r="356" spans="1:10" ht="15.6" x14ac:dyDescent="0.3">
      <c r="A356" s="127">
        <v>351</v>
      </c>
      <c r="B356" s="128">
        <v>43416</v>
      </c>
      <c r="C356" s="129" t="s">
        <v>1548</v>
      </c>
      <c r="D356" s="129" t="s">
        <v>1526</v>
      </c>
      <c r="E356" s="206" t="s">
        <v>269</v>
      </c>
      <c r="F356" s="129" t="s">
        <v>1138</v>
      </c>
      <c r="G356" s="198">
        <v>-100000</v>
      </c>
      <c r="J356" s="118"/>
    </row>
    <row r="357" spans="1:10" ht="15.6" x14ac:dyDescent="0.3">
      <c r="A357" s="127">
        <v>352</v>
      </c>
      <c r="B357" s="128">
        <v>43416</v>
      </c>
      <c r="C357" s="129" t="s">
        <v>42</v>
      </c>
      <c r="D357" s="129" t="s">
        <v>1521</v>
      </c>
      <c r="E357" s="206" t="s">
        <v>269</v>
      </c>
      <c r="F357" s="129" t="s">
        <v>1138</v>
      </c>
      <c r="G357" s="198">
        <v>-50</v>
      </c>
      <c r="J357" s="118"/>
    </row>
    <row r="358" spans="1:10" ht="15.6" x14ac:dyDescent="0.3">
      <c r="A358" s="127">
        <v>353</v>
      </c>
      <c r="B358" s="128">
        <v>43416</v>
      </c>
      <c r="C358" s="129" t="s">
        <v>1578</v>
      </c>
      <c r="D358" s="129" t="s">
        <v>1521</v>
      </c>
      <c r="E358" s="206" t="s">
        <v>269</v>
      </c>
      <c r="F358" s="129" t="s">
        <v>1138</v>
      </c>
      <c r="G358" s="198">
        <v>-9100</v>
      </c>
      <c r="J358" s="118"/>
    </row>
    <row r="359" spans="1:10" ht="15.6" x14ac:dyDescent="0.3">
      <c r="A359" s="127">
        <v>354</v>
      </c>
      <c r="B359" s="128">
        <v>43418</v>
      </c>
      <c r="C359" s="129" t="s">
        <v>7</v>
      </c>
      <c r="D359" s="129" t="s">
        <v>1516</v>
      </c>
      <c r="E359" s="206" t="s">
        <v>269</v>
      </c>
      <c r="F359" s="129" t="s">
        <v>1138</v>
      </c>
      <c r="G359" s="198">
        <v>-1000</v>
      </c>
      <c r="J359" s="118"/>
    </row>
    <row r="360" spans="1:10" ht="15.6" x14ac:dyDescent="0.3">
      <c r="A360" s="127">
        <v>355</v>
      </c>
      <c r="B360" s="128">
        <v>43420</v>
      </c>
      <c r="C360" s="129" t="s">
        <v>1548</v>
      </c>
      <c r="D360" s="129" t="s">
        <v>1526</v>
      </c>
      <c r="E360" s="206" t="s">
        <v>269</v>
      </c>
      <c r="F360" s="129" t="s">
        <v>1138</v>
      </c>
      <c r="G360" s="198">
        <v>-10000</v>
      </c>
      <c r="J360" s="118"/>
    </row>
    <row r="361" spans="1:10" ht="15.6" x14ac:dyDescent="0.3">
      <c r="A361" s="127">
        <v>356</v>
      </c>
      <c r="B361" s="128">
        <v>43420</v>
      </c>
      <c r="C361" s="129" t="s">
        <v>1551</v>
      </c>
      <c r="D361" s="129" t="s">
        <v>1471</v>
      </c>
      <c r="E361" s="206" t="s">
        <v>269</v>
      </c>
      <c r="F361" s="129" t="s">
        <v>1138</v>
      </c>
      <c r="G361" s="198">
        <v>-50000</v>
      </c>
      <c r="J361" s="118"/>
    </row>
    <row r="362" spans="1:10" ht="15.6" x14ac:dyDescent="0.3">
      <c r="A362" s="127">
        <v>357</v>
      </c>
      <c r="B362" s="128">
        <v>43420</v>
      </c>
      <c r="C362" s="129" t="s">
        <v>7</v>
      </c>
      <c r="D362" s="129" t="s">
        <v>1516</v>
      </c>
      <c r="E362" s="206" t="s">
        <v>269</v>
      </c>
      <c r="F362" s="129" t="s">
        <v>1138</v>
      </c>
      <c r="G362" s="198">
        <v>-1000</v>
      </c>
      <c r="J362" s="118"/>
    </row>
    <row r="363" spans="1:10" ht="15.6" x14ac:dyDescent="0.3">
      <c r="A363" s="127">
        <v>358</v>
      </c>
      <c r="B363" s="128">
        <v>43421</v>
      </c>
      <c r="C363" s="129" t="s">
        <v>1579</v>
      </c>
      <c r="D363" s="129" t="s">
        <v>1533</v>
      </c>
      <c r="E363" s="206" t="s">
        <v>269</v>
      </c>
      <c r="F363" s="129" t="s">
        <v>1138</v>
      </c>
      <c r="G363" s="198">
        <v>-3000</v>
      </c>
      <c r="J363" s="118"/>
    </row>
    <row r="364" spans="1:10" ht="15.6" x14ac:dyDescent="0.3">
      <c r="A364" s="127">
        <v>359</v>
      </c>
      <c r="B364" s="128">
        <v>43422</v>
      </c>
      <c r="C364" s="129" t="s">
        <v>7</v>
      </c>
      <c r="D364" s="129" t="s">
        <v>1516</v>
      </c>
      <c r="E364" s="206" t="s">
        <v>269</v>
      </c>
      <c r="F364" s="129" t="s">
        <v>1138</v>
      </c>
      <c r="G364" s="198">
        <v>-1000</v>
      </c>
      <c r="J364" s="118"/>
    </row>
    <row r="365" spans="1:10" ht="15.6" x14ac:dyDescent="0.3">
      <c r="A365" s="127">
        <v>360</v>
      </c>
      <c r="B365" s="128">
        <v>43422</v>
      </c>
      <c r="C365" s="129" t="s">
        <v>80</v>
      </c>
      <c r="D365" s="129" t="s">
        <v>1533</v>
      </c>
      <c r="E365" s="206" t="s">
        <v>269</v>
      </c>
      <c r="F365" s="129" t="s">
        <v>1138</v>
      </c>
      <c r="G365" s="198">
        <v>-1000</v>
      </c>
      <c r="J365" s="118"/>
    </row>
    <row r="366" spans="1:10" ht="15.6" x14ac:dyDescent="0.3">
      <c r="A366" s="127">
        <v>361</v>
      </c>
      <c r="B366" s="128">
        <v>43422</v>
      </c>
      <c r="C366" s="129" t="s">
        <v>81</v>
      </c>
      <c r="D366" s="129" t="s">
        <v>1521</v>
      </c>
      <c r="E366" s="206" t="s">
        <v>269</v>
      </c>
      <c r="F366" s="129" t="s">
        <v>1138</v>
      </c>
      <c r="G366" s="198">
        <v>-95</v>
      </c>
      <c r="J366" s="118"/>
    </row>
    <row r="367" spans="1:10" ht="15.6" x14ac:dyDescent="0.3">
      <c r="A367" s="127">
        <v>362</v>
      </c>
      <c r="B367" s="128">
        <v>43424</v>
      </c>
      <c r="C367" s="129" t="s">
        <v>1548</v>
      </c>
      <c r="D367" s="129" t="s">
        <v>1526</v>
      </c>
      <c r="E367" s="206" t="s">
        <v>269</v>
      </c>
      <c r="F367" s="129" t="s">
        <v>1138</v>
      </c>
      <c r="G367" s="198">
        <v>-10000</v>
      </c>
      <c r="J367" s="118"/>
    </row>
    <row r="368" spans="1:10" ht="15.6" x14ac:dyDescent="0.3">
      <c r="A368" s="127">
        <v>363</v>
      </c>
      <c r="B368" s="128">
        <v>43424</v>
      </c>
      <c r="C368" s="129" t="s">
        <v>42</v>
      </c>
      <c r="D368" s="129" t="s">
        <v>1521</v>
      </c>
      <c r="E368" s="206" t="s">
        <v>269</v>
      </c>
      <c r="F368" s="129" t="s">
        <v>1138</v>
      </c>
      <c r="G368" s="198">
        <v>-100</v>
      </c>
      <c r="J368" s="118"/>
    </row>
    <row r="369" spans="1:10" ht="15.6" x14ac:dyDescent="0.3">
      <c r="A369" s="127">
        <v>364</v>
      </c>
      <c r="B369" s="128">
        <v>43424</v>
      </c>
      <c r="C369" s="129" t="s">
        <v>7</v>
      </c>
      <c r="D369" s="129" t="s">
        <v>1516</v>
      </c>
      <c r="E369" s="206" t="s">
        <v>269</v>
      </c>
      <c r="F369" s="129" t="s">
        <v>1138</v>
      </c>
      <c r="G369" s="198">
        <v>-500</v>
      </c>
      <c r="J369" s="118"/>
    </row>
    <row r="370" spans="1:10" ht="15.6" x14ac:dyDescent="0.3">
      <c r="A370" s="127">
        <v>365</v>
      </c>
      <c r="B370" s="128">
        <v>43424</v>
      </c>
      <c r="C370" s="129" t="s">
        <v>77</v>
      </c>
      <c r="D370" s="129" t="s">
        <v>1516</v>
      </c>
      <c r="E370" s="206" t="s">
        <v>269</v>
      </c>
      <c r="F370" s="129" t="s">
        <v>1138</v>
      </c>
      <c r="G370" s="198">
        <v>-1000</v>
      </c>
      <c r="J370" s="118"/>
    </row>
    <row r="371" spans="1:10" ht="15.6" x14ac:dyDescent="0.3">
      <c r="A371" s="127">
        <v>366</v>
      </c>
      <c r="B371" s="128">
        <v>43426</v>
      </c>
      <c r="C371" s="133" t="s">
        <v>1580</v>
      </c>
      <c r="D371" s="133" t="s">
        <v>1520</v>
      </c>
      <c r="E371" s="206" t="s">
        <v>269</v>
      </c>
      <c r="F371" s="133" t="s">
        <v>1148</v>
      </c>
      <c r="G371" s="141">
        <v>50000</v>
      </c>
      <c r="J371" s="118"/>
    </row>
    <row r="372" spans="1:10" ht="15.6" x14ac:dyDescent="0.3">
      <c r="A372" s="127">
        <v>367</v>
      </c>
      <c r="B372" s="128">
        <v>43426</v>
      </c>
      <c r="C372" s="129" t="s">
        <v>1548</v>
      </c>
      <c r="D372" s="129" t="s">
        <v>1526</v>
      </c>
      <c r="E372" s="206" t="s">
        <v>269</v>
      </c>
      <c r="F372" s="129" t="s">
        <v>1138</v>
      </c>
      <c r="G372" s="198">
        <v>-25000</v>
      </c>
      <c r="J372" s="118"/>
    </row>
    <row r="373" spans="1:10" ht="15.6" x14ac:dyDescent="0.3">
      <c r="A373" s="127">
        <v>368</v>
      </c>
      <c r="B373" s="128">
        <v>43426</v>
      </c>
      <c r="C373" s="129" t="s">
        <v>1581</v>
      </c>
      <c r="D373" s="129" t="s">
        <v>1529</v>
      </c>
      <c r="E373" s="206" t="s">
        <v>269</v>
      </c>
      <c r="F373" s="129" t="s">
        <v>1138</v>
      </c>
      <c r="G373" s="198">
        <v>-20000</v>
      </c>
      <c r="J373" s="118"/>
    </row>
    <row r="374" spans="1:10" ht="15.6" x14ac:dyDescent="0.3">
      <c r="A374" s="127">
        <v>369</v>
      </c>
      <c r="B374" s="128">
        <v>43426</v>
      </c>
      <c r="C374" s="129" t="s">
        <v>84</v>
      </c>
      <c r="D374" s="129" t="s">
        <v>1533</v>
      </c>
      <c r="E374" s="206" t="s">
        <v>269</v>
      </c>
      <c r="F374" s="129" t="s">
        <v>1138</v>
      </c>
      <c r="G374" s="198">
        <v>-5000</v>
      </c>
      <c r="J374" s="118"/>
    </row>
    <row r="375" spans="1:10" ht="15.6" x14ac:dyDescent="0.3">
      <c r="A375" s="127">
        <v>370</v>
      </c>
      <c r="B375" s="128">
        <v>43427</v>
      </c>
      <c r="C375" s="129" t="s">
        <v>7</v>
      </c>
      <c r="D375" s="129" t="s">
        <v>1516</v>
      </c>
      <c r="E375" s="206" t="s">
        <v>269</v>
      </c>
      <c r="F375" s="129" t="s">
        <v>1138</v>
      </c>
      <c r="G375" s="198">
        <v>-3000</v>
      </c>
      <c r="J375" s="118"/>
    </row>
    <row r="376" spans="1:10" ht="15.6" x14ac:dyDescent="0.3">
      <c r="A376" s="127">
        <v>371</v>
      </c>
      <c r="B376" s="128">
        <v>43427</v>
      </c>
      <c r="C376" s="129" t="s">
        <v>1386</v>
      </c>
      <c r="D376" s="214" t="s">
        <v>1535</v>
      </c>
      <c r="E376" s="213" t="s">
        <v>1137</v>
      </c>
      <c r="F376" s="129" t="s">
        <v>1535</v>
      </c>
      <c r="G376" s="195">
        <v>9000</v>
      </c>
      <c r="J376" s="118"/>
    </row>
    <row r="377" spans="1:10" ht="15.6" x14ac:dyDescent="0.3">
      <c r="A377" s="127">
        <v>372</v>
      </c>
      <c r="B377" s="128">
        <v>43428</v>
      </c>
      <c r="C377" s="129" t="s">
        <v>85</v>
      </c>
      <c r="D377" s="129" t="s">
        <v>1521</v>
      </c>
      <c r="E377" s="206" t="s">
        <v>269</v>
      </c>
      <c r="F377" s="129" t="s">
        <v>1138</v>
      </c>
      <c r="G377" s="198">
        <v>-700</v>
      </c>
      <c r="H377" s="160">
        <v>9000</v>
      </c>
      <c r="J377" s="118"/>
    </row>
    <row r="378" spans="1:10" ht="15.6" x14ac:dyDescent="0.3">
      <c r="A378" s="127">
        <v>373</v>
      </c>
      <c r="B378" s="128">
        <v>43428</v>
      </c>
      <c r="C378" s="129" t="s">
        <v>86</v>
      </c>
      <c r="D378" s="129" t="s">
        <v>1526</v>
      </c>
      <c r="E378" s="206" t="s">
        <v>269</v>
      </c>
      <c r="F378" s="129" t="s">
        <v>1138</v>
      </c>
      <c r="G378" s="198">
        <v>-50</v>
      </c>
      <c r="J378" s="118"/>
    </row>
    <row r="379" spans="1:10" ht="15.6" x14ac:dyDescent="0.3">
      <c r="A379" s="127">
        <v>374</v>
      </c>
      <c r="B379" s="128">
        <v>43428</v>
      </c>
      <c r="C379" s="129" t="s">
        <v>69</v>
      </c>
      <c r="D379" s="129" t="s">
        <v>1524</v>
      </c>
      <c r="E379" s="206" t="s">
        <v>269</v>
      </c>
      <c r="F379" s="129" t="s">
        <v>1138</v>
      </c>
      <c r="G379" s="198">
        <v>-8000</v>
      </c>
    </row>
    <row r="380" spans="1:10" ht="15.6" x14ac:dyDescent="0.3">
      <c r="A380" s="127">
        <v>375</v>
      </c>
      <c r="B380" s="128">
        <v>43429</v>
      </c>
      <c r="C380" s="129" t="s">
        <v>1551</v>
      </c>
      <c r="D380" s="129" t="s">
        <v>1471</v>
      </c>
      <c r="E380" s="206" t="s">
        <v>269</v>
      </c>
      <c r="F380" s="129" t="s">
        <v>1138</v>
      </c>
      <c r="G380" s="198">
        <v>-10000</v>
      </c>
      <c r="J380" s="118"/>
    </row>
    <row r="381" spans="1:10" ht="15.6" x14ac:dyDescent="0.3">
      <c r="A381" s="127">
        <v>376</v>
      </c>
      <c r="B381" s="128">
        <v>43429</v>
      </c>
      <c r="C381" s="129" t="s">
        <v>84</v>
      </c>
      <c r="D381" s="129" t="s">
        <v>1533</v>
      </c>
      <c r="E381" s="206" t="s">
        <v>269</v>
      </c>
      <c r="F381" s="129" t="s">
        <v>1138</v>
      </c>
      <c r="G381" s="198">
        <v>-3000</v>
      </c>
      <c r="J381" s="118"/>
    </row>
    <row r="382" spans="1:10" ht="15.6" x14ac:dyDescent="0.3">
      <c r="A382" s="127">
        <v>377</v>
      </c>
      <c r="B382" s="128">
        <v>43429</v>
      </c>
      <c r="C382" s="133" t="s">
        <v>1582</v>
      </c>
      <c r="D382" s="133" t="s">
        <v>1520</v>
      </c>
      <c r="E382" s="206" t="s">
        <v>269</v>
      </c>
      <c r="F382" s="133" t="s">
        <v>1148</v>
      </c>
      <c r="G382" s="141">
        <v>50000</v>
      </c>
      <c r="J382" s="118"/>
    </row>
    <row r="383" spans="1:10" ht="15.6" x14ac:dyDescent="0.3">
      <c r="A383" s="127">
        <v>378</v>
      </c>
      <c r="B383" s="128">
        <v>43430</v>
      </c>
      <c r="C383" s="129" t="s">
        <v>1548</v>
      </c>
      <c r="D383" s="129" t="s">
        <v>1526</v>
      </c>
      <c r="E383" s="206" t="s">
        <v>269</v>
      </c>
      <c r="F383" s="129" t="s">
        <v>1138</v>
      </c>
      <c r="G383" s="198">
        <v>-10000</v>
      </c>
      <c r="J383" s="118"/>
    </row>
    <row r="384" spans="1:10" ht="15.6" x14ac:dyDescent="0.3">
      <c r="A384" s="127">
        <v>379</v>
      </c>
      <c r="B384" s="128">
        <v>43430</v>
      </c>
      <c r="C384" s="129" t="s">
        <v>42</v>
      </c>
      <c r="D384" s="129" t="s">
        <v>1521</v>
      </c>
      <c r="E384" s="206" t="s">
        <v>269</v>
      </c>
      <c r="F384" s="129" t="s">
        <v>1138</v>
      </c>
      <c r="G384" s="198">
        <v>-100</v>
      </c>
      <c r="J384" s="118"/>
    </row>
    <row r="385" spans="1:10" ht="15.6" x14ac:dyDescent="0.3">
      <c r="A385" s="127">
        <v>380</v>
      </c>
      <c r="B385" s="128">
        <v>43431</v>
      </c>
      <c r="C385" s="129" t="s">
        <v>1548</v>
      </c>
      <c r="D385" s="129" t="s">
        <v>1526</v>
      </c>
      <c r="E385" s="206" t="s">
        <v>269</v>
      </c>
      <c r="F385" s="129" t="s">
        <v>1138</v>
      </c>
      <c r="G385" s="198">
        <v>-5000</v>
      </c>
      <c r="J385" s="118"/>
    </row>
    <row r="386" spans="1:10" ht="15.6" x14ac:dyDescent="0.3">
      <c r="A386" s="127">
        <v>381</v>
      </c>
      <c r="B386" s="128">
        <v>43432</v>
      </c>
      <c r="C386" s="129" t="s">
        <v>1583</v>
      </c>
      <c r="D386" s="129" t="s">
        <v>1521</v>
      </c>
      <c r="E386" s="206" t="s">
        <v>269</v>
      </c>
      <c r="F386" s="129" t="s">
        <v>1138</v>
      </c>
      <c r="G386" s="198">
        <v>-15560</v>
      </c>
      <c r="J386" s="118"/>
    </row>
    <row r="387" spans="1:10" ht="15.6" x14ac:dyDescent="0.3">
      <c r="A387" s="127">
        <v>382</v>
      </c>
      <c r="B387" s="128">
        <v>43433</v>
      </c>
      <c r="C387" s="129" t="s">
        <v>1548</v>
      </c>
      <c r="D387" s="129" t="s">
        <v>1526</v>
      </c>
      <c r="E387" s="206" t="s">
        <v>269</v>
      </c>
      <c r="F387" s="129" t="s">
        <v>1138</v>
      </c>
      <c r="G387" s="198">
        <v>-5000</v>
      </c>
      <c r="J387" s="118"/>
    </row>
    <row r="388" spans="1:10" ht="15.6" x14ac:dyDescent="0.3">
      <c r="A388" s="127">
        <v>383</v>
      </c>
      <c r="B388" s="128">
        <v>43434</v>
      </c>
      <c r="C388" s="129" t="s">
        <v>42</v>
      </c>
      <c r="D388" s="129" t="s">
        <v>1521</v>
      </c>
      <c r="E388" s="206" t="s">
        <v>269</v>
      </c>
      <c r="F388" s="129" t="s">
        <v>1138</v>
      </c>
      <c r="G388" s="198">
        <v>-500</v>
      </c>
      <c r="J388" s="118"/>
    </row>
    <row r="389" spans="1:10" ht="15.6" x14ac:dyDescent="0.3">
      <c r="A389" s="127">
        <v>384</v>
      </c>
      <c r="B389" s="128">
        <v>43434</v>
      </c>
      <c r="C389" s="129" t="s">
        <v>7</v>
      </c>
      <c r="D389" s="129" t="s">
        <v>1516</v>
      </c>
      <c r="E389" s="206" t="s">
        <v>269</v>
      </c>
      <c r="F389" s="129" t="s">
        <v>1138</v>
      </c>
      <c r="G389" s="198">
        <v>-100</v>
      </c>
      <c r="J389" s="118"/>
    </row>
    <row r="390" spans="1:10" ht="15.6" x14ac:dyDescent="0.3">
      <c r="A390" s="127">
        <v>385</v>
      </c>
      <c r="B390" s="128">
        <v>43435</v>
      </c>
      <c r="C390" s="129" t="s">
        <v>42</v>
      </c>
      <c r="D390" s="129" t="s">
        <v>1521</v>
      </c>
      <c r="E390" s="206" t="s">
        <v>269</v>
      </c>
      <c r="F390" s="129" t="s">
        <v>1138</v>
      </c>
      <c r="G390" s="198">
        <v>-100</v>
      </c>
      <c r="J390" s="118"/>
    </row>
    <row r="391" spans="1:10" ht="15.6" x14ac:dyDescent="0.3">
      <c r="A391" s="127">
        <v>386</v>
      </c>
      <c r="B391" s="128">
        <v>43435</v>
      </c>
      <c r="C391" s="129" t="s">
        <v>80</v>
      </c>
      <c r="D391" s="129" t="s">
        <v>1533</v>
      </c>
      <c r="E391" s="206" t="s">
        <v>269</v>
      </c>
      <c r="F391" s="129" t="s">
        <v>1138</v>
      </c>
      <c r="G391" s="198">
        <v>-3000</v>
      </c>
      <c r="J391" s="118"/>
    </row>
    <row r="392" spans="1:10" ht="15.6" x14ac:dyDescent="0.3">
      <c r="A392" s="127">
        <v>387</v>
      </c>
      <c r="B392" s="128">
        <v>43436</v>
      </c>
      <c r="C392" s="129" t="s">
        <v>42</v>
      </c>
      <c r="D392" s="129" t="s">
        <v>1521</v>
      </c>
      <c r="E392" s="206" t="s">
        <v>269</v>
      </c>
      <c r="F392" s="129" t="s">
        <v>1138</v>
      </c>
      <c r="G392" s="198">
        <v>-200</v>
      </c>
      <c r="J392" s="118"/>
    </row>
    <row r="393" spans="1:10" ht="15.6" x14ac:dyDescent="0.3">
      <c r="A393" s="127">
        <v>388</v>
      </c>
      <c r="B393" s="128">
        <v>43436</v>
      </c>
      <c r="C393" s="129" t="s">
        <v>7</v>
      </c>
      <c r="D393" s="129" t="s">
        <v>1516</v>
      </c>
      <c r="E393" s="206" t="s">
        <v>269</v>
      </c>
      <c r="F393" s="129" t="s">
        <v>1138</v>
      </c>
      <c r="G393" s="198">
        <v>-1000</v>
      </c>
      <c r="J393" s="118"/>
    </row>
    <row r="394" spans="1:10" ht="15.6" x14ac:dyDescent="0.3">
      <c r="A394" s="127">
        <v>389</v>
      </c>
      <c r="B394" s="128">
        <v>43436</v>
      </c>
      <c r="C394" s="133" t="s">
        <v>1582</v>
      </c>
      <c r="D394" s="133" t="s">
        <v>1520</v>
      </c>
      <c r="E394" s="206" t="s">
        <v>269</v>
      </c>
      <c r="F394" s="133" t="s">
        <v>1148</v>
      </c>
      <c r="G394" s="141">
        <v>75000</v>
      </c>
      <c r="J394" s="118"/>
    </row>
    <row r="395" spans="1:10" ht="15.6" x14ac:dyDescent="0.3">
      <c r="A395" s="127">
        <v>390</v>
      </c>
      <c r="B395" s="128">
        <v>43436</v>
      </c>
      <c r="C395" s="129" t="s">
        <v>1551</v>
      </c>
      <c r="D395" s="129" t="s">
        <v>1471</v>
      </c>
      <c r="E395" s="206" t="s">
        <v>269</v>
      </c>
      <c r="F395" s="129" t="s">
        <v>1138</v>
      </c>
      <c r="G395" s="198">
        <v>-50000</v>
      </c>
      <c r="J395" s="118"/>
    </row>
    <row r="396" spans="1:10" ht="15.6" x14ac:dyDescent="0.3">
      <c r="A396" s="127">
        <v>391</v>
      </c>
      <c r="B396" s="128">
        <v>43438</v>
      </c>
      <c r="C396" s="129" t="s">
        <v>1584</v>
      </c>
      <c r="D396" s="129" t="s">
        <v>1516</v>
      </c>
      <c r="E396" s="206" t="s">
        <v>269</v>
      </c>
      <c r="F396" s="129" t="s">
        <v>1138</v>
      </c>
      <c r="G396" s="198">
        <v>-13300</v>
      </c>
      <c r="J396" s="118"/>
    </row>
    <row r="397" spans="1:10" ht="15.6" x14ac:dyDescent="0.3">
      <c r="A397" s="127">
        <v>392</v>
      </c>
      <c r="B397" s="128">
        <v>43438</v>
      </c>
      <c r="C397" s="129" t="s">
        <v>1585</v>
      </c>
      <c r="D397" s="129" t="s">
        <v>1516</v>
      </c>
      <c r="E397" s="206" t="s">
        <v>269</v>
      </c>
      <c r="F397" s="129" t="s">
        <v>1138</v>
      </c>
      <c r="G397" s="198">
        <v>-16100</v>
      </c>
      <c r="J397" s="118"/>
    </row>
    <row r="398" spans="1:10" ht="15.6" x14ac:dyDescent="0.3">
      <c r="A398" s="127">
        <v>393</v>
      </c>
      <c r="B398" s="128">
        <v>43438</v>
      </c>
      <c r="C398" s="129" t="s">
        <v>84</v>
      </c>
      <c r="D398" s="129" t="s">
        <v>1533</v>
      </c>
      <c r="E398" s="206" t="s">
        <v>269</v>
      </c>
      <c r="F398" s="129" t="s">
        <v>1138</v>
      </c>
      <c r="G398" s="198">
        <v>-3000</v>
      </c>
      <c r="J398" s="118"/>
    </row>
    <row r="399" spans="1:10" ht="15.6" x14ac:dyDescent="0.3">
      <c r="A399" s="127">
        <v>394</v>
      </c>
      <c r="B399" s="128">
        <v>43438</v>
      </c>
      <c r="C399" s="129" t="s">
        <v>1699</v>
      </c>
      <c r="D399" s="129" t="s">
        <v>1522</v>
      </c>
      <c r="E399" s="206" t="s">
        <v>269</v>
      </c>
      <c r="F399" s="129" t="s">
        <v>1138</v>
      </c>
      <c r="G399" s="198">
        <v>-2000</v>
      </c>
      <c r="J399" s="118"/>
    </row>
    <row r="400" spans="1:10" ht="15.6" x14ac:dyDescent="0.3">
      <c r="A400" s="127">
        <v>395</v>
      </c>
      <c r="B400" s="128">
        <v>43438</v>
      </c>
      <c r="C400" s="129" t="s">
        <v>26</v>
      </c>
      <c r="D400" s="129" t="s">
        <v>1522</v>
      </c>
      <c r="E400" s="206" t="s">
        <v>269</v>
      </c>
      <c r="F400" s="129" t="s">
        <v>1138</v>
      </c>
      <c r="G400" s="198">
        <v>-5000</v>
      </c>
      <c r="J400" s="118"/>
    </row>
    <row r="401" spans="1:10" ht="15.6" x14ac:dyDescent="0.3">
      <c r="A401" s="127">
        <v>396</v>
      </c>
      <c r="B401" s="128">
        <v>43438</v>
      </c>
      <c r="C401" s="133" t="s">
        <v>1582</v>
      </c>
      <c r="D401" s="133" t="s">
        <v>1520</v>
      </c>
      <c r="E401" s="206" t="s">
        <v>269</v>
      </c>
      <c r="F401" s="133" t="s">
        <v>1148</v>
      </c>
      <c r="G401" s="141">
        <v>50000</v>
      </c>
      <c r="J401" s="118"/>
    </row>
    <row r="402" spans="1:10" ht="15.6" x14ac:dyDescent="0.3">
      <c r="A402" s="127">
        <v>397</v>
      </c>
      <c r="B402" s="128">
        <v>43438</v>
      </c>
      <c r="C402" s="129" t="s">
        <v>1548</v>
      </c>
      <c r="D402" s="129" t="s">
        <v>1526</v>
      </c>
      <c r="E402" s="206" t="s">
        <v>269</v>
      </c>
      <c r="F402" s="129" t="s">
        <v>1138</v>
      </c>
      <c r="G402" s="198">
        <v>-15000</v>
      </c>
      <c r="J402" s="118"/>
    </row>
    <row r="403" spans="1:10" ht="15.6" x14ac:dyDescent="0.3">
      <c r="A403" s="127">
        <v>398</v>
      </c>
      <c r="B403" s="128">
        <v>43438</v>
      </c>
      <c r="C403" s="129" t="s">
        <v>84</v>
      </c>
      <c r="D403" s="129" t="s">
        <v>1533</v>
      </c>
      <c r="E403" s="206" t="s">
        <v>269</v>
      </c>
      <c r="F403" s="129" t="s">
        <v>1138</v>
      </c>
      <c r="G403" s="198">
        <v>-5050</v>
      </c>
      <c r="J403" s="118"/>
    </row>
    <row r="404" spans="1:10" ht="15.6" x14ac:dyDescent="0.3">
      <c r="A404" s="127">
        <v>399</v>
      </c>
      <c r="B404" s="128">
        <v>43438</v>
      </c>
      <c r="C404" s="129" t="s">
        <v>14</v>
      </c>
      <c r="D404" s="129" t="s">
        <v>1521</v>
      </c>
      <c r="E404" s="206" t="s">
        <v>269</v>
      </c>
      <c r="F404" s="129" t="s">
        <v>1138</v>
      </c>
      <c r="G404" s="198">
        <v>-170</v>
      </c>
      <c r="J404" s="118"/>
    </row>
    <row r="405" spans="1:10" ht="15.6" x14ac:dyDescent="0.3">
      <c r="A405" s="127">
        <v>400</v>
      </c>
      <c r="B405" s="128">
        <v>43438</v>
      </c>
      <c r="C405" s="129" t="s">
        <v>1581</v>
      </c>
      <c r="D405" s="129" t="s">
        <v>1529</v>
      </c>
      <c r="E405" s="206" t="s">
        <v>269</v>
      </c>
      <c r="F405" s="129" t="s">
        <v>1138</v>
      </c>
      <c r="G405" s="198">
        <v>-30000</v>
      </c>
      <c r="J405" s="118"/>
    </row>
    <row r="406" spans="1:10" ht="15.6" x14ac:dyDescent="0.3">
      <c r="A406" s="127">
        <v>401</v>
      </c>
      <c r="B406" s="128">
        <v>43439</v>
      </c>
      <c r="C406" s="129" t="s">
        <v>26</v>
      </c>
      <c r="D406" s="129" t="s">
        <v>1522</v>
      </c>
      <c r="E406" s="206" t="s">
        <v>269</v>
      </c>
      <c r="F406" s="129" t="s">
        <v>1138</v>
      </c>
      <c r="G406" s="198">
        <v>-5000</v>
      </c>
      <c r="J406" s="118"/>
    </row>
    <row r="407" spans="1:10" ht="15.6" x14ac:dyDescent="0.3">
      <c r="A407" s="127">
        <v>402</v>
      </c>
      <c r="B407" s="128">
        <v>43440</v>
      </c>
      <c r="C407" s="129" t="s">
        <v>42</v>
      </c>
      <c r="D407" s="129" t="s">
        <v>1521</v>
      </c>
      <c r="E407" s="206" t="s">
        <v>269</v>
      </c>
      <c r="F407" s="129" t="s">
        <v>1138</v>
      </c>
      <c r="G407" s="198">
        <v>-100</v>
      </c>
      <c r="J407" s="118"/>
    </row>
    <row r="408" spans="1:10" ht="15.6" x14ac:dyDescent="0.3">
      <c r="A408" s="127">
        <v>403</v>
      </c>
      <c r="B408" s="128">
        <v>43440</v>
      </c>
      <c r="C408" s="129" t="s">
        <v>1586</v>
      </c>
      <c r="D408" s="129" t="s">
        <v>1516</v>
      </c>
      <c r="E408" s="206" t="s">
        <v>269</v>
      </c>
      <c r="F408" s="129" t="s">
        <v>1138</v>
      </c>
      <c r="G408" s="198">
        <v>-5650</v>
      </c>
      <c r="J408" s="118"/>
    </row>
    <row r="409" spans="1:10" ht="15.6" x14ac:dyDescent="0.3">
      <c r="A409" s="127">
        <v>404</v>
      </c>
      <c r="B409" s="128">
        <v>43440</v>
      </c>
      <c r="C409" s="129" t="s">
        <v>92</v>
      </c>
      <c r="D409" s="129" t="s">
        <v>1516</v>
      </c>
      <c r="E409" s="206" t="s">
        <v>269</v>
      </c>
      <c r="F409" s="129" t="s">
        <v>1138</v>
      </c>
      <c r="G409" s="198">
        <v>-850</v>
      </c>
      <c r="J409" s="118"/>
    </row>
    <row r="410" spans="1:10" ht="15.6" x14ac:dyDescent="0.3">
      <c r="A410" s="127">
        <v>405</v>
      </c>
      <c r="B410" s="128">
        <v>43440</v>
      </c>
      <c r="C410" s="129" t="s">
        <v>93</v>
      </c>
      <c r="D410" s="129" t="s">
        <v>1516</v>
      </c>
      <c r="E410" s="206" t="s">
        <v>269</v>
      </c>
      <c r="F410" s="129" t="s">
        <v>1138</v>
      </c>
      <c r="G410" s="198">
        <v>-850</v>
      </c>
      <c r="J410" s="118"/>
    </row>
    <row r="411" spans="1:10" ht="15.6" x14ac:dyDescent="0.3">
      <c r="A411" s="127">
        <v>406</v>
      </c>
      <c r="B411" s="128">
        <v>43440</v>
      </c>
      <c r="C411" s="133" t="s">
        <v>1582</v>
      </c>
      <c r="D411" s="133" t="s">
        <v>1520</v>
      </c>
      <c r="E411" s="206" t="s">
        <v>269</v>
      </c>
      <c r="F411" s="133" t="s">
        <v>1148</v>
      </c>
      <c r="G411" s="141">
        <v>60000</v>
      </c>
      <c r="J411" s="118"/>
    </row>
    <row r="412" spans="1:10" ht="15.6" x14ac:dyDescent="0.3">
      <c r="A412" s="127">
        <v>407</v>
      </c>
      <c r="B412" s="128">
        <v>43440</v>
      </c>
      <c r="C412" s="129" t="s">
        <v>1548</v>
      </c>
      <c r="D412" s="129" t="s">
        <v>1526</v>
      </c>
      <c r="E412" s="206" t="s">
        <v>269</v>
      </c>
      <c r="F412" s="129" t="s">
        <v>1138</v>
      </c>
      <c r="G412" s="198">
        <v>-10000</v>
      </c>
      <c r="J412" s="118"/>
    </row>
    <row r="413" spans="1:10" ht="15.6" x14ac:dyDescent="0.3">
      <c r="A413" s="127">
        <v>408</v>
      </c>
      <c r="B413" s="128">
        <v>43440</v>
      </c>
      <c r="C413" s="129" t="s">
        <v>26</v>
      </c>
      <c r="D413" s="129" t="s">
        <v>1522</v>
      </c>
      <c r="E413" s="206" t="s">
        <v>269</v>
      </c>
      <c r="F413" s="129" t="s">
        <v>1138</v>
      </c>
      <c r="G413" s="198">
        <v>-5000</v>
      </c>
      <c r="J413" s="118"/>
    </row>
    <row r="414" spans="1:10" ht="15.6" x14ac:dyDescent="0.3">
      <c r="A414" s="127">
        <v>409</v>
      </c>
      <c r="B414" s="128">
        <v>43441</v>
      </c>
      <c r="C414" s="129" t="s">
        <v>26</v>
      </c>
      <c r="D414" s="129" t="s">
        <v>1522</v>
      </c>
      <c r="E414" s="206" t="s">
        <v>269</v>
      </c>
      <c r="F414" s="129" t="s">
        <v>1138</v>
      </c>
      <c r="G414" s="198">
        <v>-10000</v>
      </c>
      <c r="J414" s="118"/>
    </row>
    <row r="415" spans="1:10" ht="15.6" x14ac:dyDescent="0.3">
      <c r="A415" s="127">
        <v>410</v>
      </c>
      <c r="B415" s="128">
        <v>43443</v>
      </c>
      <c r="C415" s="129" t="s">
        <v>26</v>
      </c>
      <c r="D415" s="129" t="s">
        <v>1522</v>
      </c>
      <c r="E415" s="206" t="s">
        <v>269</v>
      </c>
      <c r="F415" s="129" t="s">
        <v>1138</v>
      </c>
      <c r="G415" s="198">
        <v>-10000</v>
      </c>
      <c r="J415" s="118"/>
    </row>
    <row r="416" spans="1:10" ht="15.6" x14ac:dyDescent="0.3">
      <c r="A416" s="127">
        <v>411</v>
      </c>
      <c r="B416" s="128">
        <v>43443</v>
      </c>
      <c r="C416" s="129" t="s">
        <v>94</v>
      </c>
      <c r="D416" s="129" t="s">
        <v>1516</v>
      </c>
      <c r="E416" s="206" t="s">
        <v>269</v>
      </c>
      <c r="F416" s="129" t="s">
        <v>1138</v>
      </c>
      <c r="G416" s="198">
        <v>-1000</v>
      </c>
      <c r="J416" s="118"/>
    </row>
    <row r="417" spans="1:10" ht="15.6" x14ac:dyDescent="0.3">
      <c r="A417" s="127">
        <v>412</v>
      </c>
      <c r="B417" s="128">
        <v>43444</v>
      </c>
      <c r="C417" s="129" t="s">
        <v>95</v>
      </c>
      <c r="D417" s="129" t="s">
        <v>1521</v>
      </c>
      <c r="E417" s="206" t="s">
        <v>269</v>
      </c>
      <c r="F417" s="129" t="s">
        <v>1138</v>
      </c>
      <c r="G417" s="198">
        <v>-350</v>
      </c>
      <c r="J417" s="118"/>
    </row>
    <row r="418" spans="1:10" ht="15.6" x14ac:dyDescent="0.3">
      <c r="A418" s="127">
        <v>413</v>
      </c>
      <c r="B418" s="128">
        <v>43445</v>
      </c>
      <c r="C418" s="129" t="s">
        <v>26</v>
      </c>
      <c r="D418" s="129" t="s">
        <v>1522</v>
      </c>
      <c r="E418" s="206" t="s">
        <v>269</v>
      </c>
      <c r="F418" s="129" t="s">
        <v>1138</v>
      </c>
      <c r="G418" s="198">
        <v>-5000</v>
      </c>
      <c r="J418" s="118"/>
    </row>
    <row r="419" spans="1:10" ht="15.6" x14ac:dyDescent="0.3">
      <c r="A419" s="127">
        <v>414</v>
      </c>
      <c r="B419" s="128">
        <v>43445</v>
      </c>
      <c r="C419" s="129" t="s">
        <v>7</v>
      </c>
      <c r="D419" s="129" t="s">
        <v>1516</v>
      </c>
      <c r="E419" s="206" t="s">
        <v>269</v>
      </c>
      <c r="F419" s="129" t="s">
        <v>1138</v>
      </c>
      <c r="G419" s="198">
        <v>-1000</v>
      </c>
      <c r="J419" s="118"/>
    </row>
    <row r="420" spans="1:10" ht="15.6" x14ac:dyDescent="0.3">
      <c r="A420" s="127">
        <v>415</v>
      </c>
      <c r="B420" s="128">
        <v>43446</v>
      </c>
      <c r="C420" s="129" t="s">
        <v>26</v>
      </c>
      <c r="D420" s="129" t="s">
        <v>1522</v>
      </c>
      <c r="E420" s="206" t="s">
        <v>269</v>
      </c>
      <c r="F420" s="129" t="s">
        <v>1138</v>
      </c>
      <c r="G420" s="198">
        <v>-4000</v>
      </c>
      <c r="J420" s="118"/>
    </row>
    <row r="421" spans="1:10" ht="15.6" x14ac:dyDescent="0.3">
      <c r="A421" s="127">
        <v>416</v>
      </c>
      <c r="B421" s="128">
        <v>43446</v>
      </c>
      <c r="C421" s="129" t="s">
        <v>42</v>
      </c>
      <c r="D421" s="129" t="s">
        <v>1521</v>
      </c>
      <c r="E421" s="206" t="s">
        <v>269</v>
      </c>
      <c r="F421" s="129" t="s">
        <v>1138</v>
      </c>
      <c r="G421" s="198">
        <v>-150</v>
      </c>
      <c r="J421" s="118"/>
    </row>
    <row r="422" spans="1:10" ht="15.6" x14ac:dyDescent="0.3">
      <c r="A422" s="127">
        <v>417</v>
      </c>
      <c r="B422" s="128">
        <v>43446</v>
      </c>
      <c r="C422" s="133" t="s">
        <v>1582</v>
      </c>
      <c r="D422" s="133" t="s">
        <v>1520</v>
      </c>
      <c r="E422" s="206" t="s">
        <v>269</v>
      </c>
      <c r="F422" s="133" t="s">
        <v>1148</v>
      </c>
      <c r="G422" s="141">
        <v>20000</v>
      </c>
      <c r="J422" s="118"/>
    </row>
    <row r="423" spans="1:10" ht="15.6" x14ac:dyDescent="0.3">
      <c r="A423" s="127">
        <v>418</v>
      </c>
      <c r="B423" s="128">
        <v>43447</v>
      </c>
      <c r="C423" s="129" t="s">
        <v>26</v>
      </c>
      <c r="D423" s="129" t="s">
        <v>1522</v>
      </c>
      <c r="E423" s="206" t="s">
        <v>269</v>
      </c>
      <c r="F423" s="129" t="s">
        <v>1138</v>
      </c>
      <c r="G423" s="198">
        <v>-6000</v>
      </c>
      <c r="J423" s="118"/>
    </row>
    <row r="424" spans="1:10" ht="15.6" x14ac:dyDescent="0.3">
      <c r="A424" s="127">
        <v>419</v>
      </c>
      <c r="B424" s="128">
        <v>43447</v>
      </c>
      <c r="C424" s="129" t="s">
        <v>1548</v>
      </c>
      <c r="D424" s="129" t="s">
        <v>1526</v>
      </c>
      <c r="E424" s="206" t="s">
        <v>269</v>
      </c>
      <c r="F424" s="129" t="s">
        <v>1138</v>
      </c>
      <c r="G424" s="198">
        <v>-5000</v>
      </c>
      <c r="J424" s="118"/>
    </row>
    <row r="425" spans="1:10" ht="15.6" x14ac:dyDescent="0.3">
      <c r="A425" s="127">
        <v>420</v>
      </c>
      <c r="B425" s="128">
        <v>43447</v>
      </c>
      <c r="C425" s="129" t="s">
        <v>1551</v>
      </c>
      <c r="D425" s="129" t="s">
        <v>1471</v>
      </c>
      <c r="E425" s="206" t="s">
        <v>269</v>
      </c>
      <c r="F425" s="129" t="s">
        <v>1138</v>
      </c>
      <c r="G425" s="198">
        <v>-5000</v>
      </c>
      <c r="J425" s="118"/>
    </row>
    <row r="426" spans="1:10" ht="15.6" x14ac:dyDescent="0.3">
      <c r="A426" s="127">
        <v>421</v>
      </c>
      <c r="B426" s="128">
        <v>43447</v>
      </c>
      <c r="C426" s="129" t="s">
        <v>96</v>
      </c>
      <c r="D426" s="129" t="s">
        <v>1521</v>
      </c>
      <c r="E426" s="206" t="s">
        <v>269</v>
      </c>
      <c r="F426" s="129" t="s">
        <v>1138</v>
      </c>
      <c r="G426" s="198">
        <v>-260</v>
      </c>
      <c r="J426" s="118"/>
    </row>
    <row r="427" spans="1:10" ht="15.6" x14ac:dyDescent="0.3">
      <c r="A427" s="127">
        <v>422</v>
      </c>
      <c r="B427" s="128">
        <v>43447</v>
      </c>
      <c r="C427" s="129" t="s">
        <v>42</v>
      </c>
      <c r="D427" s="129" t="s">
        <v>1521</v>
      </c>
      <c r="E427" s="206" t="s">
        <v>269</v>
      </c>
      <c r="F427" s="129" t="s">
        <v>1138</v>
      </c>
      <c r="G427" s="198">
        <v>-100</v>
      </c>
      <c r="J427" s="118"/>
    </row>
    <row r="428" spans="1:10" ht="15.6" x14ac:dyDescent="0.3">
      <c r="A428" s="127">
        <v>423</v>
      </c>
      <c r="B428" s="128">
        <v>43447</v>
      </c>
      <c r="C428" s="133" t="s">
        <v>1582</v>
      </c>
      <c r="D428" s="133" t="s">
        <v>1520</v>
      </c>
      <c r="E428" s="206" t="s">
        <v>269</v>
      </c>
      <c r="F428" s="133" t="s">
        <v>1148</v>
      </c>
      <c r="G428" s="141">
        <v>30000</v>
      </c>
      <c r="J428" s="118"/>
    </row>
    <row r="429" spans="1:10" ht="15.6" x14ac:dyDescent="0.3">
      <c r="A429" s="127">
        <v>424</v>
      </c>
      <c r="B429" s="128">
        <v>43447</v>
      </c>
      <c r="C429" s="133" t="s">
        <v>10</v>
      </c>
      <c r="D429" s="133" t="s">
        <v>1516</v>
      </c>
      <c r="E429" s="206" t="s">
        <v>269</v>
      </c>
      <c r="F429" s="129" t="s">
        <v>1138</v>
      </c>
      <c r="G429" s="198">
        <v>-1000</v>
      </c>
      <c r="J429" s="118"/>
    </row>
    <row r="430" spans="1:10" ht="15.6" x14ac:dyDescent="0.3">
      <c r="A430" s="127">
        <v>425</v>
      </c>
      <c r="B430" s="128">
        <v>43447</v>
      </c>
      <c r="C430" s="133" t="s">
        <v>97</v>
      </c>
      <c r="D430" s="133" t="s">
        <v>1516</v>
      </c>
      <c r="E430" s="206" t="s">
        <v>269</v>
      </c>
      <c r="F430" s="129" t="s">
        <v>1138</v>
      </c>
      <c r="G430" s="198">
        <v>-1000</v>
      </c>
      <c r="J430" s="118"/>
    </row>
    <row r="431" spans="1:10" ht="15.6" x14ac:dyDescent="0.3">
      <c r="A431" s="127">
        <v>426</v>
      </c>
      <c r="B431" s="128">
        <v>43448</v>
      </c>
      <c r="C431" s="133" t="s">
        <v>26</v>
      </c>
      <c r="D431" s="133" t="s">
        <v>1522</v>
      </c>
      <c r="E431" s="206" t="s">
        <v>269</v>
      </c>
      <c r="F431" s="129" t="s">
        <v>1138</v>
      </c>
      <c r="G431" s="198">
        <v>-5000</v>
      </c>
      <c r="J431" s="118"/>
    </row>
    <row r="432" spans="1:10" ht="15.6" x14ac:dyDescent="0.3">
      <c r="A432" s="127">
        <v>427</v>
      </c>
      <c r="B432" s="128">
        <v>43450</v>
      </c>
      <c r="C432" s="133" t="s">
        <v>42</v>
      </c>
      <c r="D432" s="133" t="s">
        <v>1521</v>
      </c>
      <c r="E432" s="206" t="s">
        <v>269</v>
      </c>
      <c r="F432" s="129" t="s">
        <v>1138</v>
      </c>
      <c r="G432" s="198">
        <v>-150</v>
      </c>
      <c r="J432" s="118"/>
    </row>
    <row r="433" spans="1:10" ht="15.6" x14ac:dyDescent="0.3">
      <c r="A433" s="127">
        <v>428</v>
      </c>
      <c r="B433" s="128">
        <v>43450</v>
      </c>
      <c r="C433" s="129" t="s">
        <v>98</v>
      </c>
      <c r="D433" s="129" t="s">
        <v>1521</v>
      </c>
      <c r="E433" s="206" t="s">
        <v>269</v>
      </c>
      <c r="F433" s="129" t="s">
        <v>1138</v>
      </c>
      <c r="G433" s="198">
        <v>-50</v>
      </c>
      <c r="J433" s="118"/>
    </row>
    <row r="434" spans="1:10" ht="15.6" x14ac:dyDescent="0.3">
      <c r="A434" s="127">
        <v>429</v>
      </c>
      <c r="B434" s="128">
        <v>43450</v>
      </c>
      <c r="C434" s="133" t="s">
        <v>26</v>
      </c>
      <c r="D434" s="133" t="s">
        <v>1522</v>
      </c>
      <c r="E434" s="206" t="s">
        <v>269</v>
      </c>
      <c r="F434" s="129" t="s">
        <v>1138</v>
      </c>
      <c r="G434" s="198">
        <v>-5000</v>
      </c>
      <c r="J434" s="118"/>
    </row>
    <row r="435" spans="1:10" ht="15.6" x14ac:dyDescent="0.3">
      <c r="A435" s="127">
        <v>430</v>
      </c>
      <c r="B435" s="128">
        <v>43451</v>
      </c>
      <c r="C435" s="133" t="s">
        <v>1587</v>
      </c>
      <c r="D435" s="133" t="s">
        <v>1520</v>
      </c>
      <c r="E435" s="206" t="s">
        <v>269</v>
      </c>
      <c r="F435" s="133" t="s">
        <v>1148</v>
      </c>
      <c r="G435" s="141">
        <v>300000</v>
      </c>
      <c r="J435" s="118"/>
    </row>
    <row r="436" spans="1:10" ht="15.6" x14ac:dyDescent="0.3">
      <c r="A436" s="127">
        <v>431</v>
      </c>
      <c r="B436" s="128">
        <v>43451</v>
      </c>
      <c r="C436" s="129" t="s">
        <v>1548</v>
      </c>
      <c r="D436" s="129" t="s">
        <v>1526</v>
      </c>
      <c r="E436" s="206" t="s">
        <v>269</v>
      </c>
      <c r="F436" s="129" t="s">
        <v>1138</v>
      </c>
      <c r="G436" s="198">
        <v>-12000</v>
      </c>
      <c r="J436" s="118"/>
    </row>
    <row r="437" spans="1:10" ht="15.6" x14ac:dyDescent="0.3">
      <c r="A437" s="127">
        <v>432</v>
      </c>
      <c r="B437" s="128">
        <v>43451</v>
      </c>
      <c r="C437" s="133" t="s">
        <v>42</v>
      </c>
      <c r="D437" s="133" t="s">
        <v>1521</v>
      </c>
      <c r="E437" s="206" t="s">
        <v>269</v>
      </c>
      <c r="F437" s="129" t="s">
        <v>1138</v>
      </c>
      <c r="G437" s="198">
        <v>-350</v>
      </c>
      <c r="J437" s="118"/>
    </row>
    <row r="438" spans="1:10" ht="15.6" x14ac:dyDescent="0.3">
      <c r="A438" s="127">
        <v>433</v>
      </c>
      <c r="B438" s="128">
        <v>43451</v>
      </c>
      <c r="C438" s="133" t="s">
        <v>100</v>
      </c>
      <c r="D438" s="133" t="s">
        <v>1516</v>
      </c>
      <c r="E438" s="206" t="s">
        <v>269</v>
      </c>
      <c r="F438" s="129" t="s">
        <v>1138</v>
      </c>
      <c r="G438" s="198">
        <v>-2000</v>
      </c>
      <c r="J438" s="118"/>
    </row>
    <row r="439" spans="1:10" ht="15.6" x14ac:dyDescent="0.3">
      <c r="A439" s="127">
        <v>434</v>
      </c>
      <c r="B439" s="128">
        <v>43451</v>
      </c>
      <c r="C439" s="133" t="s">
        <v>10</v>
      </c>
      <c r="D439" s="133" t="s">
        <v>1516</v>
      </c>
      <c r="E439" s="206" t="s">
        <v>269</v>
      </c>
      <c r="F439" s="129" t="s">
        <v>1138</v>
      </c>
      <c r="G439" s="198">
        <v>-2000</v>
      </c>
      <c r="J439" s="118"/>
    </row>
    <row r="440" spans="1:10" ht="15.6" x14ac:dyDescent="0.3">
      <c r="A440" s="127">
        <v>435</v>
      </c>
      <c r="B440" s="128">
        <v>43451</v>
      </c>
      <c r="C440" s="129" t="s">
        <v>7</v>
      </c>
      <c r="D440" s="129" t="s">
        <v>1516</v>
      </c>
      <c r="E440" s="206" t="s">
        <v>269</v>
      </c>
      <c r="F440" s="129" t="s">
        <v>1138</v>
      </c>
      <c r="G440" s="198">
        <v>-2000</v>
      </c>
      <c r="J440" s="118"/>
    </row>
    <row r="441" spans="1:10" ht="15.6" x14ac:dyDescent="0.3">
      <c r="A441" s="127">
        <v>436</v>
      </c>
      <c r="B441" s="128">
        <v>43451</v>
      </c>
      <c r="C441" s="133" t="s">
        <v>97</v>
      </c>
      <c r="D441" s="133" t="s">
        <v>1516</v>
      </c>
      <c r="E441" s="206" t="s">
        <v>269</v>
      </c>
      <c r="F441" s="129" t="s">
        <v>1138</v>
      </c>
      <c r="G441" s="198">
        <v>-1000</v>
      </c>
      <c r="J441" s="118"/>
    </row>
    <row r="442" spans="1:10" ht="15.6" x14ac:dyDescent="0.3">
      <c r="A442" s="127">
        <v>437</v>
      </c>
      <c r="B442" s="128">
        <v>43451</v>
      </c>
      <c r="C442" s="130" t="s">
        <v>1588</v>
      </c>
      <c r="D442" s="130" t="s">
        <v>1530</v>
      </c>
      <c r="E442" s="206" t="s">
        <v>269</v>
      </c>
      <c r="F442" s="129" t="s">
        <v>1138</v>
      </c>
      <c r="G442" s="198">
        <v>-66000</v>
      </c>
      <c r="J442" s="118"/>
    </row>
    <row r="443" spans="1:10" ht="15.6" x14ac:dyDescent="0.3">
      <c r="A443" s="127">
        <v>438</v>
      </c>
      <c r="B443" s="128">
        <v>43451</v>
      </c>
      <c r="C443" s="133" t="s">
        <v>102</v>
      </c>
      <c r="D443" s="133" t="s">
        <v>1471</v>
      </c>
      <c r="E443" s="206" t="s">
        <v>269</v>
      </c>
      <c r="F443" s="129" t="s">
        <v>1138</v>
      </c>
      <c r="G443" s="198">
        <v>-30000</v>
      </c>
      <c r="J443" s="118"/>
    </row>
    <row r="444" spans="1:10" ht="15.6" x14ac:dyDescent="0.3">
      <c r="A444" s="127">
        <v>439</v>
      </c>
      <c r="B444" s="128">
        <v>43451</v>
      </c>
      <c r="C444" s="133" t="s">
        <v>6</v>
      </c>
      <c r="D444" s="133" t="s">
        <v>1523</v>
      </c>
      <c r="E444" s="206" t="s">
        <v>269</v>
      </c>
      <c r="F444" s="129" t="s">
        <v>1138</v>
      </c>
      <c r="G444" s="198">
        <v>-100000</v>
      </c>
      <c r="J444" s="118"/>
    </row>
    <row r="445" spans="1:10" ht="15.6" x14ac:dyDescent="0.3">
      <c r="A445" s="127">
        <v>440</v>
      </c>
      <c r="B445" s="128">
        <v>43451</v>
      </c>
      <c r="C445" s="129" t="s">
        <v>1589</v>
      </c>
      <c r="D445" s="129" t="s">
        <v>1517</v>
      </c>
      <c r="E445" s="206" t="s">
        <v>269</v>
      </c>
      <c r="F445" s="129" t="s">
        <v>1138</v>
      </c>
      <c r="G445" s="198">
        <v>-60000</v>
      </c>
      <c r="J445" s="118"/>
    </row>
    <row r="446" spans="1:10" ht="15.6" x14ac:dyDescent="0.3">
      <c r="A446" s="127">
        <v>441</v>
      </c>
      <c r="B446" s="128">
        <v>43451</v>
      </c>
      <c r="C446" s="133" t="s">
        <v>62</v>
      </c>
      <c r="D446" s="133" t="s">
        <v>1521</v>
      </c>
      <c r="E446" s="206" t="s">
        <v>269</v>
      </c>
      <c r="F446" s="129" t="s">
        <v>1138</v>
      </c>
      <c r="G446" s="198">
        <v>-100</v>
      </c>
      <c r="J446" s="118"/>
    </row>
    <row r="447" spans="1:10" ht="15.6" x14ac:dyDescent="0.3">
      <c r="A447" s="127">
        <v>442</v>
      </c>
      <c r="B447" s="128">
        <v>43452</v>
      </c>
      <c r="C447" s="133" t="s">
        <v>26</v>
      </c>
      <c r="D447" s="133" t="s">
        <v>1522</v>
      </c>
      <c r="E447" s="206" t="s">
        <v>269</v>
      </c>
      <c r="F447" s="129" t="s">
        <v>1138</v>
      </c>
      <c r="G447" s="198">
        <v>-2000</v>
      </c>
      <c r="J447" s="118"/>
    </row>
    <row r="448" spans="1:10" ht="15.6" x14ac:dyDescent="0.3">
      <c r="A448" s="127">
        <v>443</v>
      </c>
      <c r="B448" s="128">
        <v>43452</v>
      </c>
      <c r="C448" s="129" t="s">
        <v>1548</v>
      </c>
      <c r="D448" s="129" t="s">
        <v>1526</v>
      </c>
      <c r="E448" s="206" t="s">
        <v>269</v>
      </c>
      <c r="F448" s="129" t="s">
        <v>1138</v>
      </c>
      <c r="G448" s="198">
        <v>-2000</v>
      </c>
      <c r="J448" s="118"/>
    </row>
    <row r="449" spans="1:10" ht="15.6" x14ac:dyDescent="0.3">
      <c r="A449" s="127">
        <v>444</v>
      </c>
      <c r="B449" s="128">
        <v>43452</v>
      </c>
      <c r="C449" s="129" t="s">
        <v>42</v>
      </c>
      <c r="D449" s="129" t="s">
        <v>1521</v>
      </c>
      <c r="E449" s="206" t="s">
        <v>269</v>
      </c>
      <c r="F449" s="129" t="s">
        <v>1138</v>
      </c>
      <c r="G449" s="198">
        <v>-240</v>
      </c>
      <c r="J449" s="118"/>
    </row>
    <row r="450" spans="1:10" ht="15.6" x14ac:dyDescent="0.3">
      <c r="A450" s="127">
        <v>445</v>
      </c>
      <c r="B450" s="128">
        <v>43453</v>
      </c>
      <c r="C450" s="129" t="s">
        <v>84</v>
      </c>
      <c r="D450" s="129" t="s">
        <v>1533</v>
      </c>
      <c r="E450" s="206" t="s">
        <v>269</v>
      </c>
      <c r="F450" s="129" t="s">
        <v>1138</v>
      </c>
      <c r="G450" s="198">
        <v>-3750</v>
      </c>
      <c r="J450" s="118"/>
    </row>
    <row r="451" spans="1:10" ht="15.6" x14ac:dyDescent="0.3">
      <c r="A451" s="127">
        <v>446</v>
      </c>
      <c r="B451" s="128">
        <v>43453</v>
      </c>
      <c r="C451" s="133" t="s">
        <v>104</v>
      </c>
      <c r="D451" s="133" t="s">
        <v>1521</v>
      </c>
      <c r="E451" s="206" t="s">
        <v>269</v>
      </c>
      <c r="F451" s="129" t="s">
        <v>1138</v>
      </c>
      <c r="G451" s="198">
        <v>-240</v>
      </c>
      <c r="J451" s="118"/>
    </row>
    <row r="452" spans="1:10" ht="15.6" x14ac:dyDescent="0.3">
      <c r="A452" s="127">
        <v>447</v>
      </c>
      <c r="B452" s="128">
        <v>43453</v>
      </c>
      <c r="C452" s="129" t="s">
        <v>1548</v>
      </c>
      <c r="D452" s="129" t="s">
        <v>1526</v>
      </c>
      <c r="E452" s="206" t="s">
        <v>269</v>
      </c>
      <c r="F452" s="129" t="s">
        <v>1138</v>
      </c>
      <c r="G452" s="198">
        <v>-10000</v>
      </c>
      <c r="J452" s="118"/>
    </row>
    <row r="453" spans="1:10" ht="15.6" x14ac:dyDescent="0.3">
      <c r="A453" s="127">
        <v>448</v>
      </c>
      <c r="B453" s="128">
        <v>43453</v>
      </c>
      <c r="C453" s="133" t="s">
        <v>26</v>
      </c>
      <c r="D453" s="133" t="s">
        <v>1522</v>
      </c>
      <c r="E453" s="206" t="s">
        <v>269</v>
      </c>
      <c r="F453" s="129" t="s">
        <v>1138</v>
      </c>
      <c r="G453" s="198">
        <v>-6000</v>
      </c>
      <c r="J453" s="118"/>
    </row>
    <row r="454" spans="1:10" ht="15.6" x14ac:dyDescent="0.3">
      <c r="A454" s="127">
        <v>449</v>
      </c>
      <c r="B454" s="128">
        <v>43453</v>
      </c>
      <c r="C454" s="133" t="s">
        <v>10</v>
      </c>
      <c r="D454" s="133" t="s">
        <v>1516</v>
      </c>
      <c r="E454" s="206" t="s">
        <v>269</v>
      </c>
      <c r="F454" s="129" t="s">
        <v>1138</v>
      </c>
      <c r="G454" s="198">
        <v>-500</v>
      </c>
      <c r="J454" s="118"/>
    </row>
    <row r="455" spans="1:10" ht="15.6" x14ac:dyDescent="0.3">
      <c r="A455" s="127">
        <v>450</v>
      </c>
      <c r="B455" s="128">
        <v>43454</v>
      </c>
      <c r="C455" s="133" t="s">
        <v>26</v>
      </c>
      <c r="D455" s="133" t="s">
        <v>1522</v>
      </c>
      <c r="E455" s="206" t="s">
        <v>269</v>
      </c>
      <c r="F455" s="129" t="s">
        <v>1138</v>
      </c>
      <c r="G455" s="198">
        <v>-3000</v>
      </c>
      <c r="J455" s="118"/>
    </row>
    <row r="456" spans="1:10" ht="15.6" x14ac:dyDescent="0.3">
      <c r="A456" s="127">
        <v>451</v>
      </c>
      <c r="B456" s="128">
        <v>43454</v>
      </c>
      <c r="C456" s="129" t="s">
        <v>105</v>
      </c>
      <c r="D456" s="129" t="s">
        <v>1521</v>
      </c>
      <c r="E456" s="206" t="s">
        <v>269</v>
      </c>
      <c r="F456" s="129" t="s">
        <v>1138</v>
      </c>
      <c r="G456" s="198">
        <v>-70</v>
      </c>
      <c r="J456" s="118"/>
    </row>
    <row r="457" spans="1:10" ht="15.6" x14ac:dyDescent="0.3">
      <c r="A457" s="127">
        <v>452</v>
      </c>
      <c r="B457" s="128">
        <v>43455</v>
      </c>
      <c r="C457" s="133" t="s">
        <v>42</v>
      </c>
      <c r="D457" s="133" t="s">
        <v>1521</v>
      </c>
      <c r="E457" s="206" t="s">
        <v>269</v>
      </c>
      <c r="F457" s="129" t="s">
        <v>1138</v>
      </c>
      <c r="G457" s="198">
        <v>-75</v>
      </c>
      <c r="J457" s="118"/>
    </row>
    <row r="458" spans="1:10" ht="15.6" x14ac:dyDescent="0.3">
      <c r="A458" s="127">
        <v>453</v>
      </c>
      <c r="B458" s="128">
        <v>43455</v>
      </c>
      <c r="C458" s="129" t="s">
        <v>7</v>
      </c>
      <c r="D458" s="129" t="s">
        <v>1516</v>
      </c>
      <c r="E458" s="206" t="s">
        <v>269</v>
      </c>
      <c r="F458" s="129" t="s">
        <v>1138</v>
      </c>
      <c r="G458" s="198">
        <v>-1000</v>
      </c>
      <c r="J458" s="118"/>
    </row>
    <row r="459" spans="1:10" ht="15.6" x14ac:dyDescent="0.3">
      <c r="A459" s="127">
        <v>454</v>
      </c>
      <c r="B459" s="128">
        <v>43455</v>
      </c>
      <c r="C459" s="129" t="s">
        <v>94</v>
      </c>
      <c r="D459" s="129" t="s">
        <v>1516</v>
      </c>
      <c r="E459" s="206" t="s">
        <v>269</v>
      </c>
      <c r="F459" s="129" t="s">
        <v>1138</v>
      </c>
      <c r="G459" s="198">
        <v>-1000</v>
      </c>
      <c r="J459" s="118"/>
    </row>
    <row r="460" spans="1:10" ht="15.6" x14ac:dyDescent="0.3">
      <c r="A460" s="127">
        <v>455</v>
      </c>
      <c r="B460" s="128">
        <v>43455</v>
      </c>
      <c r="C460" s="129" t="s">
        <v>26</v>
      </c>
      <c r="D460" s="129" t="s">
        <v>1522</v>
      </c>
      <c r="E460" s="206" t="s">
        <v>269</v>
      </c>
      <c r="F460" s="129" t="s">
        <v>1138</v>
      </c>
      <c r="G460" s="198">
        <v>-7000</v>
      </c>
      <c r="J460" s="118"/>
    </row>
    <row r="461" spans="1:10" ht="15.6" x14ac:dyDescent="0.3">
      <c r="A461" s="127">
        <v>456</v>
      </c>
      <c r="B461" s="128">
        <v>43456</v>
      </c>
      <c r="C461" s="129" t="s">
        <v>1548</v>
      </c>
      <c r="D461" s="129" t="s">
        <v>1526</v>
      </c>
      <c r="E461" s="206" t="s">
        <v>269</v>
      </c>
      <c r="F461" s="129" t="s">
        <v>1138</v>
      </c>
      <c r="G461" s="198">
        <v>-4000</v>
      </c>
      <c r="J461" s="118"/>
    </row>
    <row r="462" spans="1:10" ht="15.6" x14ac:dyDescent="0.3">
      <c r="A462" s="127">
        <v>457</v>
      </c>
      <c r="B462" s="128">
        <v>43456</v>
      </c>
      <c r="C462" s="129" t="s">
        <v>26</v>
      </c>
      <c r="D462" s="129" t="s">
        <v>1522</v>
      </c>
      <c r="E462" s="206" t="s">
        <v>269</v>
      </c>
      <c r="F462" s="129" t="s">
        <v>1138</v>
      </c>
      <c r="G462" s="198">
        <v>-3000</v>
      </c>
      <c r="J462" s="118"/>
    </row>
    <row r="463" spans="1:10" ht="15.6" x14ac:dyDescent="0.3">
      <c r="A463" s="127">
        <v>458</v>
      </c>
      <c r="B463" s="128">
        <v>43456</v>
      </c>
      <c r="C463" s="129" t="s">
        <v>42</v>
      </c>
      <c r="D463" s="129" t="s">
        <v>1521</v>
      </c>
      <c r="E463" s="206" t="s">
        <v>269</v>
      </c>
      <c r="F463" s="129" t="s">
        <v>1138</v>
      </c>
      <c r="G463" s="198">
        <v>-100</v>
      </c>
      <c r="J463" s="118"/>
    </row>
    <row r="464" spans="1:10" ht="15.6" x14ac:dyDescent="0.3">
      <c r="A464" s="127">
        <v>459</v>
      </c>
      <c r="B464" s="128">
        <v>43457</v>
      </c>
      <c r="C464" s="133" t="s">
        <v>1582</v>
      </c>
      <c r="D464" s="133" t="s">
        <v>1520</v>
      </c>
      <c r="E464" s="206" t="s">
        <v>269</v>
      </c>
      <c r="F464" s="133" t="s">
        <v>1148</v>
      </c>
      <c r="G464" s="141">
        <v>49000</v>
      </c>
      <c r="J464" s="118"/>
    </row>
    <row r="465" spans="1:10" ht="15.6" x14ac:dyDescent="0.3">
      <c r="A465" s="127">
        <v>460</v>
      </c>
      <c r="B465" s="128">
        <v>43457</v>
      </c>
      <c r="C465" s="133" t="s">
        <v>106</v>
      </c>
      <c r="D465" s="133" t="s">
        <v>1471</v>
      </c>
      <c r="E465" s="206" t="s">
        <v>269</v>
      </c>
      <c r="F465" s="129" t="s">
        <v>1138</v>
      </c>
      <c r="G465" s="198">
        <v>-850</v>
      </c>
      <c r="J465" s="118"/>
    </row>
    <row r="466" spans="1:10" ht="15.6" x14ac:dyDescent="0.3">
      <c r="A466" s="127">
        <v>461</v>
      </c>
      <c r="B466" s="128">
        <v>43457</v>
      </c>
      <c r="C466" s="133" t="s">
        <v>107</v>
      </c>
      <c r="D466" s="133" t="s">
        <v>1521</v>
      </c>
      <c r="E466" s="206" t="s">
        <v>269</v>
      </c>
      <c r="F466" s="129" t="s">
        <v>1138</v>
      </c>
      <c r="G466" s="198">
        <v>-60</v>
      </c>
      <c r="J466" s="118"/>
    </row>
    <row r="467" spans="1:10" ht="15.6" x14ac:dyDescent="0.3">
      <c r="A467" s="127">
        <v>462</v>
      </c>
      <c r="B467" s="128">
        <v>43457</v>
      </c>
      <c r="C467" s="133" t="s">
        <v>26</v>
      </c>
      <c r="D467" s="133" t="s">
        <v>1522</v>
      </c>
      <c r="E467" s="206" t="s">
        <v>269</v>
      </c>
      <c r="F467" s="129" t="s">
        <v>1138</v>
      </c>
      <c r="G467" s="198">
        <v>-1000</v>
      </c>
      <c r="J467" s="118"/>
    </row>
    <row r="468" spans="1:10" ht="15.6" x14ac:dyDescent="0.3">
      <c r="A468" s="127">
        <v>463</v>
      </c>
      <c r="B468" s="128">
        <v>43457</v>
      </c>
      <c r="C468" s="133" t="s">
        <v>102</v>
      </c>
      <c r="D468" s="133" t="s">
        <v>1471</v>
      </c>
      <c r="E468" s="206" t="s">
        <v>269</v>
      </c>
      <c r="F468" s="129" t="s">
        <v>1138</v>
      </c>
      <c r="G468" s="198">
        <v>-30000</v>
      </c>
      <c r="J468" s="118"/>
    </row>
    <row r="469" spans="1:10" ht="15.6" x14ac:dyDescent="0.3">
      <c r="A469" s="127">
        <v>464</v>
      </c>
      <c r="B469" s="128">
        <v>43457</v>
      </c>
      <c r="C469" s="129" t="s">
        <v>1548</v>
      </c>
      <c r="D469" s="129" t="s">
        <v>1526</v>
      </c>
      <c r="E469" s="206" t="s">
        <v>269</v>
      </c>
      <c r="F469" s="129" t="s">
        <v>1138</v>
      </c>
      <c r="G469" s="198">
        <v>-10000</v>
      </c>
      <c r="J469" s="118"/>
    </row>
    <row r="470" spans="1:10" ht="15.6" x14ac:dyDescent="0.3">
      <c r="A470" s="127">
        <v>465</v>
      </c>
      <c r="B470" s="128">
        <v>43459</v>
      </c>
      <c r="C470" s="129" t="s">
        <v>1548</v>
      </c>
      <c r="D470" s="129" t="s">
        <v>1526</v>
      </c>
      <c r="E470" s="206" t="s">
        <v>269</v>
      </c>
      <c r="F470" s="129" t="s">
        <v>1138</v>
      </c>
      <c r="G470" s="198">
        <v>-5000</v>
      </c>
      <c r="J470" s="118"/>
    </row>
    <row r="471" spans="1:10" ht="15.6" x14ac:dyDescent="0.3">
      <c r="A471" s="127">
        <v>466</v>
      </c>
      <c r="B471" s="128">
        <v>43459</v>
      </c>
      <c r="C471" s="129" t="s">
        <v>7</v>
      </c>
      <c r="D471" s="129" t="s">
        <v>1516</v>
      </c>
      <c r="E471" s="206" t="s">
        <v>269</v>
      </c>
      <c r="F471" s="129" t="s">
        <v>1138</v>
      </c>
      <c r="G471" s="198">
        <v>-1000</v>
      </c>
      <c r="J471" s="118"/>
    </row>
    <row r="472" spans="1:10" ht="15.6" x14ac:dyDescent="0.3">
      <c r="A472" s="127">
        <v>467</v>
      </c>
      <c r="B472" s="128">
        <v>43459</v>
      </c>
      <c r="C472" s="129" t="s">
        <v>94</v>
      </c>
      <c r="D472" s="129" t="s">
        <v>1516</v>
      </c>
      <c r="E472" s="206" t="s">
        <v>269</v>
      </c>
      <c r="F472" s="129" t="s">
        <v>1138</v>
      </c>
      <c r="G472" s="198">
        <v>-1000</v>
      </c>
      <c r="J472" s="118"/>
    </row>
    <row r="473" spans="1:10" ht="15.6" x14ac:dyDescent="0.3">
      <c r="A473" s="127">
        <v>468</v>
      </c>
      <c r="B473" s="128">
        <v>43459</v>
      </c>
      <c r="C473" s="133" t="s">
        <v>42</v>
      </c>
      <c r="D473" s="133" t="s">
        <v>1521</v>
      </c>
      <c r="E473" s="206" t="s">
        <v>269</v>
      </c>
      <c r="F473" s="129" t="s">
        <v>1138</v>
      </c>
      <c r="G473" s="198">
        <v>-50</v>
      </c>
      <c r="J473" s="118"/>
    </row>
    <row r="474" spans="1:10" ht="15.6" x14ac:dyDescent="0.3">
      <c r="A474" s="127">
        <v>469</v>
      </c>
      <c r="B474" s="128">
        <v>43460</v>
      </c>
      <c r="C474" s="133" t="s">
        <v>1582</v>
      </c>
      <c r="D474" s="133" t="s">
        <v>1520</v>
      </c>
      <c r="E474" s="206" t="s">
        <v>269</v>
      </c>
      <c r="F474" s="133" t="s">
        <v>1148</v>
      </c>
      <c r="G474" s="141">
        <v>50000</v>
      </c>
      <c r="J474" s="118"/>
    </row>
    <row r="475" spans="1:10" ht="15.6" x14ac:dyDescent="0.3">
      <c r="A475" s="127">
        <v>470</v>
      </c>
      <c r="B475" s="128">
        <v>43460</v>
      </c>
      <c r="C475" s="129" t="s">
        <v>1548</v>
      </c>
      <c r="D475" s="129" t="s">
        <v>1526</v>
      </c>
      <c r="E475" s="206" t="s">
        <v>269</v>
      </c>
      <c r="F475" s="129" t="s">
        <v>1138</v>
      </c>
      <c r="G475" s="198">
        <v>-20000</v>
      </c>
      <c r="J475" s="118"/>
    </row>
    <row r="476" spans="1:10" ht="15.6" x14ac:dyDescent="0.3">
      <c r="A476" s="127">
        <v>471</v>
      </c>
      <c r="B476" s="128">
        <v>43460</v>
      </c>
      <c r="C476" s="129" t="s">
        <v>7</v>
      </c>
      <c r="D476" s="129" t="s">
        <v>1516</v>
      </c>
      <c r="E476" s="206" t="s">
        <v>269</v>
      </c>
      <c r="F476" s="129" t="s">
        <v>1138</v>
      </c>
      <c r="G476" s="198">
        <v>-1000</v>
      </c>
      <c r="J476" s="118"/>
    </row>
    <row r="477" spans="1:10" ht="15.6" x14ac:dyDescent="0.3">
      <c r="A477" s="127">
        <v>472</v>
      </c>
      <c r="B477" s="128">
        <v>43460</v>
      </c>
      <c r="C477" s="133" t="s">
        <v>108</v>
      </c>
      <c r="D477" s="133" t="s">
        <v>1521</v>
      </c>
      <c r="E477" s="206" t="s">
        <v>269</v>
      </c>
      <c r="F477" s="129" t="s">
        <v>1138</v>
      </c>
      <c r="G477" s="198">
        <v>-40</v>
      </c>
      <c r="J477" s="118"/>
    </row>
    <row r="478" spans="1:10" ht="15.6" x14ac:dyDescent="0.3">
      <c r="A478" s="127">
        <v>473</v>
      </c>
      <c r="B478" s="128">
        <v>43461</v>
      </c>
      <c r="C478" s="133" t="s">
        <v>42</v>
      </c>
      <c r="D478" s="133" t="s">
        <v>1521</v>
      </c>
      <c r="E478" s="206" t="s">
        <v>269</v>
      </c>
      <c r="F478" s="129" t="s">
        <v>1138</v>
      </c>
      <c r="G478" s="198">
        <v>-50</v>
      </c>
      <c r="J478" s="118"/>
    </row>
    <row r="479" spans="1:10" ht="15.6" x14ac:dyDescent="0.3">
      <c r="A479" s="127">
        <v>474</v>
      </c>
      <c r="B479" s="128">
        <v>43463</v>
      </c>
      <c r="C479" s="133" t="s">
        <v>1582</v>
      </c>
      <c r="D479" s="133" t="s">
        <v>1520</v>
      </c>
      <c r="E479" s="206" t="s">
        <v>269</v>
      </c>
      <c r="F479" s="133" t="s">
        <v>1148</v>
      </c>
      <c r="G479" s="141">
        <v>100000</v>
      </c>
      <c r="J479" s="118"/>
    </row>
    <row r="480" spans="1:10" ht="15.6" x14ac:dyDescent="0.3">
      <c r="A480" s="127">
        <v>475</v>
      </c>
      <c r="B480" s="128">
        <v>43463</v>
      </c>
      <c r="C480" s="133" t="s">
        <v>102</v>
      </c>
      <c r="D480" s="133" t="s">
        <v>1471</v>
      </c>
      <c r="E480" s="206" t="s">
        <v>269</v>
      </c>
      <c r="F480" s="129" t="s">
        <v>1138</v>
      </c>
      <c r="G480" s="198">
        <v>-30000</v>
      </c>
      <c r="J480" s="118"/>
    </row>
    <row r="481" spans="1:10" ht="15.6" x14ac:dyDescent="0.3">
      <c r="A481" s="127">
        <v>476</v>
      </c>
      <c r="B481" s="128">
        <v>43463</v>
      </c>
      <c r="C481" s="130" t="s">
        <v>1590</v>
      </c>
      <c r="D481" s="130" t="s">
        <v>1530</v>
      </c>
      <c r="E481" s="206" t="s">
        <v>269</v>
      </c>
      <c r="F481" s="129" t="s">
        <v>1138</v>
      </c>
      <c r="G481" s="198">
        <v>-22000</v>
      </c>
      <c r="J481" s="118"/>
    </row>
    <row r="482" spans="1:10" ht="15.6" x14ac:dyDescent="0.3">
      <c r="A482" s="127">
        <v>477</v>
      </c>
      <c r="B482" s="128">
        <v>43463</v>
      </c>
      <c r="C482" s="133" t="s">
        <v>110</v>
      </c>
      <c r="D482" s="133" t="s">
        <v>1521</v>
      </c>
      <c r="E482" s="206" t="s">
        <v>269</v>
      </c>
      <c r="F482" s="129" t="s">
        <v>1138</v>
      </c>
      <c r="G482" s="198">
        <v>-2000</v>
      </c>
      <c r="J482" s="118"/>
    </row>
    <row r="483" spans="1:10" ht="15.6" x14ac:dyDescent="0.3">
      <c r="A483" s="127">
        <v>478</v>
      </c>
      <c r="B483" s="128">
        <v>43463</v>
      </c>
      <c r="C483" s="133" t="s">
        <v>62</v>
      </c>
      <c r="D483" s="133" t="s">
        <v>1521</v>
      </c>
      <c r="E483" s="206" t="s">
        <v>269</v>
      </c>
      <c r="F483" s="129" t="s">
        <v>1138</v>
      </c>
      <c r="G483" s="198">
        <v>-150</v>
      </c>
      <c r="J483" s="118"/>
    </row>
    <row r="484" spans="1:10" ht="15.6" x14ac:dyDescent="0.3">
      <c r="A484" s="127">
        <v>479</v>
      </c>
      <c r="B484" s="128">
        <v>43463</v>
      </c>
      <c r="C484" s="129" t="s">
        <v>1548</v>
      </c>
      <c r="D484" s="129" t="s">
        <v>1526</v>
      </c>
      <c r="E484" s="206" t="s">
        <v>269</v>
      </c>
      <c r="F484" s="129" t="s">
        <v>1138</v>
      </c>
      <c r="G484" s="198">
        <v>-20000</v>
      </c>
      <c r="J484" s="118"/>
    </row>
    <row r="485" spans="1:10" ht="15.6" x14ac:dyDescent="0.3">
      <c r="A485" s="127">
        <v>480</v>
      </c>
      <c r="B485" s="128">
        <v>43463</v>
      </c>
      <c r="C485" s="129" t="s">
        <v>94</v>
      </c>
      <c r="D485" s="129" t="s">
        <v>1516</v>
      </c>
      <c r="E485" s="206" t="s">
        <v>269</v>
      </c>
      <c r="F485" s="129" t="s">
        <v>1138</v>
      </c>
      <c r="G485" s="198">
        <v>-1000</v>
      </c>
      <c r="J485" s="118"/>
    </row>
    <row r="486" spans="1:10" ht="15.6" x14ac:dyDescent="0.3">
      <c r="A486" s="127">
        <v>481</v>
      </c>
      <c r="B486" s="128">
        <v>43463</v>
      </c>
      <c r="C486" s="133" t="s">
        <v>69</v>
      </c>
      <c r="D486" s="133" t="s">
        <v>1524</v>
      </c>
      <c r="E486" s="206" t="s">
        <v>269</v>
      </c>
      <c r="F486" s="129" t="s">
        <v>1138</v>
      </c>
      <c r="G486" s="198">
        <v>-30000</v>
      </c>
      <c r="J486" s="118"/>
    </row>
    <row r="487" spans="1:10" ht="15.6" x14ac:dyDescent="0.3">
      <c r="A487" s="127">
        <v>482</v>
      </c>
      <c r="B487" s="128">
        <v>43463</v>
      </c>
      <c r="C487" s="129" t="s">
        <v>7</v>
      </c>
      <c r="D487" s="129" t="s">
        <v>1516</v>
      </c>
      <c r="E487" s="206" t="s">
        <v>269</v>
      </c>
      <c r="F487" s="129" t="s">
        <v>1138</v>
      </c>
      <c r="G487" s="198">
        <v>-1000</v>
      </c>
      <c r="J487" s="118"/>
    </row>
    <row r="488" spans="1:10" ht="15.6" x14ac:dyDescent="0.3">
      <c r="A488" s="127">
        <v>483</v>
      </c>
      <c r="B488" s="128">
        <v>43463</v>
      </c>
      <c r="C488" s="133" t="s">
        <v>97</v>
      </c>
      <c r="D488" s="133" t="s">
        <v>1516</v>
      </c>
      <c r="E488" s="206" t="s">
        <v>269</v>
      </c>
      <c r="F488" s="129" t="s">
        <v>1138</v>
      </c>
      <c r="G488" s="198">
        <v>-1000</v>
      </c>
      <c r="J488" s="118"/>
    </row>
    <row r="489" spans="1:10" ht="15.6" x14ac:dyDescent="0.3">
      <c r="A489" s="127">
        <v>484</v>
      </c>
      <c r="B489" s="128">
        <v>43463</v>
      </c>
      <c r="C489" s="133" t="s">
        <v>42</v>
      </c>
      <c r="D489" s="133" t="s">
        <v>1521</v>
      </c>
      <c r="E489" s="206" t="s">
        <v>269</v>
      </c>
      <c r="F489" s="129" t="s">
        <v>1138</v>
      </c>
      <c r="G489" s="198">
        <v>-200</v>
      </c>
      <c r="J489" s="118"/>
    </row>
    <row r="490" spans="1:10" ht="15.6" x14ac:dyDescent="0.3">
      <c r="A490" s="127">
        <v>485</v>
      </c>
      <c r="B490" s="128">
        <v>43463</v>
      </c>
      <c r="C490" s="129" t="s">
        <v>100</v>
      </c>
      <c r="D490" s="129" t="s">
        <v>1516</v>
      </c>
      <c r="E490" s="206" t="s">
        <v>269</v>
      </c>
      <c r="F490" s="129" t="s">
        <v>1138</v>
      </c>
      <c r="G490" s="198">
        <v>-1000</v>
      </c>
      <c r="J490" s="118"/>
    </row>
    <row r="491" spans="1:10" ht="15.6" x14ac:dyDescent="0.3">
      <c r="A491" s="127">
        <v>486</v>
      </c>
      <c r="B491" s="128">
        <v>43464</v>
      </c>
      <c r="C491" s="129" t="s">
        <v>1548</v>
      </c>
      <c r="D491" s="129" t="s">
        <v>1526</v>
      </c>
      <c r="E491" s="206" t="s">
        <v>269</v>
      </c>
      <c r="F491" s="129" t="s">
        <v>1138</v>
      </c>
      <c r="G491" s="198">
        <v>-13000</v>
      </c>
      <c r="J491" s="118"/>
    </row>
    <row r="492" spans="1:10" ht="15.6" x14ac:dyDescent="0.3">
      <c r="A492" s="127">
        <v>487</v>
      </c>
      <c r="B492" s="128">
        <v>43465</v>
      </c>
      <c r="C492" s="129" t="s">
        <v>42</v>
      </c>
      <c r="D492" s="129" t="s">
        <v>1521</v>
      </c>
      <c r="E492" s="206" t="s">
        <v>269</v>
      </c>
      <c r="F492" s="129" t="s">
        <v>1138</v>
      </c>
      <c r="G492" s="198">
        <v>-75</v>
      </c>
      <c r="J492" s="118"/>
    </row>
    <row r="493" spans="1:10" ht="15.6" x14ac:dyDescent="0.3">
      <c r="A493" s="127">
        <v>488</v>
      </c>
      <c r="B493" s="128">
        <v>43466</v>
      </c>
      <c r="C493" s="129" t="s">
        <v>1548</v>
      </c>
      <c r="D493" s="129" t="s">
        <v>1526</v>
      </c>
      <c r="E493" s="206" t="s">
        <v>269</v>
      </c>
      <c r="F493" s="129" t="s">
        <v>1138</v>
      </c>
      <c r="G493" s="198">
        <v>-3000</v>
      </c>
      <c r="J493" s="118"/>
    </row>
    <row r="494" spans="1:10" ht="15.6" x14ac:dyDescent="0.3">
      <c r="A494" s="127">
        <v>489</v>
      </c>
      <c r="B494" s="128">
        <v>43466</v>
      </c>
      <c r="C494" s="129" t="s">
        <v>42</v>
      </c>
      <c r="D494" s="129" t="s">
        <v>1521</v>
      </c>
      <c r="E494" s="206" t="s">
        <v>269</v>
      </c>
      <c r="F494" s="129" t="s">
        <v>1138</v>
      </c>
      <c r="G494" s="198">
        <v>-50</v>
      </c>
      <c r="J494" s="118"/>
    </row>
    <row r="495" spans="1:10" ht="15.6" x14ac:dyDescent="0.3">
      <c r="A495" s="127">
        <v>490</v>
      </c>
      <c r="B495" s="128">
        <v>43467</v>
      </c>
      <c r="C495" s="129" t="s">
        <v>1548</v>
      </c>
      <c r="D495" s="129" t="s">
        <v>1526</v>
      </c>
      <c r="E495" s="206" t="s">
        <v>269</v>
      </c>
      <c r="F495" s="129" t="s">
        <v>1138</v>
      </c>
      <c r="G495" s="198">
        <v>-10000</v>
      </c>
      <c r="J495" s="118"/>
    </row>
    <row r="496" spans="1:10" ht="15.6" x14ac:dyDescent="0.3">
      <c r="A496" s="127">
        <v>491</v>
      </c>
      <c r="B496" s="128">
        <v>43467</v>
      </c>
      <c r="C496" s="129" t="s">
        <v>106</v>
      </c>
      <c r="D496" s="129" t="s">
        <v>1471</v>
      </c>
      <c r="E496" s="206" t="s">
        <v>269</v>
      </c>
      <c r="F496" s="129" t="s">
        <v>1138</v>
      </c>
      <c r="G496" s="198">
        <v>-560</v>
      </c>
      <c r="J496" s="118"/>
    </row>
    <row r="497" spans="1:10" ht="15.6" x14ac:dyDescent="0.3">
      <c r="A497" s="127">
        <v>492</v>
      </c>
      <c r="B497" s="128">
        <v>43468</v>
      </c>
      <c r="C497" s="133" t="s">
        <v>1582</v>
      </c>
      <c r="D497" s="133" t="s">
        <v>1520</v>
      </c>
      <c r="E497" s="206" t="s">
        <v>269</v>
      </c>
      <c r="F497" s="133" t="s">
        <v>1148</v>
      </c>
      <c r="G497" s="141">
        <v>250000</v>
      </c>
      <c r="J497" s="118"/>
    </row>
    <row r="498" spans="1:10" ht="15.6" x14ac:dyDescent="0.3">
      <c r="A498" s="127">
        <v>493</v>
      </c>
      <c r="B498" s="128">
        <v>43468</v>
      </c>
      <c r="C498" s="129" t="s">
        <v>1548</v>
      </c>
      <c r="D498" s="129" t="s">
        <v>1526</v>
      </c>
      <c r="E498" s="206" t="s">
        <v>269</v>
      </c>
      <c r="F498" s="129" t="s">
        <v>1138</v>
      </c>
      <c r="G498" s="198">
        <v>-100000</v>
      </c>
      <c r="J498" s="118"/>
    </row>
    <row r="499" spans="1:10" ht="15.6" x14ac:dyDescent="0.3">
      <c r="A499" s="127">
        <v>494</v>
      </c>
      <c r="B499" s="128">
        <v>43468</v>
      </c>
      <c r="C499" s="129" t="s">
        <v>26</v>
      </c>
      <c r="D499" s="129" t="s">
        <v>1522</v>
      </c>
      <c r="E499" s="206" t="s">
        <v>269</v>
      </c>
      <c r="F499" s="129" t="s">
        <v>1138</v>
      </c>
      <c r="G499" s="198">
        <v>-20000</v>
      </c>
      <c r="J499" s="118"/>
    </row>
    <row r="500" spans="1:10" ht="15.6" x14ac:dyDescent="0.3">
      <c r="A500" s="127">
        <v>495</v>
      </c>
      <c r="B500" s="128">
        <v>43468</v>
      </c>
      <c r="C500" s="129" t="s">
        <v>102</v>
      </c>
      <c r="D500" s="129" t="s">
        <v>1471</v>
      </c>
      <c r="E500" s="206" t="s">
        <v>269</v>
      </c>
      <c r="F500" s="129" t="s">
        <v>1138</v>
      </c>
      <c r="G500" s="198">
        <v>-40000</v>
      </c>
      <c r="J500" s="118"/>
    </row>
    <row r="501" spans="1:10" ht="15.6" x14ac:dyDescent="0.3">
      <c r="A501" s="127">
        <v>496</v>
      </c>
      <c r="B501" s="128">
        <v>43468</v>
      </c>
      <c r="C501" s="129" t="s">
        <v>1591</v>
      </c>
      <c r="D501" s="129" t="s">
        <v>1516</v>
      </c>
      <c r="E501" s="206" t="s">
        <v>269</v>
      </c>
      <c r="F501" s="129" t="s">
        <v>1138</v>
      </c>
      <c r="G501" s="198">
        <v>-15800</v>
      </c>
      <c r="J501" s="118"/>
    </row>
    <row r="502" spans="1:10" ht="15.6" x14ac:dyDescent="0.3">
      <c r="A502" s="127">
        <v>497</v>
      </c>
      <c r="B502" s="128">
        <v>43469</v>
      </c>
      <c r="C502" s="129" t="s">
        <v>69</v>
      </c>
      <c r="D502" s="129" t="s">
        <v>1524</v>
      </c>
      <c r="E502" s="206" t="s">
        <v>269</v>
      </c>
      <c r="F502" s="129" t="s">
        <v>1138</v>
      </c>
      <c r="G502" s="198">
        <v>-30000</v>
      </c>
      <c r="J502" s="118"/>
    </row>
    <row r="503" spans="1:10" ht="15.6" x14ac:dyDescent="0.3">
      <c r="A503" s="127">
        <v>498</v>
      </c>
      <c r="B503" s="128">
        <v>43469</v>
      </c>
      <c r="C503" s="129" t="s">
        <v>1592</v>
      </c>
      <c r="D503" s="129" t="s">
        <v>1516</v>
      </c>
      <c r="E503" s="206" t="s">
        <v>269</v>
      </c>
      <c r="F503" s="129" t="s">
        <v>1138</v>
      </c>
      <c r="G503" s="198">
        <v>-22650</v>
      </c>
      <c r="J503" s="118"/>
    </row>
    <row r="504" spans="1:10" ht="15.6" x14ac:dyDescent="0.3">
      <c r="A504" s="127">
        <v>499</v>
      </c>
      <c r="B504" s="128">
        <v>43469</v>
      </c>
      <c r="C504" s="129" t="s">
        <v>113</v>
      </c>
      <c r="D504" s="129" t="s">
        <v>1529</v>
      </c>
      <c r="E504" s="206" t="s">
        <v>269</v>
      </c>
      <c r="F504" s="129" t="s">
        <v>1138</v>
      </c>
      <c r="G504" s="198">
        <v>-20000</v>
      </c>
      <c r="J504" s="118"/>
    </row>
    <row r="505" spans="1:10" ht="15.6" x14ac:dyDescent="0.3">
      <c r="A505" s="127">
        <v>500</v>
      </c>
      <c r="B505" s="128">
        <v>43469</v>
      </c>
      <c r="C505" s="129" t="s">
        <v>42</v>
      </c>
      <c r="D505" s="129" t="s">
        <v>1521</v>
      </c>
      <c r="E505" s="206" t="s">
        <v>269</v>
      </c>
      <c r="F505" s="129" t="s">
        <v>1138</v>
      </c>
      <c r="G505" s="198">
        <v>-50</v>
      </c>
      <c r="J505" s="118"/>
    </row>
    <row r="506" spans="1:10" ht="15.6" x14ac:dyDescent="0.3">
      <c r="A506" s="127">
        <v>501</v>
      </c>
      <c r="B506" s="128">
        <v>43469</v>
      </c>
      <c r="C506" s="129" t="s">
        <v>1593</v>
      </c>
      <c r="D506" s="129" t="s">
        <v>1516</v>
      </c>
      <c r="E506" s="206" t="s">
        <v>269</v>
      </c>
      <c r="F506" s="129" t="s">
        <v>1138</v>
      </c>
      <c r="G506" s="198">
        <v>-9600</v>
      </c>
      <c r="J506" s="118"/>
    </row>
    <row r="507" spans="1:10" ht="15.6" x14ac:dyDescent="0.3">
      <c r="A507" s="127">
        <v>502</v>
      </c>
      <c r="B507" s="128">
        <v>43470</v>
      </c>
      <c r="C507" s="133" t="s">
        <v>1582</v>
      </c>
      <c r="D507" s="133" t="s">
        <v>1520</v>
      </c>
      <c r="E507" s="206" t="s">
        <v>269</v>
      </c>
      <c r="F507" s="133" t="s">
        <v>1148</v>
      </c>
      <c r="G507" s="141">
        <v>200000</v>
      </c>
      <c r="J507" s="118"/>
    </row>
    <row r="508" spans="1:10" ht="15.6" x14ac:dyDescent="0.3">
      <c r="A508" s="127">
        <v>503</v>
      </c>
      <c r="B508" s="128">
        <v>43470</v>
      </c>
      <c r="C508" s="129" t="s">
        <v>6</v>
      </c>
      <c r="D508" s="129" t="s">
        <v>1523</v>
      </c>
      <c r="E508" s="206" t="s">
        <v>269</v>
      </c>
      <c r="F508" s="129" t="s">
        <v>1138</v>
      </c>
      <c r="G508" s="198">
        <v>-100000</v>
      </c>
      <c r="J508" s="118"/>
    </row>
    <row r="509" spans="1:10" ht="15.6" x14ac:dyDescent="0.3">
      <c r="A509" s="127">
        <v>504</v>
      </c>
      <c r="B509" s="128">
        <v>43470</v>
      </c>
      <c r="C509" s="129" t="s">
        <v>42</v>
      </c>
      <c r="D509" s="129" t="s">
        <v>1521</v>
      </c>
      <c r="E509" s="206" t="s">
        <v>269</v>
      </c>
      <c r="F509" s="129" t="s">
        <v>1138</v>
      </c>
      <c r="G509" s="198">
        <v>-50</v>
      </c>
      <c r="J509" s="118"/>
    </row>
    <row r="510" spans="1:10" ht="15.6" x14ac:dyDescent="0.3">
      <c r="A510" s="127">
        <v>505</v>
      </c>
      <c r="B510" s="128">
        <v>43471</v>
      </c>
      <c r="C510" s="129" t="s">
        <v>106</v>
      </c>
      <c r="D510" s="129" t="s">
        <v>1471</v>
      </c>
      <c r="E510" s="206" t="s">
        <v>269</v>
      </c>
      <c r="F510" s="129" t="s">
        <v>1138</v>
      </c>
      <c r="G510" s="198">
        <v>-6615</v>
      </c>
      <c r="J510" s="118"/>
    </row>
    <row r="511" spans="1:10" ht="15.6" x14ac:dyDescent="0.3">
      <c r="A511" s="127">
        <v>506</v>
      </c>
      <c r="B511" s="128">
        <v>43472</v>
      </c>
      <c r="C511" s="129" t="s">
        <v>94</v>
      </c>
      <c r="D511" s="129" t="s">
        <v>1516</v>
      </c>
      <c r="E511" s="206" t="s">
        <v>269</v>
      </c>
      <c r="F511" s="129" t="s">
        <v>1138</v>
      </c>
      <c r="G511" s="198">
        <v>-400</v>
      </c>
      <c r="J511" s="118"/>
    </row>
    <row r="512" spans="1:10" ht="15.6" x14ac:dyDescent="0.3">
      <c r="A512" s="127">
        <v>507</v>
      </c>
      <c r="B512" s="128">
        <v>43472</v>
      </c>
      <c r="C512" s="129" t="s">
        <v>42</v>
      </c>
      <c r="D512" s="129" t="s">
        <v>1521</v>
      </c>
      <c r="E512" s="206" t="s">
        <v>269</v>
      </c>
      <c r="F512" s="129" t="s">
        <v>1138</v>
      </c>
      <c r="G512" s="198">
        <v>-100</v>
      </c>
      <c r="J512" s="118"/>
    </row>
    <row r="513" spans="1:10" ht="15.6" x14ac:dyDescent="0.3">
      <c r="A513" s="127">
        <v>508</v>
      </c>
      <c r="B513" s="128">
        <v>43472</v>
      </c>
      <c r="C513" s="129" t="s">
        <v>1594</v>
      </c>
      <c r="D513" s="129" t="s">
        <v>1517</v>
      </c>
      <c r="E513" s="206" t="s">
        <v>269</v>
      </c>
      <c r="F513" s="129" t="s">
        <v>1138</v>
      </c>
      <c r="G513" s="198">
        <v>-60000</v>
      </c>
      <c r="J513" s="118"/>
    </row>
    <row r="514" spans="1:10" ht="15.6" x14ac:dyDescent="0.3">
      <c r="A514" s="127">
        <v>509</v>
      </c>
      <c r="B514" s="128">
        <v>43472</v>
      </c>
      <c r="C514" s="129" t="s">
        <v>69</v>
      </c>
      <c r="D514" s="129" t="s">
        <v>1524</v>
      </c>
      <c r="E514" s="206" t="s">
        <v>269</v>
      </c>
      <c r="F514" s="129" t="s">
        <v>1138</v>
      </c>
      <c r="G514" s="198">
        <v>-2000</v>
      </c>
      <c r="J514" s="118"/>
    </row>
    <row r="515" spans="1:10" ht="15.6" x14ac:dyDescent="0.3">
      <c r="A515" s="127">
        <v>510</v>
      </c>
      <c r="B515" s="128">
        <v>43473</v>
      </c>
      <c r="C515" s="133" t="s">
        <v>1550</v>
      </c>
      <c r="D515" s="133" t="s">
        <v>1520</v>
      </c>
      <c r="E515" s="206" t="s">
        <v>269</v>
      </c>
      <c r="F515" s="133" t="s">
        <v>1148</v>
      </c>
      <c r="G515" s="141">
        <v>100000</v>
      </c>
      <c r="J515" s="118"/>
    </row>
    <row r="516" spans="1:10" ht="15.6" x14ac:dyDescent="0.3">
      <c r="A516" s="127">
        <v>511</v>
      </c>
      <c r="B516" s="128">
        <v>43473</v>
      </c>
      <c r="C516" s="129" t="s">
        <v>1548</v>
      </c>
      <c r="D516" s="129" t="s">
        <v>1526</v>
      </c>
      <c r="E516" s="206" t="s">
        <v>269</v>
      </c>
      <c r="F516" s="129" t="s">
        <v>1138</v>
      </c>
      <c r="G516" s="198">
        <v>-30000</v>
      </c>
      <c r="J516" s="118"/>
    </row>
    <row r="517" spans="1:10" ht="15.6" x14ac:dyDescent="0.3">
      <c r="A517" s="127">
        <v>512</v>
      </c>
      <c r="B517" s="128">
        <v>43474</v>
      </c>
      <c r="C517" s="133" t="s">
        <v>1582</v>
      </c>
      <c r="D517" s="133" t="s">
        <v>1520</v>
      </c>
      <c r="E517" s="206" t="s">
        <v>269</v>
      </c>
      <c r="F517" s="133" t="s">
        <v>1148</v>
      </c>
      <c r="G517" s="141">
        <v>130000</v>
      </c>
      <c r="J517" s="118"/>
    </row>
    <row r="518" spans="1:10" ht="15.6" x14ac:dyDescent="0.3">
      <c r="A518" s="127">
        <v>513</v>
      </c>
      <c r="B518" s="128">
        <v>43474</v>
      </c>
      <c r="C518" s="133" t="s">
        <v>1582</v>
      </c>
      <c r="D518" s="133" t="s">
        <v>1520</v>
      </c>
      <c r="E518" s="206" t="s">
        <v>269</v>
      </c>
      <c r="F518" s="133" t="s">
        <v>1148</v>
      </c>
      <c r="G518" s="141">
        <v>70000</v>
      </c>
      <c r="J518" s="118"/>
    </row>
    <row r="519" spans="1:10" ht="15.6" x14ac:dyDescent="0.3">
      <c r="A519" s="127">
        <v>514</v>
      </c>
      <c r="B519" s="128">
        <v>43474</v>
      </c>
      <c r="C519" s="129" t="s">
        <v>7</v>
      </c>
      <c r="D519" s="129" t="s">
        <v>1516</v>
      </c>
      <c r="E519" s="206" t="s">
        <v>269</v>
      </c>
      <c r="F519" s="129" t="s">
        <v>1138</v>
      </c>
      <c r="G519" s="198">
        <v>-2000</v>
      </c>
      <c r="J519" s="118"/>
    </row>
    <row r="520" spans="1:10" ht="15.6" x14ac:dyDescent="0.3">
      <c r="A520" s="127">
        <v>515</v>
      </c>
      <c r="B520" s="128">
        <v>43474</v>
      </c>
      <c r="C520" s="129" t="s">
        <v>1595</v>
      </c>
      <c r="D520" s="129" t="s">
        <v>1516</v>
      </c>
      <c r="E520" s="206" t="s">
        <v>269</v>
      </c>
      <c r="F520" s="129" t="s">
        <v>1138</v>
      </c>
      <c r="G520" s="198">
        <v>-1600</v>
      </c>
      <c r="J520" s="118"/>
    </row>
    <row r="521" spans="1:10" ht="15.6" x14ac:dyDescent="0.3">
      <c r="A521" s="127">
        <v>516</v>
      </c>
      <c r="B521" s="128">
        <v>43474</v>
      </c>
      <c r="C521" s="129" t="s">
        <v>1596</v>
      </c>
      <c r="D521" s="129" t="s">
        <v>1516</v>
      </c>
      <c r="E521" s="206" t="s">
        <v>269</v>
      </c>
      <c r="F521" s="129" t="s">
        <v>1138</v>
      </c>
      <c r="G521" s="198">
        <v>-2950</v>
      </c>
      <c r="J521" s="118"/>
    </row>
    <row r="522" spans="1:10" ht="15.6" x14ac:dyDescent="0.3">
      <c r="A522" s="127">
        <v>517</v>
      </c>
      <c r="B522" s="128">
        <v>43474</v>
      </c>
      <c r="C522" s="129" t="s">
        <v>1597</v>
      </c>
      <c r="D522" s="129" t="s">
        <v>1516</v>
      </c>
      <c r="E522" s="206" t="s">
        <v>269</v>
      </c>
      <c r="F522" s="129" t="s">
        <v>1138</v>
      </c>
      <c r="G522" s="198">
        <v>-1250</v>
      </c>
      <c r="J522" s="118"/>
    </row>
    <row r="523" spans="1:10" ht="15.6" x14ac:dyDescent="0.3">
      <c r="A523" s="127">
        <v>518</v>
      </c>
      <c r="B523" s="128">
        <v>43474</v>
      </c>
      <c r="C523" s="129" t="s">
        <v>102</v>
      </c>
      <c r="D523" s="129" t="s">
        <v>1471</v>
      </c>
      <c r="E523" s="206" t="s">
        <v>269</v>
      </c>
      <c r="F523" s="129" t="s">
        <v>1138</v>
      </c>
      <c r="G523" s="198">
        <v>-20000</v>
      </c>
      <c r="J523" s="118"/>
    </row>
    <row r="524" spans="1:10" ht="15.6" x14ac:dyDescent="0.3">
      <c r="A524" s="127">
        <v>519</v>
      </c>
      <c r="B524" s="128">
        <v>43474</v>
      </c>
      <c r="C524" s="129" t="s">
        <v>1548</v>
      </c>
      <c r="D524" s="129" t="s">
        <v>1526</v>
      </c>
      <c r="E524" s="206" t="s">
        <v>269</v>
      </c>
      <c r="F524" s="129" t="s">
        <v>1138</v>
      </c>
      <c r="G524" s="198">
        <v>-100000</v>
      </c>
      <c r="J524" s="118"/>
    </row>
    <row r="525" spans="1:10" ht="15.6" x14ac:dyDescent="0.3">
      <c r="A525" s="127">
        <v>520</v>
      </c>
      <c r="B525" s="128">
        <v>43474</v>
      </c>
      <c r="C525" s="129" t="s">
        <v>6</v>
      </c>
      <c r="D525" s="129" t="s">
        <v>1523</v>
      </c>
      <c r="E525" s="206" t="s">
        <v>269</v>
      </c>
      <c r="F525" s="129" t="s">
        <v>1138</v>
      </c>
      <c r="G525" s="198">
        <v>-50000</v>
      </c>
      <c r="J525" s="118"/>
    </row>
    <row r="526" spans="1:10" ht="15.6" x14ac:dyDescent="0.3">
      <c r="A526" s="127">
        <v>521</v>
      </c>
      <c r="B526" s="128">
        <v>43474</v>
      </c>
      <c r="C526" s="129" t="s">
        <v>1548</v>
      </c>
      <c r="D526" s="129" t="s">
        <v>1526</v>
      </c>
      <c r="E526" s="206" t="s">
        <v>269</v>
      </c>
      <c r="F526" s="129" t="s">
        <v>1138</v>
      </c>
      <c r="G526" s="198">
        <v>-25000</v>
      </c>
      <c r="J526" s="118"/>
    </row>
    <row r="527" spans="1:10" ht="15.6" x14ac:dyDescent="0.3">
      <c r="A527" s="127">
        <v>522</v>
      </c>
      <c r="B527" s="128">
        <v>43475</v>
      </c>
      <c r="C527" s="129" t="s">
        <v>106</v>
      </c>
      <c r="D527" s="129" t="s">
        <v>1471</v>
      </c>
      <c r="E527" s="206" t="s">
        <v>269</v>
      </c>
      <c r="F527" s="129" t="s">
        <v>1138</v>
      </c>
      <c r="G527" s="198">
        <v>-3150</v>
      </c>
      <c r="J527" s="118"/>
    </row>
    <row r="528" spans="1:10" ht="15.6" x14ac:dyDescent="0.3">
      <c r="A528" s="127">
        <v>523</v>
      </c>
      <c r="B528" s="128">
        <v>43477</v>
      </c>
      <c r="C528" s="129" t="s">
        <v>119</v>
      </c>
      <c r="D528" s="129" t="s">
        <v>1521</v>
      </c>
      <c r="E528" s="206" t="s">
        <v>269</v>
      </c>
      <c r="F528" s="129" t="s">
        <v>1138</v>
      </c>
      <c r="G528" s="198">
        <v>-580</v>
      </c>
      <c r="J528" s="118"/>
    </row>
    <row r="529" spans="1:10" ht="15.6" x14ac:dyDescent="0.3">
      <c r="A529" s="127">
        <v>524</v>
      </c>
      <c r="B529" s="128">
        <v>43477</v>
      </c>
      <c r="C529" s="129" t="s">
        <v>42</v>
      </c>
      <c r="D529" s="129" t="s">
        <v>1521</v>
      </c>
      <c r="E529" s="206" t="s">
        <v>269</v>
      </c>
      <c r="F529" s="129" t="s">
        <v>1138</v>
      </c>
      <c r="G529" s="198">
        <v>-50</v>
      </c>
      <c r="J529" s="118"/>
    </row>
    <row r="530" spans="1:10" ht="15.6" x14ac:dyDescent="0.3">
      <c r="A530" s="127">
        <v>525</v>
      </c>
      <c r="B530" s="128">
        <v>43477</v>
      </c>
      <c r="C530" s="129" t="s">
        <v>106</v>
      </c>
      <c r="D530" s="129" t="s">
        <v>1471</v>
      </c>
      <c r="E530" s="206" t="s">
        <v>269</v>
      </c>
      <c r="F530" s="129" t="s">
        <v>1138</v>
      </c>
      <c r="G530" s="198">
        <v>-6540</v>
      </c>
      <c r="J530" s="118"/>
    </row>
    <row r="531" spans="1:10" ht="15.6" x14ac:dyDescent="0.3">
      <c r="A531" s="127">
        <v>526</v>
      </c>
      <c r="B531" s="128">
        <v>43477</v>
      </c>
      <c r="C531" s="129" t="s">
        <v>120</v>
      </c>
      <c r="D531" s="129" t="s">
        <v>1521</v>
      </c>
      <c r="E531" s="206" t="s">
        <v>269</v>
      </c>
      <c r="F531" s="129" t="s">
        <v>1138</v>
      </c>
      <c r="G531" s="198">
        <v>-700</v>
      </c>
      <c r="J531" s="118"/>
    </row>
    <row r="532" spans="1:10" ht="15.6" x14ac:dyDescent="0.3">
      <c r="A532" s="127">
        <v>527</v>
      </c>
      <c r="B532" s="128">
        <v>43477</v>
      </c>
      <c r="C532" s="129" t="s">
        <v>1598</v>
      </c>
      <c r="D532" s="129" t="s">
        <v>1521</v>
      </c>
      <c r="E532" s="206" t="s">
        <v>269</v>
      </c>
      <c r="F532" s="129" t="s">
        <v>1138</v>
      </c>
      <c r="G532" s="198">
        <v>-2600</v>
      </c>
      <c r="J532" s="118"/>
    </row>
    <row r="533" spans="1:10" ht="15.6" x14ac:dyDescent="0.3">
      <c r="A533" s="127">
        <v>528</v>
      </c>
      <c r="B533" s="128">
        <v>43479</v>
      </c>
      <c r="C533" s="129" t="s">
        <v>1548</v>
      </c>
      <c r="D533" s="129" t="s">
        <v>1526</v>
      </c>
      <c r="E533" s="206" t="s">
        <v>269</v>
      </c>
      <c r="F533" s="129" t="s">
        <v>1138</v>
      </c>
      <c r="G533" s="198">
        <v>-10000</v>
      </c>
      <c r="J533" s="118"/>
    </row>
    <row r="534" spans="1:10" ht="15.6" x14ac:dyDescent="0.3">
      <c r="A534" s="127">
        <v>529</v>
      </c>
      <c r="B534" s="128">
        <v>43479</v>
      </c>
      <c r="C534" s="129" t="s">
        <v>42</v>
      </c>
      <c r="D534" s="129" t="s">
        <v>1521</v>
      </c>
      <c r="E534" s="206" t="s">
        <v>269</v>
      </c>
      <c r="F534" s="129" t="s">
        <v>1138</v>
      </c>
      <c r="G534" s="198">
        <v>-100</v>
      </c>
      <c r="J534" s="118"/>
    </row>
    <row r="535" spans="1:10" ht="15.6" x14ac:dyDescent="0.3">
      <c r="A535" s="127">
        <v>530</v>
      </c>
      <c r="B535" s="128">
        <v>43479</v>
      </c>
      <c r="C535" s="129" t="s">
        <v>119</v>
      </c>
      <c r="D535" s="129" t="s">
        <v>1521</v>
      </c>
      <c r="E535" s="206" t="s">
        <v>269</v>
      </c>
      <c r="F535" s="129" t="s">
        <v>1138</v>
      </c>
      <c r="G535" s="198">
        <v>-300</v>
      </c>
      <c r="J535" s="118"/>
    </row>
    <row r="536" spans="1:10" ht="15.6" x14ac:dyDescent="0.3">
      <c r="A536" s="127">
        <v>531</v>
      </c>
      <c r="B536" s="128">
        <v>43479</v>
      </c>
      <c r="C536" s="129" t="s">
        <v>94</v>
      </c>
      <c r="D536" s="129" t="s">
        <v>1516</v>
      </c>
      <c r="E536" s="206" t="s">
        <v>269</v>
      </c>
      <c r="F536" s="129" t="s">
        <v>1138</v>
      </c>
      <c r="G536" s="198">
        <v>-1000</v>
      </c>
      <c r="J536" s="118"/>
    </row>
    <row r="537" spans="1:10" ht="15.6" x14ac:dyDescent="0.3">
      <c r="A537" s="127">
        <v>532</v>
      </c>
      <c r="B537" s="128">
        <v>43479</v>
      </c>
      <c r="C537" s="129" t="s">
        <v>7</v>
      </c>
      <c r="D537" s="129" t="s">
        <v>1516</v>
      </c>
      <c r="E537" s="206" t="s">
        <v>269</v>
      </c>
      <c r="F537" s="129" t="s">
        <v>1138</v>
      </c>
      <c r="G537" s="198">
        <v>-1000</v>
      </c>
      <c r="J537" s="118"/>
    </row>
    <row r="538" spans="1:10" ht="15.6" x14ac:dyDescent="0.3">
      <c r="A538" s="127">
        <v>533</v>
      </c>
      <c r="B538" s="128">
        <v>43479</v>
      </c>
      <c r="C538" s="129" t="s">
        <v>42</v>
      </c>
      <c r="D538" s="129" t="s">
        <v>1521</v>
      </c>
      <c r="E538" s="206" t="s">
        <v>269</v>
      </c>
      <c r="F538" s="129" t="s">
        <v>1138</v>
      </c>
      <c r="G538" s="198">
        <v>-100</v>
      </c>
      <c r="J538" s="118"/>
    </row>
    <row r="539" spans="1:10" ht="15.6" x14ac:dyDescent="0.3">
      <c r="A539" s="127">
        <v>534</v>
      </c>
      <c r="B539" s="128">
        <v>43479</v>
      </c>
      <c r="C539" s="129" t="s">
        <v>122</v>
      </c>
      <c r="D539" s="129" t="s">
        <v>1521</v>
      </c>
      <c r="E539" s="206" t="s">
        <v>269</v>
      </c>
      <c r="F539" s="129" t="s">
        <v>1138</v>
      </c>
      <c r="G539" s="198">
        <v>-70</v>
      </c>
      <c r="J539" s="118"/>
    </row>
    <row r="540" spans="1:10" ht="15.6" x14ac:dyDescent="0.3">
      <c r="A540" s="127">
        <v>535</v>
      </c>
      <c r="B540" s="128">
        <v>43479</v>
      </c>
      <c r="C540" s="129" t="s">
        <v>123</v>
      </c>
      <c r="D540" s="129" t="s">
        <v>1521</v>
      </c>
      <c r="E540" s="206" t="s">
        <v>269</v>
      </c>
      <c r="F540" s="129" t="s">
        <v>1138</v>
      </c>
      <c r="G540" s="198">
        <v>-40</v>
      </c>
      <c r="J540" s="118"/>
    </row>
    <row r="541" spans="1:10" ht="15.6" x14ac:dyDescent="0.3">
      <c r="A541" s="127">
        <v>536</v>
      </c>
      <c r="B541" s="128">
        <v>43480</v>
      </c>
      <c r="C541" s="133" t="s">
        <v>1599</v>
      </c>
      <c r="D541" s="133" t="s">
        <v>1520</v>
      </c>
      <c r="E541" s="206" t="s">
        <v>269</v>
      </c>
      <c r="F541" s="133" t="s">
        <v>1148</v>
      </c>
      <c r="G541" s="141">
        <v>300000</v>
      </c>
      <c r="J541" s="118"/>
    </row>
    <row r="542" spans="1:10" ht="15.6" x14ac:dyDescent="0.3">
      <c r="A542" s="127">
        <v>537</v>
      </c>
      <c r="B542" s="128">
        <v>43480</v>
      </c>
      <c r="C542" s="129" t="s">
        <v>102</v>
      </c>
      <c r="D542" s="129" t="s">
        <v>1471</v>
      </c>
      <c r="E542" s="206" t="s">
        <v>269</v>
      </c>
      <c r="F542" s="129" t="s">
        <v>1138</v>
      </c>
      <c r="G542" s="198">
        <v>-10000</v>
      </c>
      <c r="J542" s="118"/>
    </row>
    <row r="543" spans="1:10" ht="15.6" x14ac:dyDescent="0.3">
      <c r="A543" s="127">
        <v>538</v>
      </c>
      <c r="B543" s="128">
        <v>43480</v>
      </c>
      <c r="C543" s="129" t="s">
        <v>42</v>
      </c>
      <c r="D543" s="129" t="s">
        <v>1521</v>
      </c>
      <c r="E543" s="206" t="s">
        <v>269</v>
      </c>
      <c r="F543" s="129" t="s">
        <v>1138</v>
      </c>
      <c r="G543" s="198">
        <v>-75</v>
      </c>
      <c r="J543" s="118"/>
    </row>
    <row r="544" spans="1:10" ht="15.6" x14ac:dyDescent="0.3">
      <c r="A544" s="127">
        <v>539</v>
      </c>
      <c r="B544" s="128">
        <v>43481</v>
      </c>
      <c r="C544" s="129" t="s">
        <v>26</v>
      </c>
      <c r="D544" s="129" t="s">
        <v>1522</v>
      </c>
      <c r="E544" s="206" t="s">
        <v>269</v>
      </c>
      <c r="F544" s="129" t="s">
        <v>1138</v>
      </c>
      <c r="G544" s="198">
        <v>-20000</v>
      </c>
      <c r="J544" s="118"/>
    </row>
    <row r="545" spans="1:10" ht="15.6" x14ac:dyDescent="0.3">
      <c r="A545" s="127">
        <v>540</v>
      </c>
      <c r="B545" s="128">
        <v>43481</v>
      </c>
      <c r="C545" s="129" t="s">
        <v>1548</v>
      </c>
      <c r="D545" s="129" t="s">
        <v>1526</v>
      </c>
      <c r="E545" s="206" t="s">
        <v>269</v>
      </c>
      <c r="F545" s="129" t="s">
        <v>1138</v>
      </c>
      <c r="G545" s="198">
        <v>-22000</v>
      </c>
      <c r="J545" s="118"/>
    </row>
    <row r="546" spans="1:10" ht="15.6" x14ac:dyDescent="0.3">
      <c r="A546" s="127">
        <v>541</v>
      </c>
      <c r="B546" s="128">
        <v>43481</v>
      </c>
      <c r="C546" s="129" t="s">
        <v>94</v>
      </c>
      <c r="D546" s="129" t="s">
        <v>1516</v>
      </c>
      <c r="E546" s="206" t="s">
        <v>269</v>
      </c>
      <c r="F546" s="129" t="s">
        <v>1138</v>
      </c>
      <c r="G546" s="198">
        <v>-1000</v>
      </c>
      <c r="J546" s="118"/>
    </row>
    <row r="547" spans="1:10" ht="15.6" x14ac:dyDescent="0.3">
      <c r="A547" s="127">
        <v>542</v>
      </c>
      <c r="B547" s="128">
        <v>43481</v>
      </c>
      <c r="C547" s="129" t="s">
        <v>42</v>
      </c>
      <c r="D547" s="129" t="s">
        <v>1521</v>
      </c>
      <c r="E547" s="206" t="s">
        <v>269</v>
      </c>
      <c r="F547" s="129" t="s">
        <v>1138</v>
      </c>
      <c r="G547" s="198">
        <v>-100</v>
      </c>
      <c r="J547" s="118"/>
    </row>
    <row r="548" spans="1:10" ht="15.6" x14ac:dyDescent="0.3">
      <c r="A548" s="127">
        <v>543</v>
      </c>
      <c r="B548" s="128">
        <v>43483</v>
      </c>
      <c r="C548" s="129" t="s">
        <v>106</v>
      </c>
      <c r="D548" s="129" t="s">
        <v>1471</v>
      </c>
      <c r="E548" s="206" t="s">
        <v>269</v>
      </c>
      <c r="F548" s="129" t="s">
        <v>1138</v>
      </c>
      <c r="G548" s="198">
        <v>-3150</v>
      </c>
      <c r="J548" s="118"/>
    </row>
    <row r="549" spans="1:10" ht="15.6" x14ac:dyDescent="0.3">
      <c r="A549" s="127">
        <v>544</v>
      </c>
      <c r="B549" s="128">
        <v>43483</v>
      </c>
      <c r="C549" s="129" t="s">
        <v>1548</v>
      </c>
      <c r="D549" s="129" t="s">
        <v>1526</v>
      </c>
      <c r="E549" s="206" t="s">
        <v>269</v>
      </c>
      <c r="F549" s="129" t="s">
        <v>1138</v>
      </c>
      <c r="G549" s="198">
        <v>-2000</v>
      </c>
      <c r="J549" s="118"/>
    </row>
    <row r="550" spans="1:10" ht="15.6" x14ac:dyDescent="0.3">
      <c r="A550" s="127">
        <v>545</v>
      </c>
      <c r="B550" s="128">
        <v>43484</v>
      </c>
      <c r="C550" s="129" t="s">
        <v>1548</v>
      </c>
      <c r="D550" s="129" t="s">
        <v>1526</v>
      </c>
      <c r="E550" s="206" t="s">
        <v>269</v>
      </c>
      <c r="F550" s="129" t="s">
        <v>1138</v>
      </c>
      <c r="G550" s="198">
        <v>-50000</v>
      </c>
      <c r="J550" s="118"/>
    </row>
    <row r="551" spans="1:10" ht="15.6" x14ac:dyDescent="0.3">
      <c r="A551" s="127">
        <v>546</v>
      </c>
      <c r="B551" s="128">
        <v>43484</v>
      </c>
      <c r="C551" s="129" t="s">
        <v>26</v>
      </c>
      <c r="D551" s="129" t="s">
        <v>1522</v>
      </c>
      <c r="E551" s="206" t="s">
        <v>269</v>
      </c>
      <c r="F551" s="129" t="s">
        <v>1138</v>
      </c>
      <c r="G551" s="198">
        <v>-30000</v>
      </c>
      <c r="J551" s="118"/>
    </row>
    <row r="552" spans="1:10" ht="15.6" x14ac:dyDescent="0.3">
      <c r="A552" s="127">
        <v>547</v>
      </c>
      <c r="B552" s="128">
        <v>43484</v>
      </c>
      <c r="C552" s="129" t="s">
        <v>102</v>
      </c>
      <c r="D552" s="129" t="s">
        <v>1471</v>
      </c>
      <c r="E552" s="206" t="s">
        <v>269</v>
      </c>
      <c r="F552" s="129" t="s">
        <v>1138</v>
      </c>
      <c r="G552" s="198">
        <v>-20000</v>
      </c>
      <c r="J552" s="118"/>
    </row>
    <row r="553" spans="1:10" ht="15.6" x14ac:dyDescent="0.3">
      <c r="A553" s="127">
        <v>548</v>
      </c>
      <c r="B553" s="128">
        <v>43484</v>
      </c>
      <c r="C553" s="129" t="s">
        <v>42</v>
      </c>
      <c r="D553" s="129" t="s">
        <v>1521</v>
      </c>
      <c r="E553" s="206" t="s">
        <v>269</v>
      </c>
      <c r="F553" s="129" t="s">
        <v>1138</v>
      </c>
      <c r="G553" s="198">
        <v>-50</v>
      </c>
      <c r="J553" s="118"/>
    </row>
    <row r="554" spans="1:10" ht="15.6" x14ac:dyDescent="0.3">
      <c r="A554" s="127">
        <v>549</v>
      </c>
      <c r="B554" s="128">
        <v>43485</v>
      </c>
      <c r="C554" s="129" t="s">
        <v>125</v>
      </c>
      <c r="D554" s="129" t="s">
        <v>1521</v>
      </c>
      <c r="E554" s="206" t="s">
        <v>269</v>
      </c>
      <c r="F554" s="129" t="s">
        <v>1138</v>
      </c>
      <c r="G554" s="198">
        <v>-3000</v>
      </c>
      <c r="J554" s="118"/>
    </row>
    <row r="555" spans="1:10" ht="15.6" x14ac:dyDescent="0.3">
      <c r="A555" s="127">
        <v>550</v>
      </c>
      <c r="B555" s="128">
        <v>43487</v>
      </c>
      <c r="C555" s="129" t="s">
        <v>7</v>
      </c>
      <c r="D555" s="129" t="s">
        <v>1516</v>
      </c>
      <c r="E555" s="206" t="s">
        <v>269</v>
      </c>
      <c r="F555" s="129" t="s">
        <v>1138</v>
      </c>
      <c r="G555" s="198">
        <v>-3000</v>
      </c>
      <c r="J555" s="118"/>
    </row>
    <row r="556" spans="1:10" ht="15.6" x14ac:dyDescent="0.3">
      <c r="A556" s="127">
        <v>551</v>
      </c>
      <c r="B556" s="128">
        <v>43488</v>
      </c>
      <c r="C556" s="129" t="s">
        <v>1548</v>
      </c>
      <c r="D556" s="129" t="s">
        <v>1526</v>
      </c>
      <c r="E556" s="206" t="s">
        <v>269</v>
      </c>
      <c r="F556" s="129" t="s">
        <v>1138</v>
      </c>
      <c r="G556" s="198">
        <v>-30000</v>
      </c>
      <c r="J556" s="118"/>
    </row>
    <row r="557" spans="1:10" ht="15.6" x14ac:dyDescent="0.3">
      <c r="A557" s="127">
        <v>552</v>
      </c>
      <c r="B557" s="128">
        <v>43489</v>
      </c>
      <c r="C557" s="133" t="s">
        <v>1582</v>
      </c>
      <c r="D557" s="133" t="s">
        <v>1520</v>
      </c>
      <c r="E557" s="206" t="s">
        <v>269</v>
      </c>
      <c r="F557" s="133" t="s">
        <v>1148</v>
      </c>
      <c r="G557" s="141">
        <v>80000</v>
      </c>
      <c r="J557" s="118"/>
    </row>
    <row r="558" spans="1:10" ht="15.6" x14ac:dyDescent="0.3">
      <c r="A558" s="127">
        <v>553</v>
      </c>
      <c r="B558" s="128">
        <v>43489</v>
      </c>
      <c r="C558" s="129" t="s">
        <v>1548</v>
      </c>
      <c r="D558" s="129" t="s">
        <v>1526</v>
      </c>
      <c r="E558" s="206" t="s">
        <v>269</v>
      </c>
      <c r="F558" s="129" t="s">
        <v>1138</v>
      </c>
      <c r="G558" s="198">
        <v>-30000</v>
      </c>
      <c r="J558" s="118"/>
    </row>
    <row r="559" spans="1:10" ht="15.6" x14ac:dyDescent="0.3">
      <c r="A559" s="127">
        <v>554</v>
      </c>
      <c r="B559" s="128">
        <v>43489</v>
      </c>
      <c r="C559" s="129" t="s">
        <v>26</v>
      </c>
      <c r="D559" s="129" t="s">
        <v>1522</v>
      </c>
      <c r="E559" s="206" t="s">
        <v>269</v>
      </c>
      <c r="F559" s="129" t="s">
        <v>1138</v>
      </c>
      <c r="G559" s="198">
        <v>-10000</v>
      </c>
      <c r="J559" s="118"/>
    </row>
    <row r="560" spans="1:10" ht="15.6" x14ac:dyDescent="0.3">
      <c r="A560" s="127">
        <v>555</v>
      </c>
      <c r="B560" s="128">
        <v>43489</v>
      </c>
      <c r="C560" s="129" t="s">
        <v>106</v>
      </c>
      <c r="D560" s="129" t="s">
        <v>1471</v>
      </c>
      <c r="E560" s="206" t="s">
        <v>269</v>
      </c>
      <c r="F560" s="129" t="s">
        <v>1138</v>
      </c>
      <c r="G560" s="198">
        <v>-525</v>
      </c>
      <c r="J560" s="118"/>
    </row>
    <row r="561" spans="1:10" ht="15.6" x14ac:dyDescent="0.3">
      <c r="A561" s="127">
        <v>556</v>
      </c>
      <c r="B561" s="128">
        <v>43491</v>
      </c>
      <c r="C561" s="129" t="s">
        <v>69</v>
      </c>
      <c r="D561" s="129" t="s">
        <v>1524</v>
      </c>
      <c r="E561" s="206" t="s">
        <v>269</v>
      </c>
      <c r="F561" s="129" t="s">
        <v>1138</v>
      </c>
      <c r="G561" s="198">
        <v>-15000</v>
      </c>
      <c r="J561" s="118"/>
    </row>
    <row r="562" spans="1:10" ht="15.6" x14ac:dyDescent="0.3">
      <c r="A562" s="127">
        <v>557</v>
      </c>
      <c r="B562" s="128">
        <v>43491</v>
      </c>
      <c r="C562" s="129" t="s">
        <v>42</v>
      </c>
      <c r="D562" s="129" t="s">
        <v>1521</v>
      </c>
      <c r="E562" s="206" t="s">
        <v>269</v>
      </c>
      <c r="F562" s="129" t="s">
        <v>1138</v>
      </c>
      <c r="G562" s="198">
        <v>-150</v>
      </c>
      <c r="J562" s="118"/>
    </row>
    <row r="563" spans="1:10" ht="15.6" x14ac:dyDescent="0.3">
      <c r="A563" s="127">
        <v>558</v>
      </c>
      <c r="B563" s="128">
        <v>43492</v>
      </c>
      <c r="C563" s="133" t="s">
        <v>1587</v>
      </c>
      <c r="D563" s="133" t="s">
        <v>1520</v>
      </c>
      <c r="E563" s="206" t="s">
        <v>269</v>
      </c>
      <c r="F563" s="133" t="s">
        <v>1148</v>
      </c>
      <c r="G563" s="141">
        <v>250000</v>
      </c>
      <c r="J563" s="118"/>
    </row>
    <row r="564" spans="1:10" ht="15.6" x14ac:dyDescent="0.3">
      <c r="A564" s="127">
        <v>559</v>
      </c>
      <c r="B564" s="128">
        <v>43492</v>
      </c>
      <c r="C564" s="130" t="s">
        <v>1600</v>
      </c>
      <c r="D564" s="130" t="s">
        <v>1530</v>
      </c>
      <c r="E564" s="206" t="s">
        <v>269</v>
      </c>
      <c r="F564" s="129" t="s">
        <v>1138</v>
      </c>
      <c r="G564" s="198">
        <v>-66000</v>
      </c>
      <c r="J564" s="118"/>
    </row>
    <row r="565" spans="1:10" ht="15.6" x14ac:dyDescent="0.3">
      <c r="A565" s="127">
        <v>560</v>
      </c>
      <c r="B565" s="128">
        <v>43492</v>
      </c>
      <c r="C565" s="129" t="s">
        <v>6</v>
      </c>
      <c r="D565" s="129" t="s">
        <v>1523</v>
      </c>
      <c r="E565" s="206" t="s">
        <v>269</v>
      </c>
      <c r="F565" s="129" t="s">
        <v>1138</v>
      </c>
      <c r="G565" s="198">
        <v>-75000</v>
      </c>
      <c r="J565" s="118"/>
    </row>
    <row r="566" spans="1:10" ht="15.6" x14ac:dyDescent="0.3">
      <c r="A566" s="127">
        <v>561</v>
      </c>
      <c r="B566" s="128">
        <v>43492</v>
      </c>
      <c r="C566" s="129" t="s">
        <v>102</v>
      </c>
      <c r="D566" s="129" t="s">
        <v>1471</v>
      </c>
      <c r="E566" s="206" t="s">
        <v>269</v>
      </c>
      <c r="F566" s="129" t="s">
        <v>1138</v>
      </c>
      <c r="G566" s="198">
        <v>-50000</v>
      </c>
      <c r="J566" s="118"/>
    </row>
    <row r="567" spans="1:10" ht="15.6" x14ac:dyDescent="0.3">
      <c r="A567" s="127">
        <v>562</v>
      </c>
      <c r="B567" s="128">
        <v>43492</v>
      </c>
      <c r="C567" s="129" t="s">
        <v>1548</v>
      </c>
      <c r="D567" s="129" t="s">
        <v>1526</v>
      </c>
      <c r="E567" s="206" t="s">
        <v>269</v>
      </c>
      <c r="F567" s="129" t="s">
        <v>1138</v>
      </c>
      <c r="G567" s="198">
        <v>-20000</v>
      </c>
      <c r="J567" s="118"/>
    </row>
    <row r="568" spans="1:10" ht="15.6" x14ac:dyDescent="0.3">
      <c r="A568" s="127">
        <v>563</v>
      </c>
      <c r="B568" s="128">
        <v>43492</v>
      </c>
      <c r="C568" s="129" t="s">
        <v>69</v>
      </c>
      <c r="D568" s="129" t="s">
        <v>1524</v>
      </c>
      <c r="E568" s="206" t="s">
        <v>269</v>
      </c>
      <c r="F568" s="129" t="s">
        <v>1138</v>
      </c>
      <c r="G568" s="198">
        <v>-20000</v>
      </c>
      <c r="J568" s="118"/>
    </row>
    <row r="569" spans="1:10" ht="15.6" x14ac:dyDescent="0.3">
      <c r="A569" s="127">
        <v>564</v>
      </c>
      <c r="B569" s="128">
        <v>43492</v>
      </c>
      <c r="C569" s="129" t="s">
        <v>7</v>
      </c>
      <c r="D569" s="129" t="s">
        <v>1516</v>
      </c>
      <c r="E569" s="206" t="s">
        <v>269</v>
      </c>
      <c r="F569" s="129" t="s">
        <v>1138</v>
      </c>
      <c r="G569" s="198">
        <v>-2000</v>
      </c>
      <c r="J569" s="118"/>
    </row>
    <row r="570" spans="1:10" ht="15.6" x14ac:dyDescent="0.3">
      <c r="A570" s="127">
        <v>565</v>
      </c>
      <c r="B570" s="128">
        <v>43492</v>
      </c>
      <c r="C570" s="129" t="s">
        <v>127</v>
      </c>
      <c r="D570" s="129" t="s">
        <v>1516</v>
      </c>
      <c r="E570" s="206" t="s">
        <v>269</v>
      </c>
      <c r="F570" s="129" t="s">
        <v>1138</v>
      </c>
      <c r="G570" s="198">
        <v>-1500</v>
      </c>
      <c r="J570" s="118"/>
    </row>
    <row r="571" spans="1:10" ht="15.6" x14ac:dyDescent="0.3">
      <c r="A571" s="127">
        <v>566</v>
      </c>
      <c r="B571" s="128">
        <v>43492</v>
      </c>
      <c r="C571" s="129" t="s">
        <v>42</v>
      </c>
      <c r="D571" s="129" t="s">
        <v>1521</v>
      </c>
      <c r="E571" s="206" t="s">
        <v>269</v>
      </c>
      <c r="F571" s="129" t="s">
        <v>1138</v>
      </c>
      <c r="G571" s="198">
        <v>-200</v>
      </c>
      <c r="J571" s="118"/>
    </row>
    <row r="572" spans="1:10" ht="15.6" x14ac:dyDescent="0.3">
      <c r="A572" s="127">
        <v>567</v>
      </c>
      <c r="B572" s="128">
        <v>43492</v>
      </c>
      <c r="C572" s="129" t="s">
        <v>62</v>
      </c>
      <c r="D572" s="129" t="s">
        <v>1521</v>
      </c>
      <c r="E572" s="206" t="s">
        <v>269</v>
      </c>
      <c r="F572" s="129" t="s">
        <v>1138</v>
      </c>
      <c r="G572" s="198">
        <v>-150</v>
      </c>
      <c r="J572" s="118"/>
    </row>
    <row r="573" spans="1:10" ht="15.6" x14ac:dyDescent="0.3">
      <c r="A573" s="127">
        <v>568</v>
      </c>
      <c r="B573" s="128">
        <v>43493</v>
      </c>
      <c r="C573" s="129" t="s">
        <v>104</v>
      </c>
      <c r="D573" s="129" t="s">
        <v>1521</v>
      </c>
      <c r="E573" s="206" t="s">
        <v>269</v>
      </c>
      <c r="F573" s="129" t="s">
        <v>1138</v>
      </c>
      <c r="G573" s="198">
        <v>-200</v>
      </c>
      <c r="J573" s="118"/>
    </row>
    <row r="574" spans="1:10" ht="15.6" x14ac:dyDescent="0.3">
      <c r="A574" s="127">
        <v>569</v>
      </c>
      <c r="B574" s="128">
        <v>43493</v>
      </c>
      <c r="C574" s="129" t="s">
        <v>42</v>
      </c>
      <c r="D574" s="129" t="s">
        <v>1521</v>
      </c>
      <c r="E574" s="206" t="s">
        <v>269</v>
      </c>
      <c r="F574" s="129" t="s">
        <v>1138</v>
      </c>
      <c r="G574" s="198">
        <v>-50</v>
      </c>
      <c r="J574" s="118"/>
    </row>
    <row r="575" spans="1:10" ht="15.6" x14ac:dyDescent="0.3">
      <c r="A575" s="127">
        <v>570</v>
      </c>
      <c r="B575" s="128">
        <v>43494</v>
      </c>
      <c r="C575" s="129" t="s">
        <v>67</v>
      </c>
      <c r="D575" s="129" t="s">
        <v>1516</v>
      </c>
      <c r="E575" s="206" t="s">
        <v>269</v>
      </c>
      <c r="F575" s="129" t="s">
        <v>1138</v>
      </c>
      <c r="G575" s="198">
        <v>-2500</v>
      </c>
      <c r="J575" s="118"/>
    </row>
    <row r="576" spans="1:10" ht="15.6" x14ac:dyDescent="0.3">
      <c r="A576" s="127">
        <v>571</v>
      </c>
      <c r="B576" s="128">
        <v>43494</v>
      </c>
      <c r="C576" s="129" t="s">
        <v>26</v>
      </c>
      <c r="D576" s="129" t="s">
        <v>1522</v>
      </c>
      <c r="E576" s="206" t="s">
        <v>269</v>
      </c>
      <c r="F576" s="129" t="s">
        <v>1138</v>
      </c>
      <c r="G576" s="198">
        <v>-3000</v>
      </c>
      <c r="J576" s="118"/>
    </row>
    <row r="577" spans="1:10" ht="15.6" x14ac:dyDescent="0.3">
      <c r="A577" s="127">
        <v>572</v>
      </c>
      <c r="B577" s="128">
        <v>43494</v>
      </c>
      <c r="C577" s="129" t="s">
        <v>113</v>
      </c>
      <c r="D577" s="129" t="s">
        <v>1529</v>
      </c>
      <c r="E577" s="206" t="s">
        <v>269</v>
      </c>
      <c r="F577" s="129" t="s">
        <v>1138</v>
      </c>
      <c r="G577" s="198">
        <v>-5000</v>
      </c>
      <c r="J577" s="118"/>
    </row>
    <row r="578" spans="1:10" ht="15.6" x14ac:dyDescent="0.3">
      <c r="A578" s="127">
        <v>573</v>
      </c>
      <c r="B578" s="128">
        <v>43496</v>
      </c>
      <c r="C578" s="129" t="s">
        <v>1601</v>
      </c>
      <c r="D578" s="129" t="s">
        <v>1516</v>
      </c>
      <c r="E578" s="206" t="s">
        <v>269</v>
      </c>
      <c r="F578" s="129" t="s">
        <v>1138</v>
      </c>
      <c r="G578" s="198">
        <v>-9500</v>
      </c>
      <c r="J578" s="118"/>
    </row>
    <row r="579" spans="1:10" ht="15.6" x14ac:dyDescent="0.3">
      <c r="A579" s="127">
        <v>574</v>
      </c>
      <c r="B579" s="128">
        <v>43496</v>
      </c>
      <c r="C579" s="129" t="s">
        <v>106</v>
      </c>
      <c r="D579" s="129" t="s">
        <v>1471</v>
      </c>
      <c r="E579" s="206" t="s">
        <v>269</v>
      </c>
      <c r="F579" s="129" t="s">
        <v>1138</v>
      </c>
      <c r="G579" s="198">
        <v>-2530</v>
      </c>
      <c r="J579" s="118"/>
    </row>
    <row r="580" spans="1:10" ht="15.6" x14ac:dyDescent="0.3">
      <c r="A580" s="127">
        <v>575</v>
      </c>
      <c r="B580" s="128">
        <v>43496</v>
      </c>
      <c r="C580" s="129" t="s">
        <v>7</v>
      </c>
      <c r="D580" s="129" t="s">
        <v>1516</v>
      </c>
      <c r="E580" s="206" t="s">
        <v>269</v>
      </c>
      <c r="F580" s="129" t="s">
        <v>1138</v>
      </c>
      <c r="G580" s="198">
        <v>-5000</v>
      </c>
      <c r="J580" s="118"/>
    </row>
    <row r="581" spans="1:10" ht="15.6" x14ac:dyDescent="0.3">
      <c r="A581" s="127">
        <v>576</v>
      </c>
      <c r="B581" s="128">
        <v>43496</v>
      </c>
      <c r="C581" s="129" t="s">
        <v>26</v>
      </c>
      <c r="D581" s="129" t="s">
        <v>1522</v>
      </c>
      <c r="E581" s="206" t="s">
        <v>269</v>
      </c>
      <c r="F581" s="129" t="s">
        <v>1138</v>
      </c>
      <c r="G581" s="198">
        <v>-10000</v>
      </c>
      <c r="J581" s="118"/>
    </row>
    <row r="582" spans="1:10" ht="15.6" x14ac:dyDescent="0.3">
      <c r="A582" s="127">
        <v>577</v>
      </c>
      <c r="B582" s="128">
        <v>43496</v>
      </c>
      <c r="C582" s="129" t="s">
        <v>1548</v>
      </c>
      <c r="D582" s="129" t="s">
        <v>1526</v>
      </c>
      <c r="E582" s="206" t="s">
        <v>269</v>
      </c>
      <c r="F582" s="129" t="s">
        <v>1138</v>
      </c>
      <c r="G582" s="198">
        <v>-20000</v>
      </c>
      <c r="J582" s="118"/>
    </row>
    <row r="583" spans="1:10" ht="15.6" x14ac:dyDescent="0.3">
      <c r="A583" s="127">
        <v>578</v>
      </c>
      <c r="B583" s="128">
        <v>43496</v>
      </c>
      <c r="C583" s="129" t="s">
        <v>127</v>
      </c>
      <c r="D583" s="129" t="s">
        <v>1516</v>
      </c>
      <c r="E583" s="206" t="s">
        <v>269</v>
      </c>
      <c r="F583" s="129" t="s">
        <v>1138</v>
      </c>
      <c r="G583" s="198">
        <v>-300</v>
      </c>
      <c r="J583" s="118"/>
    </row>
    <row r="584" spans="1:10" ht="15.6" x14ac:dyDescent="0.3">
      <c r="A584" s="127">
        <v>579</v>
      </c>
      <c r="B584" s="128">
        <v>43498</v>
      </c>
      <c r="C584" s="133" t="s">
        <v>1602</v>
      </c>
      <c r="D584" s="133" t="s">
        <v>1520</v>
      </c>
      <c r="E584" s="206" t="s">
        <v>269</v>
      </c>
      <c r="F584" s="133" t="s">
        <v>1148</v>
      </c>
      <c r="G584" s="141">
        <v>200000</v>
      </c>
      <c r="J584" s="118"/>
    </row>
    <row r="585" spans="1:10" ht="15.6" x14ac:dyDescent="0.3">
      <c r="A585" s="127">
        <v>580</v>
      </c>
      <c r="B585" s="128">
        <v>43498</v>
      </c>
      <c r="C585" s="133" t="s">
        <v>1603</v>
      </c>
      <c r="D585" s="133" t="s">
        <v>1520</v>
      </c>
      <c r="E585" s="206" t="s">
        <v>269</v>
      </c>
      <c r="F585" s="133" t="s">
        <v>1148</v>
      </c>
      <c r="G585" s="141">
        <v>50000</v>
      </c>
      <c r="J585" s="118"/>
    </row>
    <row r="586" spans="1:10" ht="15.6" x14ac:dyDescent="0.3">
      <c r="A586" s="127">
        <v>581</v>
      </c>
      <c r="B586" s="128">
        <v>43498</v>
      </c>
      <c r="C586" s="129" t="s">
        <v>26</v>
      </c>
      <c r="D586" s="129" t="s">
        <v>1522</v>
      </c>
      <c r="E586" s="206" t="s">
        <v>269</v>
      </c>
      <c r="F586" s="129" t="s">
        <v>1138</v>
      </c>
      <c r="G586" s="198">
        <v>-10000</v>
      </c>
      <c r="J586" s="118"/>
    </row>
    <row r="587" spans="1:10" ht="15.6" x14ac:dyDescent="0.3">
      <c r="A587" s="127">
        <v>582</v>
      </c>
      <c r="B587" s="128">
        <v>43498</v>
      </c>
      <c r="C587" s="129" t="s">
        <v>102</v>
      </c>
      <c r="D587" s="129" t="s">
        <v>1471</v>
      </c>
      <c r="E587" s="206" t="s">
        <v>269</v>
      </c>
      <c r="F587" s="129" t="s">
        <v>1138</v>
      </c>
      <c r="G587" s="198">
        <v>-40000</v>
      </c>
      <c r="J587" s="118"/>
    </row>
    <row r="588" spans="1:10" ht="15.6" x14ac:dyDescent="0.3">
      <c r="A588" s="127">
        <v>583</v>
      </c>
      <c r="B588" s="128">
        <v>43499</v>
      </c>
      <c r="C588" s="129" t="s">
        <v>106</v>
      </c>
      <c r="D588" s="129" t="s">
        <v>1471</v>
      </c>
      <c r="E588" s="206" t="s">
        <v>269</v>
      </c>
      <c r="F588" s="129" t="s">
        <v>1138</v>
      </c>
      <c r="G588" s="198">
        <v>-1050</v>
      </c>
      <c r="J588" s="118"/>
    </row>
    <row r="589" spans="1:10" ht="15.6" x14ac:dyDescent="0.3">
      <c r="A589" s="127">
        <v>584</v>
      </c>
      <c r="B589" s="128">
        <v>43501</v>
      </c>
      <c r="C589" s="129" t="s">
        <v>1548</v>
      </c>
      <c r="D589" s="129" t="s">
        <v>1526</v>
      </c>
      <c r="E589" s="206" t="s">
        <v>269</v>
      </c>
      <c r="F589" s="129" t="s">
        <v>1138</v>
      </c>
      <c r="G589" s="198">
        <v>-28000</v>
      </c>
      <c r="J589" s="118"/>
    </row>
    <row r="590" spans="1:10" ht="15.6" x14ac:dyDescent="0.3">
      <c r="A590" s="127">
        <v>585</v>
      </c>
      <c r="B590" s="128">
        <v>43501</v>
      </c>
      <c r="C590" s="129" t="s">
        <v>7</v>
      </c>
      <c r="D590" s="129" t="s">
        <v>1516</v>
      </c>
      <c r="E590" s="206" t="s">
        <v>269</v>
      </c>
      <c r="F590" s="129" t="s">
        <v>1138</v>
      </c>
      <c r="G590" s="198">
        <v>-2000</v>
      </c>
      <c r="J590" s="118"/>
    </row>
    <row r="591" spans="1:10" ht="15.6" x14ac:dyDescent="0.3">
      <c r="A591" s="127">
        <v>586</v>
      </c>
      <c r="B591" s="128">
        <v>43502</v>
      </c>
      <c r="C591" s="129" t="s">
        <v>69</v>
      </c>
      <c r="D591" s="129" t="s">
        <v>1524</v>
      </c>
      <c r="E591" s="206" t="s">
        <v>269</v>
      </c>
      <c r="F591" s="129" t="s">
        <v>1138</v>
      </c>
      <c r="G591" s="198">
        <v>-15000</v>
      </c>
      <c r="J591" s="118"/>
    </row>
    <row r="592" spans="1:10" ht="15.6" x14ac:dyDescent="0.3">
      <c r="A592" s="127">
        <v>587</v>
      </c>
      <c r="B592" s="128">
        <v>43502</v>
      </c>
      <c r="C592" s="129" t="s">
        <v>102</v>
      </c>
      <c r="D592" s="129" t="s">
        <v>1471</v>
      </c>
      <c r="E592" s="206" t="s">
        <v>269</v>
      </c>
      <c r="F592" s="129" t="s">
        <v>1138</v>
      </c>
      <c r="G592" s="198">
        <v>-50000</v>
      </c>
      <c r="J592" s="118"/>
    </row>
    <row r="593" spans="1:10" ht="15.6" x14ac:dyDescent="0.3">
      <c r="A593" s="127">
        <v>588</v>
      </c>
      <c r="B593" s="128">
        <v>43502</v>
      </c>
      <c r="C593" s="130" t="s">
        <v>1604</v>
      </c>
      <c r="D593" s="130" t="s">
        <v>1530</v>
      </c>
      <c r="E593" s="206" t="s">
        <v>269</v>
      </c>
      <c r="F593" s="129" t="s">
        <v>1138</v>
      </c>
      <c r="G593" s="198">
        <v>-22000</v>
      </c>
      <c r="J593" s="118"/>
    </row>
    <row r="594" spans="1:10" ht="15.6" x14ac:dyDescent="0.3">
      <c r="A594" s="127">
        <v>589</v>
      </c>
      <c r="B594" s="128">
        <v>43502</v>
      </c>
      <c r="C594" s="133" t="s">
        <v>1605</v>
      </c>
      <c r="D594" s="133" t="s">
        <v>1520</v>
      </c>
      <c r="E594" s="206" t="s">
        <v>269</v>
      </c>
      <c r="F594" s="133" t="s">
        <v>1148</v>
      </c>
      <c r="G594" s="141">
        <v>100000</v>
      </c>
      <c r="J594" s="118"/>
    </row>
    <row r="595" spans="1:10" ht="15.6" x14ac:dyDescent="0.3">
      <c r="A595" s="127">
        <v>590</v>
      </c>
      <c r="B595" s="128">
        <v>43502</v>
      </c>
      <c r="C595" s="129" t="s">
        <v>133</v>
      </c>
      <c r="D595" s="129" t="s">
        <v>1516</v>
      </c>
      <c r="E595" s="206" t="s">
        <v>269</v>
      </c>
      <c r="F595" s="129" t="s">
        <v>1138</v>
      </c>
      <c r="G595" s="198">
        <v>-850</v>
      </c>
      <c r="J595" s="118"/>
    </row>
    <row r="596" spans="1:10" ht="15.6" x14ac:dyDescent="0.3">
      <c r="A596" s="127">
        <v>591</v>
      </c>
      <c r="B596" s="128">
        <v>43502</v>
      </c>
      <c r="C596" s="129" t="s">
        <v>134</v>
      </c>
      <c r="D596" s="129" t="s">
        <v>1516</v>
      </c>
      <c r="E596" s="206" t="s">
        <v>269</v>
      </c>
      <c r="F596" s="129" t="s">
        <v>1138</v>
      </c>
      <c r="G596" s="198">
        <v>-850</v>
      </c>
      <c r="J596" s="118"/>
    </row>
    <row r="597" spans="1:10" ht="15.6" x14ac:dyDescent="0.3">
      <c r="A597" s="127">
        <v>592</v>
      </c>
      <c r="B597" s="128">
        <v>43502</v>
      </c>
      <c r="C597" s="129" t="s">
        <v>135</v>
      </c>
      <c r="D597" s="129" t="s">
        <v>1516</v>
      </c>
      <c r="E597" s="206" t="s">
        <v>269</v>
      </c>
      <c r="F597" s="129" t="s">
        <v>1138</v>
      </c>
      <c r="G597" s="198">
        <v>-850</v>
      </c>
      <c r="J597" s="118"/>
    </row>
    <row r="598" spans="1:10" ht="15.6" x14ac:dyDescent="0.3">
      <c r="A598" s="127">
        <v>593</v>
      </c>
      <c r="B598" s="128">
        <v>43502</v>
      </c>
      <c r="C598" s="129" t="s">
        <v>136</v>
      </c>
      <c r="D598" s="129" t="s">
        <v>1516</v>
      </c>
      <c r="E598" s="206" t="s">
        <v>269</v>
      </c>
      <c r="F598" s="129" t="s">
        <v>1138</v>
      </c>
      <c r="G598" s="198">
        <v>-500</v>
      </c>
      <c r="J598" s="118"/>
    </row>
    <row r="599" spans="1:10" ht="15.6" x14ac:dyDescent="0.3">
      <c r="A599" s="127">
        <v>594</v>
      </c>
      <c r="B599" s="128">
        <v>43502</v>
      </c>
      <c r="C599" s="129" t="s">
        <v>1548</v>
      </c>
      <c r="D599" s="129" t="s">
        <v>1526</v>
      </c>
      <c r="E599" s="206" t="s">
        <v>269</v>
      </c>
      <c r="F599" s="129" t="s">
        <v>1138</v>
      </c>
      <c r="G599" s="198">
        <v>-20000</v>
      </c>
      <c r="J599" s="118"/>
    </row>
    <row r="600" spans="1:10" ht="15.6" x14ac:dyDescent="0.3">
      <c r="A600" s="127">
        <v>595</v>
      </c>
      <c r="B600" s="128">
        <v>43503</v>
      </c>
      <c r="C600" s="129" t="s">
        <v>137</v>
      </c>
      <c r="D600" s="129" t="s">
        <v>1516</v>
      </c>
      <c r="E600" s="206" t="s">
        <v>269</v>
      </c>
      <c r="F600" s="129" t="s">
        <v>1138</v>
      </c>
      <c r="G600" s="198">
        <v>-4600</v>
      </c>
      <c r="J600" s="118"/>
    </row>
    <row r="601" spans="1:10" ht="15.6" x14ac:dyDescent="0.3">
      <c r="A601" s="127">
        <v>596</v>
      </c>
      <c r="B601" s="128">
        <v>43503</v>
      </c>
      <c r="C601" s="129" t="s">
        <v>138</v>
      </c>
      <c r="D601" s="129" t="s">
        <v>1516</v>
      </c>
      <c r="E601" s="206" t="s">
        <v>269</v>
      </c>
      <c r="F601" s="129" t="s">
        <v>1138</v>
      </c>
      <c r="G601" s="198">
        <v>-800</v>
      </c>
      <c r="J601" s="118"/>
    </row>
    <row r="602" spans="1:10" ht="15.6" x14ac:dyDescent="0.3">
      <c r="A602" s="127">
        <v>597</v>
      </c>
      <c r="B602" s="128">
        <v>43503</v>
      </c>
      <c r="C602" s="129" t="s">
        <v>139</v>
      </c>
      <c r="D602" s="129" t="s">
        <v>1521</v>
      </c>
      <c r="E602" s="206" t="s">
        <v>269</v>
      </c>
      <c r="F602" s="129" t="s">
        <v>1138</v>
      </c>
      <c r="G602" s="198">
        <v>-250</v>
      </c>
      <c r="J602" s="118"/>
    </row>
    <row r="603" spans="1:10" ht="15.6" x14ac:dyDescent="0.3">
      <c r="A603" s="127">
        <v>598</v>
      </c>
      <c r="B603" s="128">
        <v>43503</v>
      </c>
      <c r="C603" s="129" t="s">
        <v>42</v>
      </c>
      <c r="D603" s="129" t="s">
        <v>1521</v>
      </c>
      <c r="E603" s="206" t="s">
        <v>269</v>
      </c>
      <c r="F603" s="129" t="s">
        <v>1138</v>
      </c>
      <c r="G603" s="198">
        <v>-100</v>
      </c>
      <c r="J603" s="118"/>
    </row>
    <row r="604" spans="1:10" ht="15.6" x14ac:dyDescent="0.3">
      <c r="A604" s="127">
        <v>599</v>
      </c>
      <c r="B604" s="128">
        <v>43503</v>
      </c>
      <c r="C604" s="129" t="s">
        <v>1700</v>
      </c>
      <c r="D604" s="129" t="s">
        <v>1523</v>
      </c>
      <c r="E604" s="206" t="s">
        <v>269</v>
      </c>
      <c r="F604" s="129" t="s">
        <v>1138</v>
      </c>
      <c r="G604" s="198">
        <v>-200000</v>
      </c>
      <c r="J604" s="118"/>
    </row>
    <row r="605" spans="1:10" ht="15.6" x14ac:dyDescent="0.3">
      <c r="A605" s="127">
        <v>600</v>
      </c>
      <c r="B605" s="128">
        <v>43503</v>
      </c>
      <c r="C605" s="133" t="s">
        <v>1606</v>
      </c>
      <c r="D605" s="133" t="s">
        <v>1520</v>
      </c>
      <c r="E605" s="206" t="s">
        <v>269</v>
      </c>
      <c r="F605" s="133" t="s">
        <v>1148</v>
      </c>
      <c r="G605" s="141">
        <v>200000</v>
      </c>
      <c r="J605" s="118"/>
    </row>
    <row r="606" spans="1:10" ht="15.6" x14ac:dyDescent="0.3">
      <c r="A606" s="127">
        <v>601</v>
      </c>
      <c r="B606" s="128">
        <v>43503</v>
      </c>
      <c r="C606" s="133" t="s">
        <v>1607</v>
      </c>
      <c r="D606" s="133" t="s">
        <v>1520</v>
      </c>
      <c r="E606" s="206" t="s">
        <v>269</v>
      </c>
      <c r="F606" s="133" t="s">
        <v>1148</v>
      </c>
      <c r="G606" s="141">
        <v>300000</v>
      </c>
      <c r="J606" s="118"/>
    </row>
    <row r="607" spans="1:10" ht="15.6" x14ac:dyDescent="0.3">
      <c r="A607" s="127">
        <v>602</v>
      </c>
      <c r="B607" s="128">
        <v>43504</v>
      </c>
      <c r="C607" s="129" t="s">
        <v>26</v>
      </c>
      <c r="D607" s="129" t="s">
        <v>1522</v>
      </c>
      <c r="E607" s="206" t="s">
        <v>269</v>
      </c>
      <c r="F607" s="129" t="s">
        <v>1138</v>
      </c>
      <c r="G607" s="198">
        <v>-50000</v>
      </c>
      <c r="J607" s="118"/>
    </row>
    <row r="608" spans="1:10" ht="15.6" x14ac:dyDescent="0.3">
      <c r="A608" s="127">
        <v>603</v>
      </c>
      <c r="B608" s="128">
        <v>43504</v>
      </c>
      <c r="C608" s="129" t="s">
        <v>1608</v>
      </c>
      <c r="D608" s="129" t="s">
        <v>1516</v>
      </c>
      <c r="E608" s="206" t="s">
        <v>269</v>
      </c>
      <c r="F608" s="129" t="s">
        <v>1138</v>
      </c>
      <c r="G608" s="198">
        <v>-13350</v>
      </c>
      <c r="J608" s="118"/>
    </row>
    <row r="609" spans="1:10" ht="15.6" x14ac:dyDescent="0.3">
      <c r="A609" s="127">
        <v>604</v>
      </c>
      <c r="B609" s="128">
        <v>43504</v>
      </c>
      <c r="C609" s="129" t="s">
        <v>1609</v>
      </c>
      <c r="D609" s="129" t="s">
        <v>1517</v>
      </c>
      <c r="E609" s="206" t="s">
        <v>269</v>
      </c>
      <c r="F609" s="129" t="s">
        <v>1138</v>
      </c>
      <c r="G609" s="198">
        <v>-60000</v>
      </c>
      <c r="J609" s="118"/>
    </row>
    <row r="610" spans="1:10" ht="15.6" x14ac:dyDescent="0.3">
      <c r="A610" s="127">
        <v>605</v>
      </c>
      <c r="B610" s="128">
        <v>43504</v>
      </c>
      <c r="C610" s="129" t="s">
        <v>144</v>
      </c>
      <c r="D610" s="129" t="s">
        <v>1516</v>
      </c>
      <c r="E610" s="206" t="s">
        <v>269</v>
      </c>
      <c r="F610" s="129" t="s">
        <v>1138</v>
      </c>
      <c r="G610" s="198">
        <v>-2000</v>
      </c>
      <c r="J610" s="118"/>
    </row>
    <row r="611" spans="1:10" ht="15.6" x14ac:dyDescent="0.3">
      <c r="A611" s="127">
        <v>606</v>
      </c>
      <c r="B611" s="128">
        <v>43506</v>
      </c>
      <c r="C611" s="129" t="s">
        <v>106</v>
      </c>
      <c r="D611" s="129" t="s">
        <v>1471</v>
      </c>
      <c r="E611" s="206" t="s">
        <v>269</v>
      </c>
      <c r="F611" s="129" t="s">
        <v>1138</v>
      </c>
      <c r="G611" s="198">
        <v>-510</v>
      </c>
      <c r="J611" s="118"/>
    </row>
    <row r="612" spans="1:10" ht="15.6" x14ac:dyDescent="0.3">
      <c r="A612" s="127">
        <v>607</v>
      </c>
      <c r="B612" s="128">
        <v>43506</v>
      </c>
      <c r="C612" s="129" t="s">
        <v>1548</v>
      </c>
      <c r="D612" s="129" t="s">
        <v>1526</v>
      </c>
      <c r="E612" s="206" t="s">
        <v>269</v>
      </c>
      <c r="F612" s="129" t="s">
        <v>1138</v>
      </c>
      <c r="G612" s="198">
        <v>-40000</v>
      </c>
      <c r="J612" s="118"/>
    </row>
    <row r="613" spans="1:10" ht="15.6" x14ac:dyDescent="0.3">
      <c r="A613" s="127">
        <v>608</v>
      </c>
      <c r="B613" s="128">
        <v>43508</v>
      </c>
      <c r="C613" s="129" t="s">
        <v>106</v>
      </c>
      <c r="D613" s="129" t="s">
        <v>1471</v>
      </c>
      <c r="E613" s="206" t="s">
        <v>269</v>
      </c>
      <c r="F613" s="129" t="s">
        <v>1138</v>
      </c>
      <c r="G613" s="198">
        <v>-2750</v>
      </c>
      <c r="J613" s="118"/>
    </row>
    <row r="614" spans="1:10" ht="15.6" x14ac:dyDescent="0.3">
      <c r="A614" s="127">
        <v>609</v>
      </c>
      <c r="B614" s="128">
        <v>43508</v>
      </c>
      <c r="C614" s="129" t="s">
        <v>1548</v>
      </c>
      <c r="D614" s="129" t="s">
        <v>1526</v>
      </c>
      <c r="E614" s="206" t="s">
        <v>269</v>
      </c>
      <c r="F614" s="129" t="s">
        <v>1138</v>
      </c>
      <c r="G614" s="198">
        <v>-50000</v>
      </c>
      <c r="J614" s="118"/>
    </row>
    <row r="615" spans="1:10" ht="15.6" x14ac:dyDescent="0.3">
      <c r="A615" s="127">
        <v>610</v>
      </c>
      <c r="B615" s="128">
        <v>43508</v>
      </c>
      <c r="C615" s="129" t="s">
        <v>145</v>
      </c>
      <c r="D615" s="129" t="s">
        <v>1516</v>
      </c>
      <c r="E615" s="206" t="s">
        <v>269</v>
      </c>
      <c r="F615" s="129" t="s">
        <v>1138</v>
      </c>
      <c r="G615" s="198">
        <v>-1000</v>
      </c>
      <c r="J615" s="118"/>
    </row>
    <row r="616" spans="1:10" ht="15.6" x14ac:dyDescent="0.3">
      <c r="A616" s="127">
        <v>611</v>
      </c>
      <c r="B616" s="128">
        <v>43510</v>
      </c>
      <c r="C616" s="129" t="s">
        <v>102</v>
      </c>
      <c r="D616" s="129" t="s">
        <v>1471</v>
      </c>
      <c r="E616" s="206" t="s">
        <v>269</v>
      </c>
      <c r="F616" s="129" t="s">
        <v>1138</v>
      </c>
      <c r="G616" s="198">
        <v>-15000</v>
      </c>
      <c r="J616" s="118"/>
    </row>
    <row r="617" spans="1:10" ht="15.6" x14ac:dyDescent="0.3">
      <c r="A617" s="127">
        <v>612</v>
      </c>
      <c r="B617" s="128">
        <v>43510</v>
      </c>
      <c r="C617" s="129" t="s">
        <v>50</v>
      </c>
      <c r="D617" s="129" t="s">
        <v>1527</v>
      </c>
      <c r="E617" s="206" t="s">
        <v>269</v>
      </c>
      <c r="F617" s="129" t="s">
        <v>1138</v>
      </c>
      <c r="G617" s="198">
        <v>-12600</v>
      </c>
      <c r="J617" s="118"/>
    </row>
    <row r="618" spans="1:10" ht="15.6" x14ac:dyDescent="0.3">
      <c r="A618" s="127">
        <v>613</v>
      </c>
      <c r="B618" s="128">
        <v>43511</v>
      </c>
      <c r="C618" s="129" t="s">
        <v>1548</v>
      </c>
      <c r="D618" s="129" t="s">
        <v>1526</v>
      </c>
      <c r="E618" s="206" t="s">
        <v>269</v>
      </c>
      <c r="F618" s="129" t="s">
        <v>1138</v>
      </c>
      <c r="G618" s="198">
        <v>-25000</v>
      </c>
      <c r="J618" s="118"/>
    </row>
    <row r="619" spans="1:10" ht="15.6" x14ac:dyDescent="0.3">
      <c r="A619" s="127">
        <v>614</v>
      </c>
      <c r="B619" s="128">
        <v>43511</v>
      </c>
      <c r="C619" s="129" t="s">
        <v>145</v>
      </c>
      <c r="D619" s="129" t="s">
        <v>1516</v>
      </c>
      <c r="E619" s="206" t="s">
        <v>269</v>
      </c>
      <c r="F619" s="129" t="s">
        <v>1138</v>
      </c>
      <c r="G619" s="198">
        <v>-3000</v>
      </c>
      <c r="J619" s="118"/>
    </row>
    <row r="620" spans="1:10" ht="15.6" x14ac:dyDescent="0.3">
      <c r="A620" s="127">
        <v>615</v>
      </c>
      <c r="B620" s="128">
        <v>43512</v>
      </c>
      <c r="C620" s="129" t="s">
        <v>1548</v>
      </c>
      <c r="D620" s="129" t="s">
        <v>1526</v>
      </c>
      <c r="E620" s="206" t="s">
        <v>269</v>
      </c>
      <c r="F620" s="129" t="s">
        <v>1138</v>
      </c>
      <c r="G620" s="198">
        <v>-20000</v>
      </c>
      <c r="J620" s="118"/>
    </row>
    <row r="621" spans="1:10" ht="15.6" x14ac:dyDescent="0.3">
      <c r="A621" s="127">
        <v>616</v>
      </c>
      <c r="B621" s="128">
        <v>43512</v>
      </c>
      <c r="C621" s="129" t="s">
        <v>106</v>
      </c>
      <c r="D621" s="129" t="s">
        <v>1471</v>
      </c>
      <c r="E621" s="206" t="s">
        <v>269</v>
      </c>
      <c r="F621" s="129" t="s">
        <v>1138</v>
      </c>
      <c r="G621" s="198">
        <v>-3300</v>
      </c>
      <c r="J621" s="118"/>
    </row>
    <row r="622" spans="1:10" ht="15.6" x14ac:dyDescent="0.3">
      <c r="A622" s="127">
        <v>617</v>
      </c>
      <c r="B622" s="128">
        <v>43512</v>
      </c>
      <c r="C622" s="129" t="s">
        <v>42</v>
      </c>
      <c r="D622" s="129" t="s">
        <v>1521</v>
      </c>
      <c r="E622" s="206" t="s">
        <v>269</v>
      </c>
      <c r="F622" s="129" t="s">
        <v>1138</v>
      </c>
      <c r="G622" s="198">
        <v>-50</v>
      </c>
      <c r="J622" s="118"/>
    </row>
    <row r="623" spans="1:10" ht="15.6" x14ac:dyDescent="0.3">
      <c r="A623" s="127">
        <v>618</v>
      </c>
      <c r="B623" s="128">
        <v>43514</v>
      </c>
      <c r="C623" s="129" t="s">
        <v>106</v>
      </c>
      <c r="D623" s="129" t="s">
        <v>1471</v>
      </c>
      <c r="E623" s="206" t="s">
        <v>269</v>
      </c>
      <c r="F623" s="129" t="s">
        <v>1138</v>
      </c>
      <c r="G623" s="198">
        <v>-425</v>
      </c>
      <c r="J623" s="118"/>
    </row>
    <row r="624" spans="1:10" ht="15.6" x14ac:dyDescent="0.3">
      <c r="A624" s="127">
        <v>619</v>
      </c>
      <c r="B624" s="128">
        <v>43514</v>
      </c>
      <c r="C624" s="129" t="s">
        <v>50</v>
      </c>
      <c r="D624" s="129" t="s">
        <v>1527</v>
      </c>
      <c r="E624" s="206" t="s">
        <v>269</v>
      </c>
      <c r="F624" s="129" t="s">
        <v>1138</v>
      </c>
      <c r="G624" s="198">
        <v>-12600</v>
      </c>
      <c r="J624" s="118"/>
    </row>
    <row r="625" spans="1:10" ht="15.6" x14ac:dyDescent="0.3">
      <c r="A625" s="127">
        <v>620</v>
      </c>
      <c r="B625" s="128">
        <v>43514</v>
      </c>
      <c r="C625" s="129" t="s">
        <v>42</v>
      </c>
      <c r="D625" s="129" t="s">
        <v>1521</v>
      </c>
      <c r="E625" s="206" t="s">
        <v>269</v>
      </c>
      <c r="F625" s="129" t="s">
        <v>1138</v>
      </c>
      <c r="G625" s="198">
        <v>-50</v>
      </c>
      <c r="J625" s="118"/>
    </row>
    <row r="626" spans="1:10" ht="15.6" x14ac:dyDescent="0.3">
      <c r="A626" s="127">
        <v>621</v>
      </c>
      <c r="B626" s="128">
        <v>43514</v>
      </c>
      <c r="C626" s="129" t="s">
        <v>102</v>
      </c>
      <c r="D626" s="129" t="s">
        <v>1471</v>
      </c>
      <c r="E626" s="206" t="s">
        <v>269</v>
      </c>
      <c r="F626" s="129" t="s">
        <v>1138</v>
      </c>
      <c r="G626" s="198">
        <v>-10000</v>
      </c>
      <c r="J626" s="118"/>
    </row>
    <row r="627" spans="1:10" ht="15.6" x14ac:dyDescent="0.3">
      <c r="A627" s="127">
        <v>622</v>
      </c>
      <c r="B627" s="128">
        <v>43515</v>
      </c>
      <c r="C627" s="133" t="s">
        <v>1610</v>
      </c>
      <c r="D627" s="133" t="s">
        <v>1520</v>
      </c>
      <c r="E627" s="206" t="s">
        <v>269</v>
      </c>
      <c r="F627" s="133" t="s">
        <v>1148</v>
      </c>
      <c r="G627" s="141">
        <v>200000</v>
      </c>
      <c r="J627" s="118"/>
    </row>
    <row r="628" spans="1:10" ht="15.6" x14ac:dyDescent="0.3">
      <c r="A628" s="127">
        <v>623</v>
      </c>
      <c r="B628" s="128">
        <v>43515</v>
      </c>
      <c r="C628" s="129" t="s">
        <v>1548</v>
      </c>
      <c r="D628" s="129" t="s">
        <v>1526</v>
      </c>
      <c r="E628" s="206" t="s">
        <v>269</v>
      </c>
      <c r="F628" s="129" t="s">
        <v>1138</v>
      </c>
      <c r="G628" s="198">
        <v>-75000</v>
      </c>
      <c r="J628" s="118"/>
    </row>
    <row r="629" spans="1:10" ht="15.6" x14ac:dyDescent="0.3">
      <c r="A629" s="127">
        <v>624</v>
      </c>
      <c r="B629" s="128">
        <v>43515</v>
      </c>
      <c r="C629" s="129" t="s">
        <v>102</v>
      </c>
      <c r="D629" s="129" t="s">
        <v>1471</v>
      </c>
      <c r="E629" s="206" t="s">
        <v>269</v>
      </c>
      <c r="F629" s="129" t="s">
        <v>1138</v>
      </c>
      <c r="G629" s="198">
        <v>-25000</v>
      </c>
      <c r="J629" s="118"/>
    </row>
    <row r="630" spans="1:10" ht="15.6" x14ac:dyDescent="0.3">
      <c r="A630" s="127">
        <v>625</v>
      </c>
      <c r="B630" s="128">
        <v>43515</v>
      </c>
      <c r="C630" s="129" t="s">
        <v>42</v>
      </c>
      <c r="D630" s="129" t="s">
        <v>1521</v>
      </c>
      <c r="E630" s="206" t="s">
        <v>269</v>
      </c>
      <c r="F630" s="129" t="s">
        <v>1138</v>
      </c>
      <c r="G630" s="198">
        <v>-50</v>
      </c>
      <c r="J630" s="118"/>
    </row>
    <row r="631" spans="1:10" ht="15.6" x14ac:dyDescent="0.3">
      <c r="A631" s="127">
        <v>626</v>
      </c>
      <c r="B631" s="128">
        <v>43516</v>
      </c>
      <c r="C631" s="129" t="s">
        <v>106</v>
      </c>
      <c r="D631" s="129" t="s">
        <v>1471</v>
      </c>
      <c r="E631" s="206" t="s">
        <v>269</v>
      </c>
      <c r="F631" s="129" t="s">
        <v>1138</v>
      </c>
      <c r="G631" s="198">
        <v>-3750</v>
      </c>
      <c r="J631" s="118"/>
    </row>
    <row r="632" spans="1:10" ht="15.6" x14ac:dyDescent="0.3">
      <c r="A632" s="127">
        <v>627</v>
      </c>
      <c r="B632" s="128">
        <v>43516</v>
      </c>
      <c r="C632" s="129" t="s">
        <v>108</v>
      </c>
      <c r="D632" s="129" t="s">
        <v>1521</v>
      </c>
      <c r="E632" s="206" t="s">
        <v>269</v>
      </c>
      <c r="F632" s="129" t="s">
        <v>1138</v>
      </c>
      <c r="G632" s="198">
        <v>-100</v>
      </c>
      <c r="J632" s="118"/>
    </row>
    <row r="633" spans="1:10" ht="15.6" x14ac:dyDescent="0.3">
      <c r="A633" s="127">
        <v>628</v>
      </c>
      <c r="B633" s="128">
        <v>43516</v>
      </c>
      <c r="C633" s="129" t="s">
        <v>26</v>
      </c>
      <c r="D633" s="129" t="s">
        <v>1522</v>
      </c>
      <c r="E633" s="206" t="s">
        <v>269</v>
      </c>
      <c r="F633" s="129" t="s">
        <v>1138</v>
      </c>
      <c r="G633" s="198">
        <v>-10000</v>
      </c>
      <c r="J633" s="118"/>
    </row>
    <row r="634" spans="1:10" ht="15.6" x14ac:dyDescent="0.3">
      <c r="A634" s="127">
        <v>629</v>
      </c>
      <c r="B634" s="128">
        <v>43517</v>
      </c>
      <c r="C634" s="133" t="s">
        <v>1611</v>
      </c>
      <c r="D634" s="133" t="s">
        <v>1520</v>
      </c>
      <c r="E634" s="206" t="s">
        <v>269</v>
      </c>
      <c r="F634" s="133" t="s">
        <v>1148</v>
      </c>
      <c r="G634" s="141">
        <v>500000</v>
      </c>
      <c r="J634" s="118"/>
    </row>
    <row r="635" spans="1:10" ht="15.6" x14ac:dyDescent="0.3">
      <c r="A635" s="127">
        <v>630</v>
      </c>
      <c r="B635" s="128">
        <v>43517</v>
      </c>
      <c r="C635" s="133" t="s">
        <v>1612</v>
      </c>
      <c r="D635" s="133" t="s">
        <v>1520</v>
      </c>
      <c r="E635" s="206" t="s">
        <v>269</v>
      </c>
      <c r="F635" s="133" t="s">
        <v>1148</v>
      </c>
      <c r="G635" s="141">
        <v>500000</v>
      </c>
      <c r="J635" s="118"/>
    </row>
    <row r="636" spans="1:10" ht="15.6" x14ac:dyDescent="0.3">
      <c r="A636" s="127">
        <v>631</v>
      </c>
      <c r="B636" s="128">
        <v>43519</v>
      </c>
      <c r="C636" s="129" t="s">
        <v>106</v>
      </c>
      <c r="D636" s="129" t="s">
        <v>1471</v>
      </c>
      <c r="E636" s="206" t="s">
        <v>269</v>
      </c>
      <c r="F636" s="129" t="s">
        <v>1138</v>
      </c>
      <c r="G636" s="198">
        <v>-3520</v>
      </c>
      <c r="J636" s="118"/>
    </row>
    <row r="637" spans="1:10" ht="15.6" x14ac:dyDescent="0.3">
      <c r="A637" s="127">
        <v>632</v>
      </c>
      <c r="B637" s="128">
        <v>43519</v>
      </c>
      <c r="C637" s="129" t="s">
        <v>42</v>
      </c>
      <c r="D637" s="129" t="s">
        <v>1521</v>
      </c>
      <c r="E637" s="206" t="s">
        <v>269</v>
      </c>
      <c r="F637" s="129" t="s">
        <v>1138</v>
      </c>
      <c r="G637" s="198">
        <v>-100</v>
      </c>
      <c r="J637" s="118"/>
    </row>
    <row r="638" spans="1:10" ht="15.6" x14ac:dyDescent="0.3">
      <c r="A638" s="127">
        <v>633</v>
      </c>
      <c r="B638" s="128">
        <v>43519</v>
      </c>
      <c r="C638" s="129" t="s">
        <v>145</v>
      </c>
      <c r="D638" s="129" t="s">
        <v>1516</v>
      </c>
      <c r="E638" s="206" t="s">
        <v>269</v>
      </c>
      <c r="F638" s="129" t="s">
        <v>1138</v>
      </c>
      <c r="G638" s="198">
        <v>-3000</v>
      </c>
      <c r="J638" s="118"/>
    </row>
    <row r="639" spans="1:10" ht="15.6" x14ac:dyDescent="0.3">
      <c r="A639" s="127">
        <v>634</v>
      </c>
      <c r="B639" s="128">
        <v>43519</v>
      </c>
      <c r="C639" s="129" t="s">
        <v>1548</v>
      </c>
      <c r="D639" s="129" t="s">
        <v>1526</v>
      </c>
      <c r="E639" s="206" t="s">
        <v>269</v>
      </c>
      <c r="F639" s="129" t="s">
        <v>1138</v>
      </c>
      <c r="G639" s="198">
        <v>-10000</v>
      </c>
      <c r="J639" s="118"/>
    </row>
    <row r="640" spans="1:10" ht="15.6" x14ac:dyDescent="0.3">
      <c r="A640" s="127">
        <v>635</v>
      </c>
      <c r="B640" s="128">
        <v>43521</v>
      </c>
      <c r="C640" s="129" t="s">
        <v>1548</v>
      </c>
      <c r="D640" s="129" t="s">
        <v>1526</v>
      </c>
      <c r="E640" s="206" t="s">
        <v>269</v>
      </c>
      <c r="F640" s="129" t="s">
        <v>1138</v>
      </c>
      <c r="G640" s="198">
        <v>-25000</v>
      </c>
      <c r="J640" s="118"/>
    </row>
    <row r="641" spans="1:10" ht="15.6" x14ac:dyDescent="0.3">
      <c r="A641" s="127">
        <v>636</v>
      </c>
      <c r="B641" s="128">
        <v>43522</v>
      </c>
      <c r="C641" s="129" t="s">
        <v>102</v>
      </c>
      <c r="D641" s="129" t="s">
        <v>1471</v>
      </c>
      <c r="E641" s="206" t="s">
        <v>269</v>
      </c>
      <c r="F641" s="129" t="s">
        <v>1138</v>
      </c>
      <c r="G641" s="198">
        <v>-20000</v>
      </c>
      <c r="J641" s="118"/>
    </row>
    <row r="642" spans="1:10" ht="15.6" x14ac:dyDescent="0.3">
      <c r="A642" s="127">
        <v>637</v>
      </c>
      <c r="B642" s="128">
        <v>43522</v>
      </c>
      <c r="C642" s="129" t="s">
        <v>1548</v>
      </c>
      <c r="D642" s="129" t="s">
        <v>1526</v>
      </c>
      <c r="E642" s="206" t="s">
        <v>269</v>
      </c>
      <c r="F642" s="129" t="s">
        <v>1138</v>
      </c>
      <c r="G642" s="198">
        <v>-35000</v>
      </c>
      <c r="J642" s="118"/>
    </row>
    <row r="643" spans="1:10" ht="15.6" x14ac:dyDescent="0.3">
      <c r="A643" s="127">
        <v>638</v>
      </c>
      <c r="B643" s="128">
        <v>43522</v>
      </c>
      <c r="C643" s="129" t="s">
        <v>145</v>
      </c>
      <c r="D643" s="129" t="s">
        <v>1516</v>
      </c>
      <c r="E643" s="206" t="s">
        <v>269</v>
      </c>
      <c r="F643" s="129" t="s">
        <v>1138</v>
      </c>
      <c r="G643" s="198">
        <v>-1000</v>
      </c>
      <c r="J643" s="118"/>
    </row>
    <row r="644" spans="1:10" ht="15.6" x14ac:dyDescent="0.3">
      <c r="A644" s="127">
        <v>639</v>
      </c>
      <c r="B644" s="128">
        <v>43523</v>
      </c>
      <c r="C644" s="129" t="s">
        <v>26</v>
      </c>
      <c r="D644" s="129" t="s">
        <v>1522</v>
      </c>
      <c r="E644" s="206" t="s">
        <v>269</v>
      </c>
      <c r="F644" s="129" t="s">
        <v>1138</v>
      </c>
      <c r="G644" s="198">
        <v>-20000</v>
      </c>
      <c r="J644" s="118"/>
    </row>
    <row r="645" spans="1:10" ht="15.6" x14ac:dyDescent="0.3">
      <c r="A645" s="127">
        <v>640</v>
      </c>
      <c r="B645" s="128">
        <v>43523</v>
      </c>
      <c r="C645" s="129" t="s">
        <v>122</v>
      </c>
      <c r="D645" s="129" t="s">
        <v>1521</v>
      </c>
      <c r="E645" s="206" t="s">
        <v>269</v>
      </c>
      <c r="F645" s="129" t="s">
        <v>1138</v>
      </c>
      <c r="G645" s="198">
        <v>-100</v>
      </c>
      <c r="J645" s="118"/>
    </row>
    <row r="646" spans="1:10" ht="15.6" x14ac:dyDescent="0.3">
      <c r="A646" s="127">
        <v>641</v>
      </c>
      <c r="B646" s="128">
        <v>43523</v>
      </c>
      <c r="C646" s="129" t="s">
        <v>42</v>
      </c>
      <c r="D646" s="129" t="s">
        <v>1521</v>
      </c>
      <c r="E646" s="206" t="s">
        <v>269</v>
      </c>
      <c r="F646" s="129" t="s">
        <v>1138</v>
      </c>
      <c r="G646" s="198">
        <v>-50</v>
      </c>
      <c r="J646" s="118"/>
    </row>
    <row r="647" spans="1:10" ht="15.6" x14ac:dyDescent="0.3">
      <c r="A647" s="127">
        <v>642</v>
      </c>
      <c r="B647" s="128">
        <v>43523</v>
      </c>
      <c r="C647" s="129" t="s">
        <v>113</v>
      </c>
      <c r="D647" s="129" t="s">
        <v>1529</v>
      </c>
      <c r="E647" s="206" t="s">
        <v>269</v>
      </c>
      <c r="F647" s="129" t="s">
        <v>1138</v>
      </c>
      <c r="G647" s="198">
        <v>-5000</v>
      </c>
      <c r="J647" s="118"/>
    </row>
    <row r="648" spans="1:10" ht="15.6" x14ac:dyDescent="0.3">
      <c r="A648" s="127">
        <v>643</v>
      </c>
      <c r="B648" s="128">
        <v>43528</v>
      </c>
      <c r="C648" s="129" t="s">
        <v>26</v>
      </c>
      <c r="D648" s="129" t="s">
        <v>1522</v>
      </c>
      <c r="E648" s="206" t="s">
        <v>269</v>
      </c>
      <c r="F648" s="129" t="s">
        <v>1138</v>
      </c>
      <c r="G648" s="198">
        <v>-20000</v>
      </c>
      <c r="J648" s="118"/>
    </row>
    <row r="649" spans="1:10" ht="15.6" x14ac:dyDescent="0.3">
      <c r="A649" s="127">
        <v>644</v>
      </c>
      <c r="B649" s="128">
        <v>43528</v>
      </c>
      <c r="C649" s="129" t="s">
        <v>1548</v>
      </c>
      <c r="D649" s="129" t="s">
        <v>1526</v>
      </c>
      <c r="E649" s="206" t="s">
        <v>269</v>
      </c>
      <c r="F649" s="129" t="s">
        <v>1138</v>
      </c>
      <c r="G649" s="198">
        <v>-25000</v>
      </c>
      <c r="J649" s="118"/>
    </row>
    <row r="650" spans="1:10" ht="15.6" x14ac:dyDescent="0.3">
      <c r="A650" s="127">
        <v>645</v>
      </c>
      <c r="B650" s="128">
        <v>43528</v>
      </c>
      <c r="C650" s="129" t="s">
        <v>145</v>
      </c>
      <c r="D650" s="129" t="s">
        <v>1516</v>
      </c>
      <c r="E650" s="206" t="s">
        <v>269</v>
      </c>
      <c r="F650" s="129" t="s">
        <v>1138</v>
      </c>
      <c r="G650" s="198">
        <v>-2000</v>
      </c>
      <c r="J650" s="118"/>
    </row>
    <row r="651" spans="1:10" ht="15.6" x14ac:dyDescent="0.3">
      <c r="A651" s="127">
        <v>646</v>
      </c>
      <c r="B651" s="128">
        <v>43529</v>
      </c>
      <c r="C651" s="129" t="s">
        <v>1613</v>
      </c>
      <c r="D651" s="129" t="s">
        <v>1523</v>
      </c>
      <c r="E651" s="206" t="s">
        <v>269</v>
      </c>
      <c r="F651" s="129" t="s">
        <v>1138</v>
      </c>
      <c r="G651" s="198">
        <v>-33000</v>
      </c>
      <c r="J651" s="118"/>
    </row>
    <row r="652" spans="1:10" ht="15.6" x14ac:dyDescent="0.3">
      <c r="A652" s="127">
        <v>647</v>
      </c>
      <c r="B652" s="128">
        <v>43529</v>
      </c>
      <c r="C652" s="129" t="s">
        <v>1614</v>
      </c>
      <c r="D652" s="129" t="s">
        <v>1516</v>
      </c>
      <c r="E652" s="206" t="s">
        <v>269</v>
      </c>
      <c r="F652" s="129" t="s">
        <v>1138</v>
      </c>
      <c r="G652" s="198">
        <v>-8400</v>
      </c>
      <c r="J652" s="118"/>
    </row>
    <row r="653" spans="1:10" ht="15.6" x14ac:dyDescent="0.3">
      <c r="A653" s="127">
        <v>648</v>
      </c>
      <c r="B653" s="128">
        <v>43529</v>
      </c>
      <c r="C653" s="129" t="s">
        <v>1615</v>
      </c>
      <c r="D653" s="129" t="s">
        <v>1516</v>
      </c>
      <c r="E653" s="206" t="s">
        <v>269</v>
      </c>
      <c r="F653" s="129" t="s">
        <v>1138</v>
      </c>
      <c r="G653" s="198">
        <v>-2700</v>
      </c>
      <c r="J653" s="118"/>
    </row>
    <row r="654" spans="1:10" ht="15.6" x14ac:dyDescent="0.3">
      <c r="A654" s="127">
        <v>649</v>
      </c>
      <c r="B654" s="128">
        <v>43530</v>
      </c>
      <c r="C654" s="129" t="s">
        <v>1548</v>
      </c>
      <c r="D654" s="129" t="s">
        <v>1526</v>
      </c>
      <c r="E654" s="206" t="s">
        <v>269</v>
      </c>
      <c r="F654" s="129" t="s">
        <v>1138</v>
      </c>
      <c r="G654" s="198">
        <v>-25000</v>
      </c>
      <c r="J654" s="118"/>
    </row>
    <row r="655" spans="1:10" ht="15.6" x14ac:dyDescent="0.3">
      <c r="A655" s="127">
        <v>650</v>
      </c>
      <c r="B655" s="128">
        <v>43530</v>
      </c>
      <c r="C655" s="129" t="s">
        <v>42</v>
      </c>
      <c r="D655" s="129" t="s">
        <v>1521</v>
      </c>
      <c r="E655" s="206" t="s">
        <v>269</v>
      </c>
      <c r="F655" s="129" t="s">
        <v>1138</v>
      </c>
      <c r="G655" s="198">
        <v>-50</v>
      </c>
      <c r="J655" s="118"/>
    </row>
    <row r="656" spans="1:10" ht="15.6" x14ac:dyDescent="0.3">
      <c r="A656" s="127">
        <v>651</v>
      </c>
      <c r="B656" s="128">
        <v>43530</v>
      </c>
      <c r="C656" s="133" t="s">
        <v>1610</v>
      </c>
      <c r="D656" s="133" t="s">
        <v>1520</v>
      </c>
      <c r="E656" s="206" t="s">
        <v>269</v>
      </c>
      <c r="F656" s="133" t="s">
        <v>1148</v>
      </c>
      <c r="G656" s="141">
        <v>100000</v>
      </c>
      <c r="J656" s="118"/>
    </row>
    <row r="657" spans="1:10" ht="15.6" x14ac:dyDescent="0.3">
      <c r="A657" s="127">
        <v>652</v>
      </c>
      <c r="B657" s="128">
        <v>43530</v>
      </c>
      <c r="C657" s="129" t="s">
        <v>26</v>
      </c>
      <c r="D657" s="129" t="s">
        <v>1522</v>
      </c>
      <c r="E657" s="206" t="s">
        <v>269</v>
      </c>
      <c r="F657" s="129" t="s">
        <v>1138</v>
      </c>
      <c r="G657" s="198">
        <v>-20000</v>
      </c>
      <c r="J657" s="118"/>
    </row>
    <row r="658" spans="1:10" ht="15.6" x14ac:dyDescent="0.3">
      <c r="A658" s="127">
        <v>653</v>
      </c>
      <c r="B658" s="128">
        <v>43530</v>
      </c>
      <c r="C658" s="129" t="s">
        <v>102</v>
      </c>
      <c r="D658" s="129" t="s">
        <v>1471</v>
      </c>
      <c r="E658" s="206" t="s">
        <v>269</v>
      </c>
      <c r="F658" s="129" t="s">
        <v>1138</v>
      </c>
      <c r="G658" s="198">
        <v>-10000</v>
      </c>
      <c r="J658" s="118"/>
    </row>
    <row r="659" spans="1:10" ht="15.6" x14ac:dyDescent="0.3">
      <c r="A659" s="127">
        <v>654</v>
      </c>
      <c r="B659" s="128">
        <v>43530</v>
      </c>
      <c r="C659" s="129" t="s">
        <v>1616</v>
      </c>
      <c r="D659" s="129" t="s">
        <v>1517</v>
      </c>
      <c r="E659" s="206" t="s">
        <v>269</v>
      </c>
      <c r="F659" s="129" t="s">
        <v>1138</v>
      </c>
      <c r="G659" s="198">
        <v>-60000</v>
      </c>
      <c r="J659" s="118"/>
    </row>
    <row r="660" spans="1:10" ht="15.6" x14ac:dyDescent="0.3">
      <c r="A660" s="127">
        <v>655</v>
      </c>
      <c r="B660" s="128">
        <v>43531</v>
      </c>
      <c r="C660" s="129" t="s">
        <v>69</v>
      </c>
      <c r="D660" s="129" t="s">
        <v>1524</v>
      </c>
      <c r="E660" s="206" t="s">
        <v>269</v>
      </c>
      <c r="F660" s="129" t="s">
        <v>1138</v>
      </c>
      <c r="G660" s="198">
        <v>-20000</v>
      </c>
      <c r="J660" s="118"/>
    </row>
    <row r="661" spans="1:10" ht="15.6" x14ac:dyDescent="0.3">
      <c r="A661" s="127">
        <v>656</v>
      </c>
      <c r="B661" s="128">
        <v>43533</v>
      </c>
      <c r="C661" s="129" t="s">
        <v>1548</v>
      </c>
      <c r="D661" s="129" t="s">
        <v>1526</v>
      </c>
      <c r="E661" s="206" t="s">
        <v>269</v>
      </c>
      <c r="F661" s="129" t="s">
        <v>1138</v>
      </c>
      <c r="G661" s="198">
        <v>-20000</v>
      </c>
      <c r="J661" s="118"/>
    </row>
    <row r="662" spans="1:10" ht="15.6" x14ac:dyDescent="0.3">
      <c r="A662" s="127">
        <v>657</v>
      </c>
      <c r="B662" s="128">
        <v>43533</v>
      </c>
      <c r="C662" s="129" t="s">
        <v>153</v>
      </c>
      <c r="D662" s="129" t="s">
        <v>1521</v>
      </c>
      <c r="E662" s="206" t="s">
        <v>269</v>
      </c>
      <c r="F662" s="129" t="s">
        <v>1138</v>
      </c>
      <c r="G662" s="198">
        <v>-400</v>
      </c>
      <c r="J662" s="118"/>
    </row>
    <row r="663" spans="1:10" ht="15.6" x14ac:dyDescent="0.3">
      <c r="A663" s="127">
        <v>658</v>
      </c>
      <c r="B663" s="128">
        <v>43533</v>
      </c>
      <c r="C663" s="129" t="s">
        <v>26</v>
      </c>
      <c r="D663" s="129" t="s">
        <v>1522</v>
      </c>
      <c r="E663" s="206" t="s">
        <v>269</v>
      </c>
      <c r="F663" s="129" t="s">
        <v>1138</v>
      </c>
      <c r="G663" s="198">
        <v>-3000</v>
      </c>
      <c r="J663" s="118"/>
    </row>
    <row r="664" spans="1:10" ht="15.6" x14ac:dyDescent="0.3">
      <c r="A664" s="127">
        <v>659</v>
      </c>
      <c r="B664" s="128">
        <v>43536</v>
      </c>
      <c r="C664" s="129" t="s">
        <v>119</v>
      </c>
      <c r="D664" s="129" t="s">
        <v>1521</v>
      </c>
      <c r="E664" s="206" t="s">
        <v>269</v>
      </c>
      <c r="F664" s="129" t="s">
        <v>1138</v>
      </c>
      <c r="G664" s="198">
        <v>-70</v>
      </c>
      <c r="J664" s="118"/>
    </row>
    <row r="665" spans="1:10" ht="15.6" x14ac:dyDescent="0.3">
      <c r="A665" s="127">
        <v>660</v>
      </c>
      <c r="B665" s="128">
        <v>43536</v>
      </c>
      <c r="C665" s="129" t="s">
        <v>1548</v>
      </c>
      <c r="D665" s="129" t="s">
        <v>1526</v>
      </c>
      <c r="E665" s="206" t="s">
        <v>269</v>
      </c>
      <c r="F665" s="129" t="s">
        <v>1138</v>
      </c>
      <c r="G665" s="198">
        <v>-25000</v>
      </c>
      <c r="J665" s="118"/>
    </row>
    <row r="666" spans="1:10" ht="15.6" x14ac:dyDescent="0.3">
      <c r="A666" s="127">
        <v>661</v>
      </c>
      <c r="B666" s="128">
        <v>43536</v>
      </c>
      <c r="C666" s="129" t="s">
        <v>102</v>
      </c>
      <c r="D666" s="129" t="s">
        <v>1471</v>
      </c>
      <c r="E666" s="206" t="s">
        <v>269</v>
      </c>
      <c r="F666" s="129" t="s">
        <v>1138</v>
      </c>
      <c r="G666" s="198">
        <v>-10000</v>
      </c>
      <c r="J666" s="118"/>
    </row>
    <row r="667" spans="1:10" ht="15.6" x14ac:dyDescent="0.3">
      <c r="A667" s="127">
        <v>662</v>
      </c>
      <c r="B667" s="128">
        <v>43536</v>
      </c>
      <c r="C667" s="129" t="s">
        <v>42</v>
      </c>
      <c r="D667" s="129" t="s">
        <v>1521</v>
      </c>
      <c r="E667" s="206" t="s">
        <v>269</v>
      </c>
      <c r="F667" s="129" t="s">
        <v>1138</v>
      </c>
      <c r="G667" s="198">
        <v>-300</v>
      </c>
      <c r="J667" s="118"/>
    </row>
    <row r="668" spans="1:10" ht="15.6" x14ac:dyDescent="0.3">
      <c r="A668" s="127">
        <v>663</v>
      </c>
      <c r="B668" s="128">
        <v>43536</v>
      </c>
      <c r="C668" s="129" t="s">
        <v>1617</v>
      </c>
      <c r="D668" s="239" t="s">
        <v>1520</v>
      </c>
      <c r="E668" s="240" t="s">
        <v>1137</v>
      </c>
      <c r="F668" s="129" t="s">
        <v>1148</v>
      </c>
      <c r="G668" s="173">
        <v>300000</v>
      </c>
      <c r="J668" s="118"/>
    </row>
    <row r="669" spans="1:10" ht="15.6" x14ac:dyDescent="0.3">
      <c r="A669" s="127">
        <v>664</v>
      </c>
      <c r="B669" s="128">
        <v>43538</v>
      </c>
      <c r="C669" s="133" t="s">
        <v>1618</v>
      </c>
      <c r="D669" s="133" t="s">
        <v>1520</v>
      </c>
      <c r="E669" s="206" t="s">
        <v>269</v>
      </c>
      <c r="F669" s="133" t="s">
        <v>1148</v>
      </c>
      <c r="G669" s="141">
        <v>200000</v>
      </c>
      <c r="J669" s="118"/>
    </row>
    <row r="670" spans="1:10" ht="15.6" x14ac:dyDescent="0.3">
      <c r="A670" s="127">
        <v>665</v>
      </c>
      <c r="B670" s="128">
        <v>43538</v>
      </c>
      <c r="C670" s="129" t="s">
        <v>62</v>
      </c>
      <c r="D670" s="129" t="s">
        <v>1521</v>
      </c>
      <c r="E670" s="206" t="s">
        <v>269</v>
      </c>
      <c r="F670" s="129" t="s">
        <v>1138</v>
      </c>
      <c r="G670" s="198">
        <v>-100</v>
      </c>
      <c r="J670" s="118"/>
    </row>
    <row r="671" spans="1:10" ht="15.6" x14ac:dyDescent="0.3">
      <c r="A671" s="127">
        <v>666</v>
      </c>
      <c r="B671" s="128">
        <v>43538</v>
      </c>
      <c r="C671" s="130" t="s">
        <v>1619</v>
      </c>
      <c r="D671" s="130" t="s">
        <v>1530</v>
      </c>
      <c r="E671" s="206" t="s">
        <v>269</v>
      </c>
      <c r="F671" s="129" t="s">
        <v>1138</v>
      </c>
      <c r="G671" s="198">
        <v>-73000</v>
      </c>
    </row>
    <row r="672" spans="1:10" ht="15.6" x14ac:dyDescent="0.3">
      <c r="A672" s="127">
        <v>667</v>
      </c>
      <c r="B672" s="128">
        <v>43538</v>
      </c>
      <c r="C672" s="129" t="s">
        <v>102</v>
      </c>
      <c r="D672" s="129" t="s">
        <v>1471</v>
      </c>
      <c r="E672" s="206" t="s">
        <v>269</v>
      </c>
      <c r="F672" s="129" t="s">
        <v>1138</v>
      </c>
      <c r="G672" s="198">
        <v>-50000</v>
      </c>
      <c r="J672" s="118"/>
    </row>
    <row r="673" spans="1:10" ht="15.6" x14ac:dyDescent="0.3">
      <c r="A673" s="127">
        <v>668</v>
      </c>
      <c r="B673" s="128">
        <v>43538</v>
      </c>
      <c r="C673" s="129" t="s">
        <v>1548</v>
      </c>
      <c r="D673" s="129" t="s">
        <v>1526</v>
      </c>
      <c r="E673" s="206" t="s">
        <v>269</v>
      </c>
      <c r="F673" s="129" t="s">
        <v>1138</v>
      </c>
      <c r="G673" s="198">
        <v>-50000</v>
      </c>
      <c r="J673" s="118"/>
    </row>
    <row r="674" spans="1:10" ht="15.6" x14ac:dyDescent="0.3">
      <c r="A674" s="127">
        <v>669</v>
      </c>
      <c r="B674" s="128">
        <v>43538</v>
      </c>
      <c r="C674" s="129" t="s">
        <v>12</v>
      </c>
      <c r="D674" s="129" t="s">
        <v>1516</v>
      </c>
      <c r="E674" s="206" t="s">
        <v>269</v>
      </c>
      <c r="F674" s="129" t="s">
        <v>1138</v>
      </c>
      <c r="G674" s="198">
        <v>-850</v>
      </c>
      <c r="J674" s="118"/>
    </row>
    <row r="675" spans="1:10" ht="15.6" x14ac:dyDescent="0.3">
      <c r="A675" s="127">
        <v>670</v>
      </c>
      <c r="B675" s="128">
        <v>43538</v>
      </c>
      <c r="C675" s="129" t="s">
        <v>93</v>
      </c>
      <c r="D675" s="129" t="s">
        <v>1516</v>
      </c>
      <c r="E675" s="206" t="s">
        <v>269</v>
      </c>
      <c r="F675" s="129" t="s">
        <v>1138</v>
      </c>
      <c r="G675" s="198">
        <v>-850</v>
      </c>
      <c r="J675" s="118"/>
    </row>
    <row r="676" spans="1:10" ht="15.6" x14ac:dyDescent="0.3">
      <c r="A676" s="127">
        <v>671</v>
      </c>
      <c r="B676" s="128">
        <v>43538</v>
      </c>
      <c r="C676" s="129" t="s">
        <v>1620</v>
      </c>
      <c r="D676" s="129" t="s">
        <v>1523</v>
      </c>
      <c r="E676" s="206" t="s">
        <v>269</v>
      </c>
      <c r="F676" s="129" t="s">
        <v>1138</v>
      </c>
      <c r="G676" s="198">
        <v>-20000</v>
      </c>
      <c r="J676" s="118"/>
    </row>
    <row r="677" spans="1:10" ht="15.6" x14ac:dyDescent="0.3">
      <c r="A677" s="127">
        <v>672</v>
      </c>
      <c r="B677" s="128">
        <v>43538</v>
      </c>
      <c r="C677" s="129" t="s">
        <v>145</v>
      </c>
      <c r="D677" s="129" t="s">
        <v>1516</v>
      </c>
      <c r="E677" s="206" t="s">
        <v>269</v>
      </c>
      <c r="F677" s="129" t="s">
        <v>1138</v>
      </c>
      <c r="G677" s="198">
        <v>-3000</v>
      </c>
      <c r="J677" s="118"/>
    </row>
    <row r="678" spans="1:10" ht="15.6" x14ac:dyDescent="0.3">
      <c r="A678" s="127">
        <v>673</v>
      </c>
      <c r="B678" s="128">
        <v>43538</v>
      </c>
      <c r="C678" s="129" t="s">
        <v>157</v>
      </c>
      <c r="D678" s="129" t="s">
        <v>1516</v>
      </c>
      <c r="E678" s="206" t="s">
        <v>269</v>
      </c>
      <c r="F678" s="129" t="s">
        <v>1138</v>
      </c>
      <c r="G678" s="198">
        <v>-500</v>
      </c>
      <c r="J678" s="118"/>
    </row>
    <row r="679" spans="1:10" ht="15.6" x14ac:dyDescent="0.3">
      <c r="A679" s="127">
        <v>674</v>
      </c>
      <c r="B679" s="128">
        <v>43539</v>
      </c>
      <c r="C679" s="129" t="s">
        <v>157</v>
      </c>
      <c r="D679" s="129" t="s">
        <v>1516</v>
      </c>
      <c r="E679" s="206" t="s">
        <v>269</v>
      </c>
      <c r="F679" s="129" t="s">
        <v>1138</v>
      </c>
      <c r="G679" s="198">
        <v>-1000</v>
      </c>
      <c r="J679" s="118"/>
    </row>
    <row r="680" spans="1:10" ht="15.6" x14ac:dyDescent="0.3">
      <c r="A680" s="127">
        <v>675</v>
      </c>
      <c r="B680" s="128">
        <v>43539</v>
      </c>
      <c r="C680" s="129" t="s">
        <v>158</v>
      </c>
      <c r="D680" s="129" t="s">
        <v>1521</v>
      </c>
      <c r="E680" s="206" t="s">
        <v>269</v>
      </c>
      <c r="F680" s="129" t="s">
        <v>1138</v>
      </c>
      <c r="G680" s="198">
        <v>-150</v>
      </c>
      <c r="J680" s="118"/>
    </row>
    <row r="681" spans="1:10" ht="15.6" x14ac:dyDescent="0.3">
      <c r="A681" s="127">
        <v>676</v>
      </c>
      <c r="B681" s="128">
        <v>43539</v>
      </c>
      <c r="C681" s="129" t="s">
        <v>1621</v>
      </c>
      <c r="D681" s="129" t="s">
        <v>1522</v>
      </c>
      <c r="E681" s="206" t="s">
        <v>269</v>
      </c>
      <c r="F681" s="129" t="s">
        <v>1138</v>
      </c>
      <c r="G681" s="198">
        <v>-50000</v>
      </c>
      <c r="J681" s="118"/>
    </row>
    <row r="682" spans="1:10" ht="15.6" x14ac:dyDescent="0.3">
      <c r="A682" s="127">
        <v>677</v>
      </c>
      <c r="B682" s="128">
        <v>43539</v>
      </c>
      <c r="C682" s="129" t="s">
        <v>42</v>
      </c>
      <c r="D682" s="129" t="s">
        <v>1521</v>
      </c>
      <c r="E682" s="206" t="s">
        <v>269</v>
      </c>
      <c r="F682" s="129" t="s">
        <v>1138</v>
      </c>
      <c r="G682" s="198">
        <v>-50</v>
      </c>
      <c r="J682" s="118"/>
    </row>
    <row r="683" spans="1:10" ht="15.6" x14ac:dyDescent="0.3">
      <c r="A683" s="127">
        <v>678</v>
      </c>
      <c r="B683" s="128">
        <v>43540</v>
      </c>
      <c r="C683" s="129" t="s">
        <v>42</v>
      </c>
      <c r="D683" s="129" t="s">
        <v>1521</v>
      </c>
      <c r="E683" s="206" t="s">
        <v>269</v>
      </c>
      <c r="F683" s="129" t="s">
        <v>1138</v>
      </c>
      <c r="G683" s="198">
        <v>-50</v>
      </c>
      <c r="J683" s="118"/>
    </row>
    <row r="684" spans="1:10" ht="15.6" x14ac:dyDescent="0.3">
      <c r="A684" s="127">
        <v>679</v>
      </c>
      <c r="B684" s="128">
        <v>43540</v>
      </c>
      <c r="C684" s="129" t="s">
        <v>157</v>
      </c>
      <c r="D684" s="129" t="s">
        <v>1516</v>
      </c>
      <c r="E684" s="206" t="s">
        <v>269</v>
      </c>
      <c r="F684" s="129" t="s">
        <v>1138</v>
      </c>
      <c r="G684" s="198">
        <v>-1000</v>
      </c>
      <c r="J684" s="118"/>
    </row>
    <row r="685" spans="1:10" ht="15.6" x14ac:dyDescent="0.3">
      <c r="A685" s="127">
        <v>680</v>
      </c>
      <c r="B685" s="128">
        <v>43543</v>
      </c>
      <c r="C685" s="129" t="s">
        <v>42</v>
      </c>
      <c r="D685" s="129" t="s">
        <v>1521</v>
      </c>
      <c r="E685" s="206" t="s">
        <v>269</v>
      </c>
      <c r="F685" s="129" t="s">
        <v>1138</v>
      </c>
      <c r="G685" s="198">
        <v>-50</v>
      </c>
      <c r="J685" s="118"/>
    </row>
    <row r="686" spans="1:10" ht="15.6" x14ac:dyDescent="0.3">
      <c r="A686" s="127">
        <v>681</v>
      </c>
      <c r="B686" s="128">
        <v>43543</v>
      </c>
      <c r="C686" s="133" t="s">
        <v>1622</v>
      </c>
      <c r="D686" s="133" t="s">
        <v>1520</v>
      </c>
      <c r="E686" s="206" t="s">
        <v>269</v>
      </c>
      <c r="F686" s="133" t="s">
        <v>1148</v>
      </c>
      <c r="G686" s="141">
        <v>150000</v>
      </c>
      <c r="J686" s="118"/>
    </row>
    <row r="687" spans="1:10" ht="15.6" x14ac:dyDescent="0.3">
      <c r="A687" s="127">
        <v>682</v>
      </c>
      <c r="B687" s="128">
        <v>43543</v>
      </c>
      <c r="C687" s="129" t="s">
        <v>1548</v>
      </c>
      <c r="D687" s="129" t="s">
        <v>1526</v>
      </c>
      <c r="E687" s="206" t="s">
        <v>269</v>
      </c>
      <c r="F687" s="129" t="s">
        <v>1138</v>
      </c>
      <c r="G687" s="198">
        <v>-65000</v>
      </c>
      <c r="J687" s="118"/>
    </row>
    <row r="688" spans="1:10" ht="15.6" x14ac:dyDescent="0.3">
      <c r="A688" s="127">
        <v>683</v>
      </c>
      <c r="B688" s="128">
        <v>43543</v>
      </c>
      <c r="C688" s="129" t="s">
        <v>102</v>
      </c>
      <c r="D688" s="129" t="s">
        <v>1471</v>
      </c>
      <c r="E688" s="206" t="s">
        <v>269</v>
      </c>
      <c r="F688" s="129" t="s">
        <v>1138</v>
      </c>
      <c r="G688" s="198">
        <v>-50000</v>
      </c>
      <c r="J688" s="118"/>
    </row>
    <row r="689" spans="1:10" ht="15.6" x14ac:dyDescent="0.3">
      <c r="A689" s="127">
        <v>684</v>
      </c>
      <c r="B689" s="128">
        <v>43543</v>
      </c>
      <c r="C689" s="129" t="s">
        <v>157</v>
      </c>
      <c r="D689" s="129" t="s">
        <v>1516</v>
      </c>
      <c r="E689" s="206" t="s">
        <v>269</v>
      </c>
      <c r="F689" s="129" t="s">
        <v>1138</v>
      </c>
      <c r="G689" s="198">
        <v>-2500</v>
      </c>
      <c r="J689" s="118"/>
    </row>
    <row r="690" spans="1:10" ht="15.6" x14ac:dyDescent="0.3">
      <c r="A690" s="127">
        <v>685</v>
      </c>
      <c r="B690" s="128">
        <v>43545</v>
      </c>
      <c r="C690" s="129" t="s">
        <v>1623</v>
      </c>
      <c r="D690" s="129" t="s">
        <v>1523</v>
      </c>
      <c r="E690" s="206" t="s">
        <v>269</v>
      </c>
      <c r="F690" s="129" t="s">
        <v>1138</v>
      </c>
      <c r="G690" s="198">
        <v>-100000</v>
      </c>
      <c r="J690" s="118"/>
    </row>
    <row r="691" spans="1:10" ht="15.6" x14ac:dyDescent="0.3">
      <c r="A691" s="127">
        <v>686</v>
      </c>
      <c r="B691" s="128">
        <v>43546</v>
      </c>
      <c r="C691" s="129" t="s">
        <v>145</v>
      </c>
      <c r="D691" s="129" t="s">
        <v>1516</v>
      </c>
      <c r="E691" s="206" t="s">
        <v>269</v>
      </c>
      <c r="F691" s="129" t="s">
        <v>1138</v>
      </c>
      <c r="G691" s="198">
        <v>-2000</v>
      </c>
      <c r="J691" s="118"/>
    </row>
    <row r="692" spans="1:10" ht="15.6" x14ac:dyDescent="0.3">
      <c r="A692" s="127">
        <v>687</v>
      </c>
      <c r="B692" s="128">
        <v>43546</v>
      </c>
      <c r="C692" s="129" t="s">
        <v>42</v>
      </c>
      <c r="D692" s="129" t="s">
        <v>1521</v>
      </c>
      <c r="E692" s="206" t="s">
        <v>269</v>
      </c>
      <c r="F692" s="129" t="s">
        <v>1138</v>
      </c>
      <c r="G692" s="198">
        <v>-50</v>
      </c>
      <c r="J692" s="118"/>
    </row>
    <row r="693" spans="1:10" ht="15.6" x14ac:dyDescent="0.3">
      <c r="A693" s="127">
        <v>688</v>
      </c>
      <c r="B693" s="128">
        <v>43546</v>
      </c>
      <c r="C693" s="129" t="s">
        <v>1548</v>
      </c>
      <c r="D693" s="129" t="s">
        <v>1526</v>
      </c>
      <c r="E693" s="206" t="s">
        <v>269</v>
      </c>
      <c r="F693" s="129" t="s">
        <v>1138</v>
      </c>
      <c r="G693" s="198">
        <v>-10000</v>
      </c>
      <c r="J693" s="118"/>
    </row>
    <row r="694" spans="1:10" ht="15.6" x14ac:dyDescent="0.3">
      <c r="A694" s="127">
        <v>689</v>
      </c>
      <c r="B694" s="128">
        <v>43547</v>
      </c>
      <c r="C694" s="129" t="s">
        <v>1548</v>
      </c>
      <c r="D694" s="129" t="s">
        <v>1526</v>
      </c>
      <c r="E694" s="206" t="s">
        <v>269</v>
      </c>
      <c r="F694" s="129" t="s">
        <v>1138</v>
      </c>
      <c r="G694" s="198">
        <v>-10000</v>
      </c>
      <c r="J694" s="118"/>
    </row>
    <row r="695" spans="1:10" ht="15.6" x14ac:dyDescent="0.3">
      <c r="A695" s="127">
        <v>690</v>
      </c>
      <c r="B695" s="128">
        <v>43548</v>
      </c>
      <c r="C695" s="129" t="s">
        <v>157</v>
      </c>
      <c r="D695" s="129" t="s">
        <v>1516</v>
      </c>
      <c r="E695" s="206" t="s">
        <v>269</v>
      </c>
      <c r="F695" s="129" t="s">
        <v>1138</v>
      </c>
      <c r="G695" s="198">
        <v>-1100</v>
      </c>
      <c r="J695" s="118"/>
    </row>
    <row r="696" spans="1:10" ht="15.6" x14ac:dyDescent="0.3">
      <c r="A696" s="127">
        <v>691</v>
      </c>
      <c r="B696" s="128">
        <v>43548</v>
      </c>
      <c r="C696" s="129" t="s">
        <v>42</v>
      </c>
      <c r="D696" s="129" t="s">
        <v>1521</v>
      </c>
      <c r="E696" s="206" t="s">
        <v>269</v>
      </c>
      <c r="F696" s="129" t="s">
        <v>1138</v>
      </c>
      <c r="G696" s="198">
        <v>-50</v>
      </c>
      <c r="J696" s="118"/>
    </row>
    <row r="697" spans="1:10" ht="15.6" x14ac:dyDescent="0.3">
      <c r="A697" s="127">
        <v>692</v>
      </c>
      <c r="B697" s="128">
        <v>43550</v>
      </c>
      <c r="C697" s="129" t="s">
        <v>42</v>
      </c>
      <c r="D697" s="129" t="s">
        <v>1521</v>
      </c>
      <c r="E697" s="206" t="s">
        <v>269</v>
      </c>
      <c r="F697" s="129" t="s">
        <v>1138</v>
      </c>
      <c r="G697" s="198">
        <v>-50</v>
      </c>
      <c r="J697" s="118"/>
    </row>
    <row r="698" spans="1:10" ht="15.6" x14ac:dyDescent="0.3">
      <c r="A698" s="127">
        <v>693</v>
      </c>
      <c r="B698" s="128">
        <v>43550</v>
      </c>
      <c r="C698" s="129" t="s">
        <v>1624</v>
      </c>
      <c r="D698" s="129" t="s">
        <v>1523</v>
      </c>
      <c r="E698" s="206" t="s">
        <v>269</v>
      </c>
      <c r="F698" s="129" t="s">
        <v>1138</v>
      </c>
      <c r="G698" s="198">
        <v>-85940</v>
      </c>
      <c r="J698" s="118"/>
    </row>
    <row r="699" spans="1:10" ht="15.6" x14ac:dyDescent="0.3">
      <c r="A699" s="127">
        <v>694</v>
      </c>
      <c r="B699" s="128">
        <v>43550</v>
      </c>
      <c r="C699" s="129" t="s">
        <v>1548</v>
      </c>
      <c r="D699" s="129" t="s">
        <v>1526</v>
      </c>
      <c r="E699" s="206" t="s">
        <v>269</v>
      </c>
      <c r="F699" s="129" t="s">
        <v>1138</v>
      </c>
      <c r="G699" s="198">
        <v>-5000</v>
      </c>
      <c r="J699" s="118"/>
    </row>
    <row r="700" spans="1:10" ht="15.6" x14ac:dyDescent="0.3">
      <c r="A700" s="127">
        <v>695</v>
      </c>
      <c r="B700" s="128">
        <v>43550</v>
      </c>
      <c r="C700" s="129" t="s">
        <v>1625</v>
      </c>
      <c r="D700" s="129" t="s">
        <v>1526</v>
      </c>
      <c r="E700" s="206" t="s">
        <v>269</v>
      </c>
      <c r="F700" s="129" t="s">
        <v>1138</v>
      </c>
      <c r="G700" s="198">
        <v>-50000</v>
      </c>
      <c r="J700" s="118"/>
    </row>
    <row r="701" spans="1:10" ht="15.6" x14ac:dyDescent="0.3">
      <c r="A701" s="127">
        <v>696</v>
      </c>
      <c r="B701" s="128">
        <v>43550</v>
      </c>
      <c r="C701" s="133" t="s">
        <v>1622</v>
      </c>
      <c r="D701" s="133" t="s">
        <v>1520</v>
      </c>
      <c r="E701" s="206" t="s">
        <v>269</v>
      </c>
      <c r="F701" s="133" t="s">
        <v>1148</v>
      </c>
      <c r="G701" s="141">
        <v>100000</v>
      </c>
      <c r="J701" s="118"/>
    </row>
    <row r="702" spans="1:10" ht="15.6" x14ac:dyDescent="0.3">
      <c r="A702" s="127">
        <v>697</v>
      </c>
      <c r="B702" s="128">
        <v>43550</v>
      </c>
      <c r="C702" s="129" t="s">
        <v>1548</v>
      </c>
      <c r="D702" s="129" t="s">
        <v>1526</v>
      </c>
      <c r="E702" s="206" t="s">
        <v>269</v>
      </c>
      <c r="F702" s="129" t="s">
        <v>1138</v>
      </c>
      <c r="G702" s="198">
        <v>-100000</v>
      </c>
      <c r="J702" s="118"/>
    </row>
    <row r="703" spans="1:10" ht="15.6" x14ac:dyDescent="0.3">
      <c r="A703" s="127">
        <v>698</v>
      </c>
      <c r="B703" s="128">
        <v>43552</v>
      </c>
      <c r="C703" s="133" t="s">
        <v>1622</v>
      </c>
      <c r="D703" s="133" t="s">
        <v>1520</v>
      </c>
      <c r="E703" s="206" t="s">
        <v>269</v>
      </c>
      <c r="F703" s="133" t="s">
        <v>1148</v>
      </c>
      <c r="G703" s="141">
        <v>95000</v>
      </c>
      <c r="J703" s="118"/>
    </row>
    <row r="704" spans="1:10" ht="15.6" x14ac:dyDescent="0.3">
      <c r="A704" s="127">
        <v>699</v>
      </c>
      <c r="B704" s="128">
        <v>43552</v>
      </c>
      <c r="C704" s="129" t="s">
        <v>102</v>
      </c>
      <c r="D704" s="129" t="s">
        <v>1471</v>
      </c>
      <c r="E704" s="206" t="s">
        <v>269</v>
      </c>
      <c r="F704" s="129" t="s">
        <v>1138</v>
      </c>
      <c r="G704" s="198">
        <v>-50000</v>
      </c>
      <c r="J704" s="118"/>
    </row>
    <row r="705" spans="1:10" ht="15.6" x14ac:dyDescent="0.3">
      <c r="A705" s="127">
        <v>700</v>
      </c>
      <c r="B705" s="128">
        <v>43552</v>
      </c>
      <c r="C705" s="129" t="s">
        <v>145</v>
      </c>
      <c r="D705" s="129" t="s">
        <v>1516</v>
      </c>
      <c r="E705" s="206" t="s">
        <v>269</v>
      </c>
      <c r="F705" s="129" t="s">
        <v>1138</v>
      </c>
      <c r="G705" s="198">
        <v>-2000</v>
      </c>
      <c r="J705" s="118"/>
    </row>
    <row r="706" spans="1:10" ht="15.6" x14ac:dyDescent="0.3">
      <c r="A706" s="127">
        <v>701</v>
      </c>
      <c r="B706" s="128">
        <v>43552</v>
      </c>
      <c r="C706" s="129" t="s">
        <v>157</v>
      </c>
      <c r="D706" s="129" t="s">
        <v>1516</v>
      </c>
      <c r="E706" s="206" t="s">
        <v>269</v>
      </c>
      <c r="F706" s="129" t="s">
        <v>1138</v>
      </c>
      <c r="G706" s="198">
        <v>-1000</v>
      </c>
      <c r="J706" s="118"/>
    </row>
    <row r="707" spans="1:10" ht="15.6" x14ac:dyDescent="0.3">
      <c r="A707" s="127">
        <v>702</v>
      </c>
      <c r="B707" s="128">
        <v>43552</v>
      </c>
      <c r="C707" s="129" t="s">
        <v>42</v>
      </c>
      <c r="D707" s="129" t="s">
        <v>1521</v>
      </c>
      <c r="E707" s="206" t="s">
        <v>269</v>
      </c>
      <c r="F707" s="129" t="s">
        <v>1138</v>
      </c>
      <c r="G707" s="198">
        <v>-50</v>
      </c>
      <c r="J707" s="118"/>
    </row>
    <row r="708" spans="1:10" ht="15.6" x14ac:dyDescent="0.3">
      <c r="A708" s="127">
        <v>703</v>
      </c>
      <c r="B708" s="128">
        <v>43552</v>
      </c>
      <c r="C708" s="129" t="s">
        <v>69</v>
      </c>
      <c r="D708" s="129" t="s">
        <v>1524</v>
      </c>
      <c r="E708" s="206" t="s">
        <v>269</v>
      </c>
      <c r="F708" s="129" t="s">
        <v>1138</v>
      </c>
      <c r="G708" s="198">
        <v>-20000</v>
      </c>
      <c r="J708" s="118"/>
    </row>
    <row r="709" spans="1:10" ht="15.6" x14ac:dyDescent="0.3">
      <c r="A709" s="127">
        <v>704</v>
      </c>
      <c r="B709" s="128">
        <v>43552</v>
      </c>
      <c r="C709" s="129" t="s">
        <v>106</v>
      </c>
      <c r="D709" s="129" t="s">
        <v>1471</v>
      </c>
      <c r="E709" s="206" t="s">
        <v>269</v>
      </c>
      <c r="F709" s="129" t="s">
        <v>1138</v>
      </c>
      <c r="G709" s="198">
        <v>-2000</v>
      </c>
      <c r="J709" s="118"/>
    </row>
    <row r="710" spans="1:10" ht="15.6" x14ac:dyDescent="0.3">
      <c r="A710" s="127">
        <v>705</v>
      </c>
      <c r="B710" s="128">
        <v>43552</v>
      </c>
      <c r="C710" s="129" t="s">
        <v>166</v>
      </c>
      <c r="D710" s="129" t="s">
        <v>1521</v>
      </c>
      <c r="E710" s="206" t="s">
        <v>269</v>
      </c>
      <c r="F710" s="129" t="s">
        <v>1138</v>
      </c>
      <c r="G710" s="198">
        <v>-90</v>
      </c>
      <c r="J710" s="118"/>
    </row>
    <row r="711" spans="1:10" ht="15.6" x14ac:dyDescent="0.3">
      <c r="A711" s="127">
        <v>706</v>
      </c>
      <c r="B711" s="128">
        <v>43552</v>
      </c>
      <c r="C711" s="129" t="s">
        <v>42</v>
      </c>
      <c r="D711" s="129" t="s">
        <v>1521</v>
      </c>
      <c r="E711" s="206" t="s">
        <v>269</v>
      </c>
      <c r="F711" s="129" t="s">
        <v>1138</v>
      </c>
      <c r="G711" s="198">
        <v>-50</v>
      </c>
      <c r="J711" s="118"/>
    </row>
    <row r="712" spans="1:10" ht="15.6" x14ac:dyDescent="0.3">
      <c r="A712" s="127">
        <v>707</v>
      </c>
      <c r="B712" s="128">
        <v>43552</v>
      </c>
      <c r="C712" s="129" t="s">
        <v>42</v>
      </c>
      <c r="D712" s="129" t="s">
        <v>1521</v>
      </c>
      <c r="E712" s="206" t="s">
        <v>269</v>
      </c>
      <c r="F712" s="129" t="s">
        <v>1138</v>
      </c>
      <c r="G712" s="198">
        <v>-50</v>
      </c>
      <c r="J712" s="118"/>
    </row>
    <row r="713" spans="1:10" ht="15.6" x14ac:dyDescent="0.3">
      <c r="A713" s="127">
        <v>708</v>
      </c>
      <c r="B713" s="128">
        <v>43554</v>
      </c>
      <c r="C713" s="129" t="s">
        <v>145</v>
      </c>
      <c r="D713" s="129" t="s">
        <v>1516</v>
      </c>
      <c r="E713" s="206" t="s">
        <v>269</v>
      </c>
      <c r="F713" s="129" t="s">
        <v>1138</v>
      </c>
      <c r="G713" s="198">
        <v>-1000</v>
      </c>
      <c r="J713" s="118"/>
    </row>
    <row r="714" spans="1:10" ht="15.6" x14ac:dyDescent="0.3">
      <c r="A714" s="127">
        <v>709</v>
      </c>
      <c r="B714" s="128">
        <v>43554</v>
      </c>
      <c r="C714" s="129" t="s">
        <v>161</v>
      </c>
      <c r="D714" s="129" t="s">
        <v>1516</v>
      </c>
      <c r="E714" s="206" t="s">
        <v>269</v>
      </c>
      <c r="F714" s="129" t="s">
        <v>1138</v>
      </c>
      <c r="G714" s="198">
        <v>-7000</v>
      </c>
      <c r="J714" s="118"/>
    </row>
    <row r="715" spans="1:10" ht="15.6" x14ac:dyDescent="0.3">
      <c r="A715" s="127">
        <v>710</v>
      </c>
      <c r="B715" s="128">
        <v>43554</v>
      </c>
      <c r="C715" s="129" t="s">
        <v>162</v>
      </c>
      <c r="D715" s="129" t="s">
        <v>1516</v>
      </c>
      <c r="E715" s="206" t="s">
        <v>269</v>
      </c>
      <c r="F715" s="129" t="s">
        <v>1138</v>
      </c>
      <c r="G715" s="198">
        <v>-2500</v>
      </c>
      <c r="J715" s="118"/>
    </row>
    <row r="716" spans="1:10" ht="15.6" x14ac:dyDescent="0.3">
      <c r="A716" s="127">
        <v>711</v>
      </c>
      <c r="B716" s="128">
        <v>43554</v>
      </c>
      <c r="C716" s="129" t="s">
        <v>1626</v>
      </c>
      <c r="D716" s="129" t="s">
        <v>1516</v>
      </c>
      <c r="E716" s="206" t="s">
        <v>269</v>
      </c>
      <c r="F716" s="129" t="s">
        <v>1138</v>
      </c>
      <c r="G716" s="198">
        <v>-4800</v>
      </c>
      <c r="J716" s="118"/>
    </row>
    <row r="717" spans="1:10" ht="15.6" x14ac:dyDescent="0.3">
      <c r="A717" s="127">
        <v>712</v>
      </c>
      <c r="B717" s="128">
        <v>43554</v>
      </c>
      <c r="C717" s="129" t="s">
        <v>145</v>
      </c>
      <c r="D717" s="129" t="s">
        <v>1516</v>
      </c>
      <c r="E717" s="206" t="s">
        <v>269</v>
      </c>
      <c r="F717" s="129" t="s">
        <v>1138</v>
      </c>
      <c r="G717" s="198">
        <v>-300</v>
      </c>
      <c r="J717" s="118"/>
    </row>
    <row r="718" spans="1:10" ht="15.6" x14ac:dyDescent="0.3">
      <c r="A718" s="127">
        <v>713</v>
      </c>
      <c r="B718" s="128">
        <v>43554</v>
      </c>
      <c r="C718" s="129" t="s">
        <v>42</v>
      </c>
      <c r="D718" s="129" t="s">
        <v>1521</v>
      </c>
      <c r="E718" s="206" t="s">
        <v>269</v>
      </c>
      <c r="F718" s="129" t="s">
        <v>1138</v>
      </c>
      <c r="G718" s="198">
        <v>-50</v>
      </c>
      <c r="J718" s="118"/>
    </row>
    <row r="719" spans="1:10" ht="15.6" x14ac:dyDescent="0.3">
      <c r="A719" s="127">
        <v>714</v>
      </c>
      <c r="B719" s="128">
        <v>43555</v>
      </c>
      <c r="C719" s="129" t="s">
        <v>42</v>
      </c>
      <c r="D719" s="129" t="s">
        <v>1521</v>
      </c>
      <c r="E719" s="206" t="s">
        <v>269</v>
      </c>
      <c r="F719" s="129" t="s">
        <v>1138</v>
      </c>
      <c r="G719" s="198">
        <v>-50</v>
      </c>
      <c r="J719" s="118"/>
    </row>
    <row r="720" spans="1:10" ht="15.6" x14ac:dyDescent="0.3">
      <c r="A720" s="127">
        <v>715</v>
      </c>
      <c r="B720" s="128">
        <v>43557</v>
      </c>
      <c r="C720" s="129" t="s">
        <v>119</v>
      </c>
      <c r="D720" s="129" t="s">
        <v>1521</v>
      </c>
      <c r="E720" s="206" t="s">
        <v>269</v>
      </c>
      <c r="F720" s="129" t="s">
        <v>1138</v>
      </c>
      <c r="G720" s="198">
        <v>-70</v>
      </c>
      <c r="J720" s="118"/>
    </row>
    <row r="721" spans="1:10" ht="15.6" x14ac:dyDescent="0.3">
      <c r="A721" s="127">
        <v>716</v>
      </c>
      <c r="B721" s="128">
        <v>43557</v>
      </c>
      <c r="C721" s="129" t="s">
        <v>42</v>
      </c>
      <c r="D721" s="129" t="s">
        <v>1521</v>
      </c>
      <c r="E721" s="206" t="s">
        <v>269</v>
      </c>
      <c r="F721" s="129" t="s">
        <v>1138</v>
      </c>
      <c r="G721" s="198">
        <v>-50</v>
      </c>
      <c r="J721" s="118"/>
    </row>
    <row r="722" spans="1:10" ht="15.6" x14ac:dyDescent="0.3">
      <c r="A722" s="127">
        <v>717</v>
      </c>
      <c r="B722" s="128">
        <v>43557</v>
      </c>
      <c r="C722" s="129" t="s">
        <v>1627</v>
      </c>
      <c r="D722" s="129" t="s">
        <v>1516</v>
      </c>
      <c r="E722" s="206" t="s">
        <v>269</v>
      </c>
      <c r="F722" s="129" t="s">
        <v>1138</v>
      </c>
      <c r="G722" s="198">
        <v>-15200</v>
      </c>
      <c r="J722" s="118"/>
    </row>
    <row r="723" spans="1:10" ht="15.6" x14ac:dyDescent="0.3">
      <c r="A723" s="127">
        <v>718</v>
      </c>
      <c r="B723" s="128">
        <v>43557</v>
      </c>
      <c r="C723" s="129" t="s">
        <v>1628</v>
      </c>
      <c r="D723" s="129" t="s">
        <v>1516</v>
      </c>
      <c r="E723" s="206" t="s">
        <v>269</v>
      </c>
      <c r="F723" s="129" t="s">
        <v>1138</v>
      </c>
      <c r="G723" s="198">
        <v>-1700</v>
      </c>
      <c r="J723" s="118"/>
    </row>
    <row r="724" spans="1:10" ht="15.6" x14ac:dyDescent="0.3">
      <c r="A724" s="127">
        <v>719</v>
      </c>
      <c r="B724" s="128">
        <v>43557</v>
      </c>
      <c r="C724" s="129" t="s">
        <v>1629</v>
      </c>
      <c r="D724" s="129" t="s">
        <v>1516</v>
      </c>
      <c r="E724" s="206" t="s">
        <v>269</v>
      </c>
      <c r="F724" s="129" t="s">
        <v>1138</v>
      </c>
      <c r="G724" s="198">
        <v>-5600</v>
      </c>
      <c r="J724" s="118"/>
    </row>
    <row r="725" spans="1:10" ht="15.6" x14ac:dyDescent="0.3">
      <c r="A725" s="127">
        <v>720</v>
      </c>
      <c r="B725" s="128">
        <v>43558</v>
      </c>
      <c r="C725" s="129" t="s">
        <v>42</v>
      </c>
      <c r="D725" s="129" t="s">
        <v>1521</v>
      </c>
      <c r="E725" s="206" t="s">
        <v>269</v>
      </c>
      <c r="F725" s="129" t="s">
        <v>1138</v>
      </c>
      <c r="G725" s="198">
        <v>-50</v>
      </c>
      <c r="J725" s="118"/>
    </row>
    <row r="726" spans="1:10" ht="15.6" x14ac:dyDescent="0.3">
      <c r="A726" s="127">
        <v>721</v>
      </c>
      <c r="B726" s="128">
        <v>43559</v>
      </c>
      <c r="C726" s="129" t="s">
        <v>42</v>
      </c>
      <c r="D726" s="129" t="s">
        <v>1521</v>
      </c>
      <c r="E726" s="206" t="s">
        <v>269</v>
      </c>
      <c r="F726" s="129" t="s">
        <v>1138</v>
      </c>
      <c r="G726" s="198">
        <v>-50</v>
      </c>
      <c r="J726" s="118"/>
    </row>
    <row r="727" spans="1:10" ht="15.6" x14ac:dyDescent="0.3">
      <c r="A727" s="127">
        <v>722</v>
      </c>
      <c r="B727" s="128">
        <v>43559</v>
      </c>
      <c r="C727" s="133" t="s">
        <v>1622</v>
      </c>
      <c r="D727" s="133" t="s">
        <v>1520</v>
      </c>
      <c r="E727" s="206" t="s">
        <v>269</v>
      </c>
      <c r="F727" s="133" t="s">
        <v>1148</v>
      </c>
      <c r="G727" s="141">
        <v>100000</v>
      </c>
      <c r="J727" s="118"/>
    </row>
    <row r="728" spans="1:10" ht="15.6" x14ac:dyDescent="0.3">
      <c r="A728" s="127">
        <v>723</v>
      </c>
      <c r="B728" s="128">
        <v>43559</v>
      </c>
      <c r="C728" s="129" t="s">
        <v>1630</v>
      </c>
      <c r="D728" s="129" t="s">
        <v>1517</v>
      </c>
      <c r="E728" s="206" t="s">
        <v>269</v>
      </c>
      <c r="F728" s="129" t="s">
        <v>1138</v>
      </c>
      <c r="G728" s="198">
        <v>-60000</v>
      </c>
      <c r="J728" s="118"/>
    </row>
    <row r="729" spans="1:10" ht="15.6" x14ac:dyDescent="0.3">
      <c r="A729" s="127">
        <v>724</v>
      </c>
      <c r="B729" s="128">
        <v>43560</v>
      </c>
      <c r="C729" s="129" t="s">
        <v>172</v>
      </c>
      <c r="D729" s="129" t="s">
        <v>1521</v>
      </c>
      <c r="E729" s="206" t="s">
        <v>269</v>
      </c>
      <c r="F729" s="129" t="s">
        <v>1138</v>
      </c>
      <c r="G729" s="198">
        <v>-350</v>
      </c>
      <c r="J729" s="118"/>
    </row>
    <row r="730" spans="1:10" ht="15.6" x14ac:dyDescent="0.3">
      <c r="A730" s="127">
        <v>725</v>
      </c>
      <c r="B730" s="128">
        <v>43560</v>
      </c>
      <c r="C730" s="129" t="s">
        <v>1548</v>
      </c>
      <c r="D730" s="129" t="s">
        <v>1526</v>
      </c>
      <c r="E730" s="206" t="s">
        <v>269</v>
      </c>
      <c r="F730" s="129" t="s">
        <v>1138</v>
      </c>
      <c r="G730" s="198">
        <v>-30000</v>
      </c>
      <c r="J730" s="118"/>
    </row>
    <row r="731" spans="1:10" ht="15.6" x14ac:dyDescent="0.3">
      <c r="A731" s="127">
        <v>726</v>
      </c>
      <c r="B731" s="128">
        <v>43561</v>
      </c>
      <c r="C731" s="129" t="s">
        <v>69</v>
      </c>
      <c r="D731" s="129" t="s">
        <v>1524</v>
      </c>
      <c r="E731" s="206" t="s">
        <v>269</v>
      </c>
      <c r="F731" s="129" t="s">
        <v>1138</v>
      </c>
      <c r="G731" s="198">
        <v>-15000</v>
      </c>
      <c r="J731" s="118"/>
    </row>
    <row r="732" spans="1:10" ht="15.6" x14ac:dyDescent="0.3">
      <c r="A732" s="127">
        <v>727</v>
      </c>
      <c r="B732" s="128">
        <v>43562</v>
      </c>
      <c r="C732" s="129" t="s">
        <v>173</v>
      </c>
      <c r="D732" s="129" t="s">
        <v>1516</v>
      </c>
      <c r="E732" s="206" t="s">
        <v>269</v>
      </c>
      <c r="F732" s="129" t="s">
        <v>1138</v>
      </c>
      <c r="G732" s="198">
        <v>-1000</v>
      </c>
      <c r="J732" s="118"/>
    </row>
    <row r="733" spans="1:10" ht="15.6" x14ac:dyDescent="0.3">
      <c r="A733" s="127">
        <v>728</v>
      </c>
      <c r="B733" s="128">
        <v>43562</v>
      </c>
      <c r="C733" s="129" t="s">
        <v>174</v>
      </c>
      <c r="D733" s="129" t="s">
        <v>1516</v>
      </c>
      <c r="E733" s="206" t="s">
        <v>269</v>
      </c>
      <c r="F733" s="129" t="s">
        <v>1138</v>
      </c>
      <c r="G733" s="198">
        <v>-1000</v>
      </c>
      <c r="J733" s="118"/>
    </row>
    <row r="734" spans="1:10" ht="15.6" x14ac:dyDescent="0.3">
      <c r="A734" s="127">
        <v>729</v>
      </c>
      <c r="B734" s="128">
        <v>43562</v>
      </c>
      <c r="C734" s="133" t="s">
        <v>1631</v>
      </c>
      <c r="D734" s="133" t="s">
        <v>1520</v>
      </c>
      <c r="E734" s="206" t="s">
        <v>269</v>
      </c>
      <c r="F734" s="133" t="s">
        <v>1148</v>
      </c>
      <c r="G734" s="141">
        <v>220000</v>
      </c>
      <c r="J734" s="118"/>
    </row>
    <row r="735" spans="1:10" ht="15.6" x14ac:dyDescent="0.3">
      <c r="A735" s="127">
        <v>730</v>
      </c>
      <c r="B735" s="128">
        <v>43562</v>
      </c>
      <c r="C735" s="129" t="s">
        <v>1632</v>
      </c>
      <c r="D735" s="129" t="s">
        <v>1526</v>
      </c>
      <c r="E735" s="206" t="s">
        <v>269</v>
      </c>
      <c r="F735" s="129" t="s">
        <v>1138</v>
      </c>
      <c r="G735" s="198">
        <v>-150000</v>
      </c>
      <c r="J735" s="118"/>
    </row>
    <row r="736" spans="1:10" ht="15.6" x14ac:dyDescent="0.3">
      <c r="A736" s="127">
        <v>731</v>
      </c>
      <c r="B736" s="128">
        <v>43562</v>
      </c>
      <c r="C736" s="129" t="s">
        <v>26</v>
      </c>
      <c r="D736" s="129" t="s">
        <v>1522</v>
      </c>
      <c r="E736" s="206" t="s">
        <v>269</v>
      </c>
      <c r="F736" s="129" t="s">
        <v>1138</v>
      </c>
      <c r="G736" s="198">
        <v>-10000</v>
      </c>
      <c r="J736" s="118"/>
    </row>
    <row r="737" spans="1:10" ht="15.6" x14ac:dyDescent="0.3">
      <c r="A737" s="127">
        <v>732</v>
      </c>
      <c r="B737" s="128">
        <v>43562</v>
      </c>
      <c r="C737" s="129" t="s">
        <v>69</v>
      </c>
      <c r="D737" s="129" t="s">
        <v>1524</v>
      </c>
      <c r="E737" s="206" t="s">
        <v>269</v>
      </c>
      <c r="F737" s="129" t="s">
        <v>1138</v>
      </c>
      <c r="G737" s="198">
        <v>-5000</v>
      </c>
      <c r="J737" s="118"/>
    </row>
    <row r="738" spans="1:10" ht="15.6" x14ac:dyDescent="0.3">
      <c r="A738" s="127">
        <v>733</v>
      </c>
      <c r="B738" s="128">
        <v>43562</v>
      </c>
      <c r="C738" s="129" t="s">
        <v>113</v>
      </c>
      <c r="D738" s="129" t="s">
        <v>1529</v>
      </c>
      <c r="E738" s="206" t="s">
        <v>269</v>
      </c>
      <c r="F738" s="129" t="s">
        <v>1138</v>
      </c>
      <c r="G738" s="198">
        <v>-10000</v>
      </c>
      <c r="J738" s="118"/>
    </row>
    <row r="739" spans="1:10" ht="15.6" x14ac:dyDescent="0.3">
      <c r="A739" s="127">
        <v>734</v>
      </c>
      <c r="B739" s="128">
        <v>43562</v>
      </c>
      <c r="C739" s="129" t="s">
        <v>173</v>
      </c>
      <c r="D739" s="129" t="s">
        <v>1516</v>
      </c>
      <c r="E739" s="206" t="s">
        <v>269</v>
      </c>
      <c r="F739" s="129" t="s">
        <v>1138</v>
      </c>
      <c r="G739" s="198">
        <v>-2000</v>
      </c>
      <c r="J739" s="118"/>
    </row>
    <row r="740" spans="1:10" ht="15.6" x14ac:dyDescent="0.3">
      <c r="A740" s="127">
        <v>735</v>
      </c>
      <c r="B740" s="128">
        <v>43562</v>
      </c>
      <c r="C740" s="129" t="s">
        <v>174</v>
      </c>
      <c r="D740" s="129" t="s">
        <v>1516</v>
      </c>
      <c r="E740" s="206" t="s">
        <v>269</v>
      </c>
      <c r="F740" s="129" t="s">
        <v>1138</v>
      </c>
      <c r="G740" s="198">
        <v>-1000</v>
      </c>
      <c r="J740" s="118"/>
    </row>
    <row r="741" spans="1:10" ht="15.6" x14ac:dyDescent="0.3">
      <c r="A741" s="127">
        <v>736</v>
      </c>
      <c r="B741" s="128">
        <v>43562</v>
      </c>
      <c r="C741" s="129" t="s">
        <v>119</v>
      </c>
      <c r="D741" s="129" t="s">
        <v>1521</v>
      </c>
      <c r="E741" s="206" t="s">
        <v>269</v>
      </c>
      <c r="F741" s="129" t="s">
        <v>1138</v>
      </c>
      <c r="G741" s="198">
        <v>-70</v>
      </c>
      <c r="J741" s="118"/>
    </row>
    <row r="742" spans="1:10" ht="15.6" x14ac:dyDescent="0.3">
      <c r="A742" s="127">
        <v>737</v>
      </c>
      <c r="B742" s="128">
        <v>43562</v>
      </c>
      <c r="C742" s="129" t="s">
        <v>102</v>
      </c>
      <c r="D742" s="129" t="s">
        <v>1471</v>
      </c>
      <c r="E742" s="206" t="s">
        <v>269</v>
      </c>
      <c r="F742" s="129" t="s">
        <v>1138</v>
      </c>
      <c r="G742" s="198">
        <v>-31000</v>
      </c>
      <c r="J742" s="118"/>
    </row>
    <row r="743" spans="1:10" ht="15.6" x14ac:dyDescent="0.3">
      <c r="A743" s="127">
        <v>738</v>
      </c>
      <c r="B743" s="128">
        <v>43597</v>
      </c>
      <c r="C743" s="129" t="s">
        <v>113</v>
      </c>
      <c r="D743" s="129" t="s">
        <v>1529</v>
      </c>
      <c r="E743" s="206" t="s">
        <v>269</v>
      </c>
      <c r="F743" s="129" t="s">
        <v>1138</v>
      </c>
      <c r="G743" s="198">
        <v>-500</v>
      </c>
      <c r="J743" s="118"/>
    </row>
    <row r="744" spans="1:10" ht="15.6" x14ac:dyDescent="0.3">
      <c r="A744" s="127">
        <v>739</v>
      </c>
      <c r="B744" s="128">
        <v>43571</v>
      </c>
      <c r="C744" s="129" t="s">
        <v>173</v>
      </c>
      <c r="D744" s="129" t="s">
        <v>1516</v>
      </c>
      <c r="E744" s="206" t="s">
        <v>269</v>
      </c>
      <c r="F744" s="129" t="s">
        <v>1138</v>
      </c>
      <c r="G744" s="198">
        <v>-1000</v>
      </c>
      <c r="J744" s="118"/>
    </row>
    <row r="745" spans="1:10" ht="15.6" x14ac:dyDescent="0.3">
      <c r="A745" s="127">
        <v>740</v>
      </c>
      <c r="B745" s="128">
        <v>43571</v>
      </c>
      <c r="C745" s="129" t="s">
        <v>174</v>
      </c>
      <c r="D745" s="129" t="s">
        <v>1516</v>
      </c>
      <c r="E745" s="206" t="s">
        <v>269</v>
      </c>
      <c r="F745" s="129" t="s">
        <v>1138</v>
      </c>
      <c r="G745" s="198">
        <v>-1000</v>
      </c>
      <c r="J745" s="118"/>
    </row>
    <row r="746" spans="1:10" ht="15.6" x14ac:dyDescent="0.3">
      <c r="A746" s="127">
        <v>741</v>
      </c>
      <c r="B746" s="128">
        <v>43571</v>
      </c>
      <c r="C746" s="129" t="s">
        <v>86</v>
      </c>
      <c r="D746" s="129" t="s">
        <v>1521</v>
      </c>
      <c r="E746" s="206" t="s">
        <v>269</v>
      </c>
      <c r="F746" s="129" t="s">
        <v>1138</v>
      </c>
      <c r="G746" s="198">
        <v>-60</v>
      </c>
      <c r="J746" s="118"/>
    </row>
    <row r="747" spans="1:10" ht="15.6" x14ac:dyDescent="0.3">
      <c r="A747" s="127">
        <v>742</v>
      </c>
      <c r="B747" s="128">
        <v>43571</v>
      </c>
      <c r="C747" s="129" t="s">
        <v>174</v>
      </c>
      <c r="D747" s="129" t="s">
        <v>1516</v>
      </c>
      <c r="E747" s="206" t="s">
        <v>269</v>
      </c>
      <c r="F747" s="129" t="s">
        <v>1138</v>
      </c>
      <c r="G747" s="198">
        <v>-1000</v>
      </c>
      <c r="J747" s="118"/>
    </row>
    <row r="748" spans="1:10" ht="15.6" x14ac:dyDescent="0.3">
      <c r="A748" s="127">
        <v>743</v>
      </c>
      <c r="B748" s="128">
        <v>43572</v>
      </c>
      <c r="C748" s="133" t="s">
        <v>1622</v>
      </c>
      <c r="D748" s="133" t="s">
        <v>1520</v>
      </c>
      <c r="E748" s="206" t="s">
        <v>269</v>
      </c>
      <c r="F748" s="133" t="s">
        <v>1148</v>
      </c>
      <c r="G748" s="141">
        <v>200000</v>
      </c>
      <c r="J748" s="118"/>
    </row>
    <row r="749" spans="1:10" ht="15.6" x14ac:dyDescent="0.3">
      <c r="A749" s="127">
        <v>744</v>
      </c>
      <c r="B749" s="128">
        <v>43572</v>
      </c>
      <c r="C749" s="129" t="s">
        <v>1548</v>
      </c>
      <c r="D749" s="129" t="s">
        <v>1526</v>
      </c>
      <c r="E749" s="206" t="s">
        <v>269</v>
      </c>
      <c r="F749" s="129" t="s">
        <v>1138</v>
      </c>
      <c r="G749" s="198">
        <v>-100000</v>
      </c>
      <c r="J749" s="118"/>
    </row>
    <row r="750" spans="1:10" ht="15.6" x14ac:dyDescent="0.3">
      <c r="A750" s="127">
        <v>745</v>
      </c>
      <c r="B750" s="128">
        <v>43572</v>
      </c>
      <c r="C750" s="129" t="s">
        <v>113</v>
      </c>
      <c r="D750" s="129" t="s">
        <v>1529</v>
      </c>
      <c r="E750" s="206" t="s">
        <v>269</v>
      </c>
      <c r="F750" s="129" t="s">
        <v>1138</v>
      </c>
      <c r="G750" s="198">
        <v>-15000</v>
      </c>
      <c r="J750" s="118"/>
    </row>
    <row r="751" spans="1:10" ht="15.6" x14ac:dyDescent="0.3">
      <c r="A751" s="127">
        <v>746</v>
      </c>
      <c r="B751" s="128">
        <v>43572</v>
      </c>
      <c r="C751" s="129" t="s">
        <v>69</v>
      </c>
      <c r="D751" s="129" t="s">
        <v>1524</v>
      </c>
      <c r="E751" s="206" t="s">
        <v>269</v>
      </c>
      <c r="F751" s="129" t="s">
        <v>1138</v>
      </c>
      <c r="G751" s="198">
        <v>-30000</v>
      </c>
      <c r="J751" s="118"/>
    </row>
    <row r="752" spans="1:10" ht="15.6" x14ac:dyDescent="0.3">
      <c r="A752" s="127">
        <v>747</v>
      </c>
      <c r="B752" s="128">
        <v>43574</v>
      </c>
      <c r="C752" s="129" t="s">
        <v>1548</v>
      </c>
      <c r="D752" s="129" t="s">
        <v>1526</v>
      </c>
      <c r="E752" s="206" t="s">
        <v>269</v>
      </c>
      <c r="F752" s="129" t="s">
        <v>1138</v>
      </c>
      <c r="G752" s="198">
        <v>-5000</v>
      </c>
      <c r="J752" s="118"/>
    </row>
    <row r="753" spans="1:10" ht="15.6" x14ac:dyDescent="0.3">
      <c r="A753" s="127">
        <v>748</v>
      </c>
      <c r="B753" s="128">
        <v>43574</v>
      </c>
      <c r="C753" s="129" t="s">
        <v>173</v>
      </c>
      <c r="D753" s="129" t="s">
        <v>1516</v>
      </c>
      <c r="E753" s="206" t="s">
        <v>269</v>
      </c>
      <c r="F753" s="129" t="s">
        <v>1138</v>
      </c>
      <c r="G753" s="198">
        <v>-2000</v>
      </c>
      <c r="J753" s="118"/>
    </row>
    <row r="754" spans="1:10" ht="15.6" x14ac:dyDescent="0.3">
      <c r="A754" s="127">
        <v>749</v>
      </c>
      <c r="B754" s="128">
        <v>43574</v>
      </c>
      <c r="C754" s="129" t="s">
        <v>1633</v>
      </c>
      <c r="D754" s="129" t="s">
        <v>1516</v>
      </c>
      <c r="E754" s="206" t="s">
        <v>269</v>
      </c>
      <c r="F754" s="129" t="s">
        <v>1138</v>
      </c>
      <c r="G754" s="198">
        <v>-10450</v>
      </c>
      <c r="J754" s="118"/>
    </row>
    <row r="755" spans="1:10" ht="15.6" x14ac:dyDescent="0.3">
      <c r="A755" s="127">
        <v>750</v>
      </c>
      <c r="B755" s="128">
        <v>43574</v>
      </c>
      <c r="C755" s="129" t="s">
        <v>1634</v>
      </c>
      <c r="D755" s="129" t="s">
        <v>1521</v>
      </c>
      <c r="E755" s="206" t="s">
        <v>269</v>
      </c>
      <c r="F755" s="129" t="s">
        <v>1138</v>
      </c>
      <c r="G755" s="198">
        <v>-700</v>
      </c>
      <c r="J755" s="118"/>
    </row>
    <row r="756" spans="1:10" ht="15.6" x14ac:dyDescent="0.3">
      <c r="A756" s="127">
        <v>751</v>
      </c>
      <c r="B756" s="128">
        <v>43574</v>
      </c>
      <c r="C756" s="129" t="s">
        <v>1635</v>
      </c>
      <c r="D756" s="129" t="s">
        <v>1471</v>
      </c>
      <c r="E756" s="206" t="s">
        <v>269</v>
      </c>
      <c r="F756" s="129" t="s">
        <v>1138</v>
      </c>
      <c r="G756" s="198">
        <v>-220</v>
      </c>
      <c r="J756" s="118"/>
    </row>
    <row r="757" spans="1:10" ht="15.6" x14ac:dyDescent="0.3">
      <c r="A757" s="127">
        <v>752</v>
      </c>
      <c r="B757" s="128">
        <v>43577</v>
      </c>
      <c r="C757" s="129" t="s">
        <v>42</v>
      </c>
      <c r="D757" s="129" t="s">
        <v>1521</v>
      </c>
      <c r="E757" s="206" t="s">
        <v>269</v>
      </c>
      <c r="F757" s="129" t="s">
        <v>1138</v>
      </c>
      <c r="G757" s="198">
        <v>-100</v>
      </c>
      <c r="J757" s="118"/>
    </row>
    <row r="758" spans="1:10" ht="15.6" x14ac:dyDescent="0.3">
      <c r="A758" s="127">
        <v>753</v>
      </c>
      <c r="B758" s="128">
        <v>43577</v>
      </c>
      <c r="C758" s="129" t="s">
        <v>173</v>
      </c>
      <c r="D758" s="129" t="s">
        <v>1516</v>
      </c>
      <c r="E758" s="206" t="s">
        <v>269</v>
      </c>
      <c r="F758" s="129" t="s">
        <v>1138</v>
      </c>
      <c r="G758" s="198">
        <v>-2000</v>
      </c>
      <c r="J758" s="118"/>
    </row>
    <row r="759" spans="1:10" ht="15.6" x14ac:dyDescent="0.3">
      <c r="A759" s="127">
        <v>754</v>
      </c>
      <c r="B759" s="128">
        <v>43577</v>
      </c>
      <c r="C759" s="133" t="s">
        <v>1622</v>
      </c>
      <c r="D759" s="133" t="s">
        <v>1520</v>
      </c>
      <c r="E759" s="206" t="s">
        <v>269</v>
      </c>
      <c r="F759" s="133" t="s">
        <v>1148</v>
      </c>
      <c r="G759" s="141">
        <v>150000</v>
      </c>
      <c r="J759" s="118"/>
    </row>
    <row r="760" spans="1:10" ht="15.6" x14ac:dyDescent="0.3">
      <c r="A760" s="127">
        <v>755</v>
      </c>
      <c r="B760" s="128">
        <v>43577</v>
      </c>
      <c r="C760" s="129" t="s">
        <v>1548</v>
      </c>
      <c r="D760" s="129" t="s">
        <v>1526</v>
      </c>
      <c r="E760" s="206" t="s">
        <v>269</v>
      </c>
      <c r="F760" s="129" t="s">
        <v>1138</v>
      </c>
      <c r="G760" s="198">
        <v>-150000</v>
      </c>
      <c r="J760" s="118"/>
    </row>
    <row r="761" spans="1:10" ht="15.6" x14ac:dyDescent="0.3">
      <c r="A761" s="127">
        <v>756</v>
      </c>
      <c r="B761" s="128">
        <v>43577</v>
      </c>
      <c r="C761" s="129" t="s">
        <v>1537</v>
      </c>
      <c r="D761" s="214" t="s">
        <v>1535</v>
      </c>
      <c r="E761" s="215" t="s">
        <v>1137</v>
      </c>
      <c r="F761" s="129" t="s">
        <v>1535</v>
      </c>
      <c r="G761" s="197">
        <v>3600</v>
      </c>
      <c r="J761" s="118"/>
    </row>
    <row r="762" spans="1:10" ht="15.6" x14ac:dyDescent="0.3">
      <c r="A762" s="127">
        <v>757</v>
      </c>
      <c r="B762" s="128">
        <v>43577</v>
      </c>
      <c r="C762" s="129" t="s">
        <v>1636</v>
      </c>
      <c r="D762" s="129" t="s">
        <v>1516</v>
      </c>
      <c r="E762" s="206" t="s">
        <v>269</v>
      </c>
      <c r="F762" s="129" t="s">
        <v>1138</v>
      </c>
      <c r="G762" s="198">
        <v>-2000</v>
      </c>
      <c r="H762" s="160">
        <v>3600</v>
      </c>
      <c r="J762" s="118"/>
    </row>
    <row r="763" spans="1:10" ht="15.6" x14ac:dyDescent="0.3">
      <c r="A763" s="127">
        <v>758</v>
      </c>
      <c r="B763" s="128">
        <v>43578</v>
      </c>
      <c r="C763" s="129" t="s">
        <v>1637</v>
      </c>
      <c r="D763" s="129" t="s">
        <v>1526</v>
      </c>
      <c r="E763" s="206" t="s">
        <v>269</v>
      </c>
      <c r="F763" s="129" t="s">
        <v>1138</v>
      </c>
      <c r="G763" s="198">
        <v>-55000</v>
      </c>
      <c r="J763" s="118"/>
    </row>
    <row r="764" spans="1:10" ht="15.6" x14ac:dyDescent="0.3">
      <c r="A764" s="127">
        <v>759</v>
      </c>
      <c r="B764" s="128">
        <v>43578</v>
      </c>
      <c r="C764" s="129" t="s">
        <v>1636</v>
      </c>
      <c r="D764" s="129" t="s">
        <v>1516</v>
      </c>
      <c r="E764" s="206" t="s">
        <v>269</v>
      </c>
      <c r="F764" s="129" t="s">
        <v>1138</v>
      </c>
      <c r="G764" s="198">
        <v>-3000</v>
      </c>
    </row>
    <row r="765" spans="1:10" ht="15.6" x14ac:dyDescent="0.3">
      <c r="A765" s="127">
        <v>760</v>
      </c>
      <c r="B765" s="128">
        <v>43578</v>
      </c>
      <c r="C765" s="129" t="s">
        <v>173</v>
      </c>
      <c r="D765" s="129" t="s">
        <v>1516</v>
      </c>
      <c r="E765" s="206" t="s">
        <v>269</v>
      </c>
      <c r="F765" s="129" t="s">
        <v>1138</v>
      </c>
      <c r="G765" s="198">
        <v>-2000</v>
      </c>
      <c r="J765" s="118"/>
    </row>
    <row r="766" spans="1:10" ht="15.6" x14ac:dyDescent="0.3">
      <c r="A766" s="127">
        <v>761</v>
      </c>
      <c r="B766" s="128">
        <v>43578</v>
      </c>
      <c r="C766" s="129" t="s">
        <v>42</v>
      </c>
      <c r="D766" s="129" t="s">
        <v>1521</v>
      </c>
      <c r="E766" s="206" t="s">
        <v>269</v>
      </c>
      <c r="F766" s="129" t="s">
        <v>1138</v>
      </c>
      <c r="G766" s="198">
        <v>-100</v>
      </c>
      <c r="J766" s="118"/>
    </row>
    <row r="767" spans="1:10" ht="15.6" x14ac:dyDescent="0.3">
      <c r="A767" s="127">
        <v>762</v>
      </c>
      <c r="B767" s="128">
        <v>43579</v>
      </c>
      <c r="C767" s="133" t="s">
        <v>1638</v>
      </c>
      <c r="D767" s="133" t="s">
        <v>1520</v>
      </c>
      <c r="E767" s="206" t="s">
        <v>269</v>
      </c>
      <c r="F767" s="133" t="s">
        <v>1148</v>
      </c>
      <c r="G767" s="141">
        <v>100000</v>
      </c>
      <c r="J767" s="118"/>
    </row>
    <row r="768" spans="1:10" ht="15.6" x14ac:dyDescent="0.3">
      <c r="A768" s="127">
        <v>763</v>
      </c>
      <c r="B768" s="128">
        <v>43579</v>
      </c>
      <c r="C768" s="129" t="s">
        <v>113</v>
      </c>
      <c r="D768" s="129" t="s">
        <v>1529</v>
      </c>
      <c r="E768" s="206" t="s">
        <v>269</v>
      </c>
      <c r="F768" s="129" t="s">
        <v>1138</v>
      </c>
      <c r="G768" s="198">
        <v>-50000</v>
      </c>
      <c r="J768" s="118"/>
    </row>
    <row r="769" spans="1:10" ht="15.6" x14ac:dyDescent="0.3">
      <c r="A769" s="127">
        <v>764</v>
      </c>
      <c r="B769" s="128">
        <v>43579</v>
      </c>
      <c r="C769" s="129" t="s">
        <v>50</v>
      </c>
      <c r="D769" s="129" t="s">
        <v>1527</v>
      </c>
      <c r="E769" s="206" t="s">
        <v>269</v>
      </c>
      <c r="F769" s="129" t="s">
        <v>1138</v>
      </c>
      <c r="G769" s="198">
        <v>-6300</v>
      </c>
      <c r="J769" s="118"/>
    </row>
    <row r="770" spans="1:10" ht="15.6" x14ac:dyDescent="0.3">
      <c r="A770" s="127">
        <v>765</v>
      </c>
      <c r="B770" s="128">
        <v>43582</v>
      </c>
      <c r="C770" s="129" t="s">
        <v>1536</v>
      </c>
      <c r="D770" s="214" t="s">
        <v>1535</v>
      </c>
      <c r="E770" s="213" t="s">
        <v>1137</v>
      </c>
      <c r="F770" s="129" t="s">
        <v>1535</v>
      </c>
      <c r="G770" s="195">
        <v>20000</v>
      </c>
      <c r="J770" s="118"/>
    </row>
    <row r="771" spans="1:10" ht="15.6" x14ac:dyDescent="0.3">
      <c r="A771" s="127">
        <v>766</v>
      </c>
      <c r="B771" s="128">
        <v>43582</v>
      </c>
      <c r="C771" s="129" t="s">
        <v>1548</v>
      </c>
      <c r="D771" s="129" t="s">
        <v>1526</v>
      </c>
      <c r="E771" s="206" t="s">
        <v>269</v>
      </c>
      <c r="F771" s="129" t="s">
        <v>1138</v>
      </c>
      <c r="G771" s="198">
        <v>-15000</v>
      </c>
      <c r="H771" s="160">
        <v>20000</v>
      </c>
      <c r="J771" s="118"/>
    </row>
    <row r="772" spans="1:10" ht="15.6" x14ac:dyDescent="0.3">
      <c r="A772" s="127">
        <v>767</v>
      </c>
      <c r="B772" s="128">
        <v>43582</v>
      </c>
      <c r="C772" s="133" t="s">
        <v>1622</v>
      </c>
      <c r="D772" s="133" t="s">
        <v>1520</v>
      </c>
      <c r="E772" s="206" t="s">
        <v>269</v>
      </c>
      <c r="F772" s="133" t="s">
        <v>1148</v>
      </c>
      <c r="G772" s="141">
        <v>30000</v>
      </c>
      <c r="J772" s="118"/>
    </row>
    <row r="773" spans="1:10" ht="15.6" x14ac:dyDescent="0.3">
      <c r="A773" s="127">
        <v>768</v>
      </c>
      <c r="B773" s="128">
        <v>43582</v>
      </c>
      <c r="C773" s="129" t="s">
        <v>1639</v>
      </c>
      <c r="D773" s="129" t="s">
        <v>1526</v>
      </c>
      <c r="E773" s="206" t="s">
        <v>269</v>
      </c>
      <c r="F773" s="129" t="s">
        <v>1138</v>
      </c>
      <c r="G773" s="198">
        <v>-20000</v>
      </c>
    </row>
    <row r="774" spans="1:10" ht="15.6" x14ac:dyDescent="0.3">
      <c r="A774" s="127">
        <v>769</v>
      </c>
      <c r="B774" s="128">
        <v>43583</v>
      </c>
      <c r="C774" s="129" t="s">
        <v>42</v>
      </c>
      <c r="D774" s="129" t="s">
        <v>1521</v>
      </c>
      <c r="E774" s="206" t="s">
        <v>269</v>
      </c>
      <c r="F774" s="129" t="s">
        <v>1138</v>
      </c>
      <c r="G774" s="198">
        <v>-125</v>
      </c>
      <c r="J774" s="118"/>
    </row>
    <row r="775" spans="1:10" ht="15.6" x14ac:dyDescent="0.3">
      <c r="A775" s="127">
        <v>770</v>
      </c>
      <c r="B775" s="128">
        <v>43583</v>
      </c>
      <c r="C775" s="129" t="s">
        <v>86</v>
      </c>
      <c r="D775" s="129" t="s">
        <v>1521</v>
      </c>
      <c r="E775" s="206" t="s">
        <v>269</v>
      </c>
      <c r="F775" s="129" t="s">
        <v>1138</v>
      </c>
      <c r="G775" s="198">
        <v>-60</v>
      </c>
      <c r="J775" s="118"/>
    </row>
    <row r="776" spans="1:10" ht="15.6" x14ac:dyDescent="0.3">
      <c r="A776" s="127">
        <v>771</v>
      </c>
      <c r="B776" s="128">
        <v>43583</v>
      </c>
      <c r="C776" s="129" t="s">
        <v>185</v>
      </c>
      <c r="D776" s="129" t="s">
        <v>1516</v>
      </c>
      <c r="E776" s="206" t="s">
        <v>269</v>
      </c>
      <c r="F776" s="129" t="s">
        <v>1138</v>
      </c>
      <c r="G776" s="198">
        <v>-10000</v>
      </c>
      <c r="J776" s="118"/>
    </row>
    <row r="777" spans="1:10" ht="15.6" x14ac:dyDescent="0.3">
      <c r="A777" s="127">
        <v>772</v>
      </c>
      <c r="B777" s="128">
        <v>43583</v>
      </c>
      <c r="C777" s="129" t="s">
        <v>173</v>
      </c>
      <c r="D777" s="129" t="s">
        <v>1516</v>
      </c>
      <c r="E777" s="206" t="s">
        <v>269</v>
      </c>
      <c r="F777" s="129" t="s">
        <v>1138</v>
      </c>
      <c r="G777" s="198">
        <v>-2000</v>
      </c>
      <c r="J777" s="118"/>
    </row>
    <row r="778" spans="1:10" ht="15.6" x14ac:dyDescent="0.3">
      <c r="A778" s="127">
        <v>773</v>
      </c>
      <c r="B778" s="128">
        <v>43584</v>
      </c>
      <c r="C778" s="129" t="s">
        <v>26</v>
      </c>
      <c r="D778" s="129" t="s">
        <v>1522</v>
      </c>
      <c r="E778" s="206" t="s">
        <v>269</v>
      </c>
      <c r="F778" s="129" t="s">
        <v>1138</v>
      </c>
      <c r="G778" s="198">
        <v>-2000</v>
      </c>
      <c r="J778" s="118"/>
    </row>
    <row r="779" spans="1:10" ht="15.6" x14ac:dyDescent="0.3">
      <c r="A779" s="127">
        <v>774</v>
      </c>
      <c r="B779" s="128">
        <v>43584</v>
      </c>
      <c r="C779" s="129" t="s">
        <v>1635</v>
      </c>
      <c r="D779" s="129" t="s">
        <v>1471</v>
      </c>
      <c r="E779" s="206" t="s">
        <v>269</v>
      </c>
      <c r="F779" s="129" t="s">
        <v>1138</v>
      </c>
      <c r="G779" s="198">
        <v>-1240</v>
      </c>
      <c r="J779" s="118"/>
    </row>
    <row r="780" spans="1:10" ht="15.6" x14ac:dyDescent="0.3">
      <c r="A780" s="127">
        <v>775</v>
      </c>
      <c r="B780" s="128">
        <v>43584</v>
      </c>
      <c r="C780" s="129" t="s">
        <v>42</v>
      </c>
      <c r="D780" s="129" t="s">
        <v>1521</v>
      </c>
      <c r="E780" s="206" t="s">
        <v>269</v>
      </c>
      <c r="F780" s="129" t="s">
        <v>1138</v>
      </c>
      <c r="G780" s="198">
        <v>-100</v>
      </c>
      <c r="J780" s="118"/>
    </row>
    <row r="781" spans="1:10" ht="15.6" x14ac:dyDescent="0.3">
      <c r="A781" s="127">
        <v>776</v>
      </c>
      <c r="B781" s="128">
        <v>43585</v>
      </c>
      <c r="C781" s="129" t="s">
        <v>119</v>
      </c>
      <c r="D781" s="129" t="s">
        <v>1521</v>
      </c>
      <c r="E781" s="206" t="s">
        <v>269</v>
      </c>
      <c r="F781" s="129" t="s">
        <v>1138</v>
      </c>
      <c r="G781" s="198">
        <v>-120</v>
      </c>
      <c r="J781" s="118"/>
    </row>
    <row r="782" spans="1:10" ht="15.6" x14ac:dyDescent="0.3">
      <c r="A782" s="127">
        <v>777</v>
      </c>
      <c r="B782" s="128">
        <v>43585</v>
      </c>
      <c r="C782" s="129" t="s">
        <v>42</v>
      </c>
      <c r="D782" s="129" t="s">
        <v>1521</v>
      </c>
      <c r="E782" s="206" t="s">
        <v>269</v>
      </c>
      <c r="F782" s="129" t="s">
        <v>1138</v>
      </c>
      <c r="G782" s="198">
        <v>-50</v>
      </c>
      <c r="J782" s="118"/>
    </row>
    <row r="783" spans="1:10" ht="15.6" x14ac:dyDescent="0.3">
      <c r="A783" s="127">
        <v>778</v>
      </c>
      <c r="B783" s="128">
        <v>43586</v>
      </c>
      <c r="C783" s="129" t="s">
        <v>1548</v>
      </c>
      <c r="D783" s="129" t="s">
        <v>1526</v>
      </c>
      <c r="E783" s="206" t="s">
        <v>269</v>
      </c>
      <c r="F783" s="129" t="s">
        <v>1138</v>
      </c>
      <c r="G783" s="198">
        <v>-12000</v>
      </c>
      <c r="J783" s="118"/>
    </row>
    <row r="784" spans="1:10" ht="15.6" x14ac:dyDescent="0.3">
      <c r="A784" s="127">
        <v>779</v>
      </c>
      <c r="B784" s="128">
        <v>43586</v>
      </c>
      <c r="C784" s="129" t="s">
        <v>186</v>
      </c>
      <c r="D784" s="129" t="s">
        <v>1471</v>
      </c>
      <c r="E784" s="206" t="s">
        <v>269</v>
      </c>
      <c r="F784" s="129" t="s">
        <v>1138</v>
      </c>
      <c r="G784" s="198">
        <v>-2000</v>
      </c>
      <c r="J784" s="118"/>
    </row>
    <row r="785" spans="1:10" ht="15.6" x14ac:dyDescent="0.3">
      <c r="A785" s="127">
        <v>780</v>
      </c>
      <c r="B785" s="128">
        <v>43587</v>
      </c>
      <c r="C785" s="129" t="s">
        <v>69</v>
      </c>
      <c r="D785" s="129" t="s">
        <v>1524</v>
      </c>
      <c r="E785" s="206" t="s">
        <v>269</v>
      </c>
      <c r="F785" s="129" t="s">
        <v>1138</v>
      </c>
      <c r="G785" s="198">
        <v>-10000</v>
      </c>
      <c r="J785" s="118"/>
    </row>
    <row r="786" spans="1:10" ht="15.6" x14ac:dyDescent="0.3">
      <c r="A786" s="127">
        <v>781</v>
      </c>
      <c r="B786" s="128">
        <v>43587</v>
      </c>
      <c r="C786" s="129" t="s">
        <v>187</v>
      </c>
      <c r="D786" s="129" t="s">
        <v>1521</v>
      </c>
      <c r="E786" s="206" t="s">
        <v>269</v>
      </c>
      <c r="F786" s="129" t="s">
        <v>1138</v>
      </c>
      <c r="G786" s="198">
        <v>-120</v>
      </c>
      <c r="J786" s="118"/>
    </row>
    <row r="787" spans="1:10" ht="15.6" x14ac:dyDescent="0.3">
      <c r="A787" s="127">
        <v>782</v>
      </c>
      <c r="B787" s="128">
        <v>43587</v>
      </c>
      <c r="C787" s="129" t="s">
        <v>42</v>
      </c>
      <c r="D787" s="129" t="s">
        <v>1521</v>
      </c>
      <c r="E787" s="206" t="s">
        <v>269</v>
      </c>
      <c r="F787" s="129" t="s">
        <v>1138</v>
      </c>
      <c r="G787" s="198">
        <v>-50</v>
      </c>
      <c r="J787" s="118"/>
    </row>
    <row r="788" spans="1:10" ht="15.6" x14ac:dyDescent="0.3">
      <c r="A788" s="127">
        <v>783</v>
      </c>
      <c r="B788" s="128">
        <v>43587</v>
      </c>
      <c r="C788" s="129" t="s">
        <v>26</v>
      </c>
      <c r="D788" s="129" t="s">
        <v>1522</v>
      </c>
      <c r="E788" s="206" t="s">
        <v>269</v>
      </c>
      <c r="F788" s="129" t="s">
        <v>1138</v>
      </c>
      <c r="G788" s="198">
        <v>-5000</v>
      </c>
      <c r="J788" s="118"/>
    </row>
    <row r="789" spans="1:10" ht="15.6" x14ac:dyDescent="0.3">
      <c r="A789" s="127">
        <v>784</v>
      </c>
      <c r="B789" s="128">
        <v>43587</v>
      </c>
      <c r="C789" s="129" t="s">
        <v>188</v>
      </c>
      <c r="D789" s="129" t="s">
        <v>1516</v>
      </c>
      <c r="E789" s="206" t="s">
        <v>269</v>
      </c>
      <c r="F789" s="129" t="s">
        <v>1138</v>
      </c>
      <c r="G789" s="198">
        <v>-1000</v>
      </c>
      <c r="J789" s="118"/>
    </row>
    <row r="790" spans="1:10" ht="15.6" x14ac:dyDescent="0.3">
      <c r="A790" s="127">
        <v>785</v>
      </c>
      <c r="B790" s="128">
        <v>43588</v>
      </c>
      <c r="C790" s="129" t="s">
        <v>1548</v>
      </c>
      <c r="D790" s="129" t="s">
        <v>1526</v>
      </c>
      <c r="E790" s="206" t="s">
        <v>269</v>
      </c>
      <c r="F790" s="129" t="s">
        <v>1138</v>
      </c>
      <c r="G790" s="198">
        <v>-10000</v>
      </c>
      <c r="J790" s="118"/>
    </row>
    <row r="791" spans="1:10" ht="15.6" x14ac:dyDescent="0.3">
      <c r="A791" s="127">
        <v>786</v>
      </c>
      <c r="B791" s="128">
        <v>43588</v>
      </c>
      <c r="C791" s="129" t="s">
        <v>1635</v>
      </c>
      <c r="D791" s="129" t="s">
        <v>1471</v>
      </c>
      <c r="E791" s="206" t="s">
        <v>269</v>
      </c>
      <c r="F791" s="129" t="s">
        <v>1138</v>
      </c>
      <c r="G791" s="198">
        <v>-1000</v>
      </c>
      <c r="J791" s="118"/>
    </row>
    <row r="792" spans="1:10" ht="15.6" x14ac:dyDescent="0.3">
      <c r="A792" s="127">
        <v>787</v>
      </c>
      <c r="B792" s="128">
        <v>43588</v>
      </c>
      <c r="C792" s="129" t="s">
        <v>42</v>
      </c>
      <c r="D792" s="129" t="s">
        <v>1521</v>
      </c>
      <c r="E792" s="206" t="s">
        <v>269</v>
      </c>
      <c r="F792" s="129" t="s">
        <v>1138</v>
      </c>
      <c r="G792" s="198">
        <v>-50</v>
      </c>
      <c r="J792" s="118"/>
    </row>
    <row r="793" spans="1:10" ht="15.6" x14ac:dyDescent="0.3">
      <c r="A793" s="127">
        <v>788</v>
      </c>
      <c r="B793" s="128">
        <v>43589</v>
      </c>
      <c r="C793" s="129" t="s">
        <v>1548</v>
      </c>
      <c r="D793" s="129" t="s">
        <v>1526</v>
      </c>
      <c r="E793" s="206" t="s">
        <v>269</v>
      </c>
      <c r="F793" s="129" t="s">
        <v>1138</v>
      </c>
      <c r="G793" s="198">
        <v>-20000</v>
      </c>
      <c r="J793" s="118"/>
    </row>
    <row r="794" spans="1:10" ht="15.6" x14ac:dyDescent="0.3">
      <c r="A794" s="127">
        <v>789</v>
      </c>
      <c r="B794" s="128">
        <v>43589</v>
      </c>
      <c r="C794" s="130" t="s">
        <v>1640</v>
      </c>
      <c r="D794" s="130" t="s">
        <v>1530</v>
      </c>
      <c r="E794" s="206" t="s">
        <v>269</v>
      </c>
      <c r="F794" s="129" t="s">
        <v>1138</v>
      </c>
      <c r="G794" s="198">
        <v>-20000</v>
      </c>
      <c r="J794" s="118"/>
    </row>
    <row r="795" spans="1:10" ht="15.6" x14ac:dyDescent="0.3">
      <c r="A795" s="127">
        <v>790</v>
      </c>
      <c r="B795" s="128">
        <v>43589</v>
      </c>
      <c r="C795" s="129" t="s">
        <v>1641</v>
      </c>
      <c r="D795" s="129" t="s">
        <v>1516</v>
      </c>
      <c r="E795" s="206" t="s">
        <v>269</v>
      </c>
      <c r="F795" s="129" t="s">
        <v>1138</v>
      </c>
      <c r="G795" s="198">
        <v>-2550</v>
      </c>
      <c r="J795" s="118"/>
    </row>
    <row r="796" spans="1:10" ht="15.6" x14ac:dyDescent="0.3">
      <c r="A796" s="127">
        <v>791</v>
      </c>
      <c r="B796" s="128">
        <v>43589</v>
      </c>
      <c r="C796" s="129" t="s">
        <v>1642</v>
      </c>
      <c r="D796" s="129" t="s">
        <v>1516</v>
      </c>
      <c r="E796" s="206" t="s">
        <v>269</v>
      </c>
      <c r="F796" s="129" t="s">
        <v>1138</v>
      </c>
      <c r="G796" s="198">
        <v>-13500</v>
      </c>
      <c r="J796" s="118"/>
    </row>
    <row r="797" spans="1:10" ht="15.6" x14ac:dyDescent="0.3">
      <c r="A797" s="127">
        <v>792</v>
      </c>
      <c r="B797" s="128">
        <v>43589</v>
      </c>
      <c r="C797" s="133" t="s">
        <v>1622</v>
      </c>
      <c r="D797" s="133" t="s">
        <v>1520</v>
      </c>
      <c r="E797" s="206" t="s">
        <v>269</v>
      </c>
      <c r="F797" s="133" t="s">
        <v>1148</v>
      </c>
      <c r="G797" s="141">
        <v>160000</v>
      </c>
      <c r="J797" s="118"/>
    </row>
    <row r="798" spans="1:10" ht="15.6" x14ac:dyDescent="0.3">
      <c r="A798" s="127">
        <v>793</v>
      </c>
      <c r="B798" s="128">
        <v>43589</v>
      </c>
      <c r="C798" s="129" t="s">
        <v>1643</v>
      </c>
      <c r="D798" s="129" t="s">
        <v>1517</v>
      </c>
      <c r="E798" s="206" t="s">
        <v>269</v>
      </c>
      <c r="F798" s="129" t="s">
        <v>1138</v>
      </c>
      <c r="G798" s="198">
        <v>-60000</v>
      </c>
      <c r="J798" s="118"/>
    </row>
    <row r="799" spans="1:10" ht="15.6" x14ac:dyDescent="0.3">
      <c r="A799" s="127">
        <v>794</v>
      </c>
      <c r="B799" s="128">
        <v>43589</v>
      </c>
      <c r="C799" s="129" t="s">
        <v>1644</v>
      </c>
      <c r="D799" s="129" t="s">
        <v>1516</v>
      </c>
      <c r="E799" s="206" t="s">
        <v>269</v>
      </c>
      <c r="F799" s="129" t="s">
        <v>1138</v>
      </c>
      <c r="G799" s="198">
        <v>-2400</v>
      </c>
      <c r="J799" s="118"/>
    </row>
    <row r="800" spans="1:10" ht="15.6" x14ac:dyDescent="0.3">
      <c r="A800" s="127">
        <v>795</v>
      </c>
      <c r="B800" s="128">
        <v>43591</v>
      </c>
      <c r="C800" s="129" t="s">
        <v>69</v>
      </c>
      <c r="D800" s="129" t="s">
        <v>1524</v>
      </c>
      <c r="E800" s="206" t="s">
        <v>269</v>
      </c>
      <c r="F800" s="129" t="s">
        <v>1138</v>
      </c>
      <c r="G800" s="198">
        <v>-5000</v>
      </c>
      <c r="J800" s="118"/>
    </row>
    <row r="801" spans="1:10" ht="15.6" x14ac:dyDescent="0.3">
      <c r="A801" s="127">
        <v>796</v>
      </c>
      <c r="B801" s="128">
        <v>43591</v>
      </c>
      <c r="C801" s="129" t="s">
        <v>86</v>
      </c>
      <c r="D801" s="129" t="s">
        <v>1521</v>
      </c>
      <c r="E801" s="206" t="s">
        <v>269</v>
      </c>
      <c r="F801" s="129" t="s">
        <v>1138</v>
      </c>
      <c r="G801" s="198">
        <v>-30</v>
      </c>
      <c r="J801" s="118"/>
    </row>
    <row r="802" spans="1:10" ht="15.6" x14ac:dyDescent="0.3">
      <c r="A802" s="127">
        <v>797</v>
      </c>
      <c r="B802" s="128">
        <v>43593</v>
      </c>
      <c r="C802" s="129" t="s">
        <v>1548</v>
      </c>
      <c r="D802" s="129" t="s">
        <v>1526</v>
      </c>
      <c r="E802" s="206" t="s">
        <v>269</v>
      </c>
      <c r="F802" s="129" t="s">
        <v>1138</v>
      </c>
      <c r="G802" s="198">
        <v>-52000</v>
      </c>
      <c r="J802" s="118"/>
    </row>
    <row r="803" spans="1:10" ht="15.6" x14ac:dyDescent="0.3">
      <c r="A803" s="127">
        <v>798</v>
      </c>
      <c r="B803" s="128">
        <v>43594</v>
      </c>
      <c r="C803" s="129" t="s">
        <v>26</v>
      </c>
      <c r="D803" s="129" t="s">
        <v>1522</v>
      </c>
      <c r="E803" s="206" t="s">
        <v>269</v>
      </c>
      <c r="F803" s="129" t="s">
        <v>1138</v>
      </c>
      <c r="G803" s="198">
        <v>-5000</v>
      </c>
      <c r="J803" s="118"/>
    </row>
    <row r="804" spans="1:10" ht="15.6" x14ac:dyDescent="0.3">
      <c r="A804" s="127">
        <v>799</v>
      </c>
      <c r="B804" s="128">
        <v>43596</v>
      </c>
      <c r="C804" s="129" t="s">
        <v>1645</v>
      </c>
      <c r="D804" s="129" t="s">
        <v>1521</v>
      </c>
      <c r="E804" s="206" t="s">
        <v>269</v>
      </c>
      <c r="F804" s="129" t="s">
        <v>1138</v>
      </c>
      <c r="G804" s="198">
        <v>-34200</v>
      </c>
      <c r="J804" s="118"/>
    </row>
    <row r="805" spans="1:10" ht="15.6" x14ac:dyDescent="0.3">
      <c r="A805" s="127">
        <v>800</v>
      </c>
      <c r="B805" s="128">
        <v>43596</v>
      </c>
      <c r="C805" s="129" t="s">
        <v>195</v>
      </c>
      <c r="D805" s="129" t="s">
        <v>1521</v>
      </c>
      <c r="E805" s="206" t="s">
        <v>269</v>
      </c>
      <c r="F805" s="129" t="s">
        <v>1138</v>
      </c>
      <c r="G805" s="198">
        <v>-1800</v>
      </c>
      <c r="J805" s="118"/>
    </row>
    <row r="806" spans="1:10" ht="15.6" x14ac:dyDescent="0.3">
      <c r="A806" s="127">
        <v>801</v>
      </c>
      <c r="B806" s="128">
        <v>43596</v>
      </c>
      <c r="C806" s="129" t="s">
        <v>26</v>
      </c>
      <c r="D806" s="129" t="s">
        <v>1522</v>
      </c>
      <c r="E806" s="206" t="s">
        <v>269</v>
      </c>
      <c r="F806" s="129" t="s">
        <v>1138</v>
      </c>
      <c r="G806" s="198">
        <v>-2500</v>
      </c>
      <c r="J806" s="118"/>
    </row>
    <row r="807" spans="1:10" ht="15.6" x14ac:dyDescent="0.3">
      <c r="A807" s="127">
        <v>802</v>
      </c>
      <c r="B807" s="128">
        <v>43598</v>
      </c>
      <c r="C807" s="129" t="s">
        <v>1646</v>
      </c>
      <c r="D807" s="129" t="s">
        <v>1521</v>
      </c>
      <c r="E807" s="206" t="s">
        <v>269</v>
      </c>
      <c r="F807" s="129" t="s">
        <v>1138</v>
      </c>
      <c r="G807" s="198">
        <v>-4044</v>
      </c>
      <c r="J807" s="118"/>
    </row>
    <row r="808" spans="1:10" ht="15.6" x14ac:dyDescent="0.3">
      <c r="A808" s="127">
        <v>803</v>
      </c>
      <c r="B808" s="128">
        <v>43598</v>
      </c>
      <c r="C808" s="129" t="s">
        <v>1647</v>
      </c>
      <c r="D808" s="129" t="s">
        <v>1523</v>
      </c>
      <c r="E808" s="206" t="s">
        <v>269</v>
      </c>
      <c r="F808" s="129" t="s">
        <v>1138</v>
      </c>
      <c r="G808" s="198">
        <v>-50000</v>
      </c>
      <c r="J808" s="118"/>
    </row>
    <row r="809" spans="1:10" ht="15.6" x14ac:dyDescent="0.3">
      <c r="A809" s="127">
        <v>804</v>
      </c>
      <c r="B809" s="128">
        <v>43598</v>
      </c>
      <c r="C809" s="129" t="s">
        <v>26</v>
      </c>
      <c r="D809" s="129" t="s">
        <v>1522</v>
      </c>
      <c r="E809" s="206" t="s">
        <v>269</v>
      </c>
      <c r="F809" s="129" t="s">
        <v>1138</v>
      </c>
      <c r="G809" s="198">
        <v>-5000</v>
      </c>
      <c r="J809" s="118"/>
    </row>
    <row r="810" spans="1:10" ht="15.6" x14ac:dyDescent="0.3">
      <c r="A810" s="127">
        <v>805</v>
      </c>
      <c r="B810" s="128">
        <v>43598</v>
      </c>
      <c r="C810" s="129" t="s">
        <v>1548</v>
      </c>
      <c r="D810" s="129" t="s">
        <v>1526</v>
      </c>
      <c r="E810" s="206" t="s">
        <v>269</v>
      </c>
      <c r="F810" s="129" t="s">
        <v>1138</v>
      </c>
      <c r="G810" s="198">
        <v>-20000</v>
      </c>
      <c r="J810" s="118"/>
    </row>
    <row r="811" spans="1:10" ht="15.6" x14ac:dyDescent="0.3">
      <c r="A811" s="127">
        <v>806</v>
      </c>
      <c r="B811" s="128">
        <v>43599</v>
      </c>
      <c r="C811" s="129" t="s">
        <v>1648</v>
      </c>
      <c r="D811" s="129" t="s">
        <v>1521</v>
      </c>
      <c r="E811" s="206" t="s">
        <v>269</v>
      </c>
      <c r="F811" s="129" t="s">
        <v>1138</v>
      </c>
      <c r="G811" s="198">
        <v>-4830</v>
      </c>
      <c r="J811" s="118"/>
    </row>
    <row r="812" spans="1:10" ht="15.6" x14ac:dyDescent="0.3">
      <c r="A812" s="127">
        <v>807</v>
      </c>
      <c r="B812" s="128">
        <v>43599</v>
      </c>
      <c r="C812" s="129" t="s">
        <v>69</v>
      </c>
      <c r="D812" s="129" t="s">
        <v>1524</v>
      </c>
      <c r="E812" s="206" t="s">
        <v>269</v>
      </c>
      <c r="F812" s="129" t="s">
        <v>1138</v>
      </c>
      <c r="G812" s="198">
        <v>-5000</v>
      </c>
      <c r="J812" s="118"/>
    </row>
    <row r="813" spans="1:10" ht="15.6" x14ac:dyDescent="0.3">
      <c r="A813" s="127">
        <v>808</v>
      </c>
      <c r="B813" s="128">
        <v>43600</v>
      </c>
      <c r="C813" s="129" t="s">
        <v>1548</v>
      </c>
      <c r="D813" s="129" t="s">
        <v>1526</v>
      </c>
      <c r="E813" s="206" t="s">
        <v>269</v>
      </c>
      <c r="F813" s="129" t="s">
        <v>1138</v>
      </c>
      <c r="G813" s="198">
        <v>-9000</v>
      </c>
      <c r="J813" s="118"/>
    </row>
    <row r="814" spans="1:10" ht="15.6" x14ac:dyDescent="0.3">
      <c r="A814" s="127">
        <v>809</v>
      </c>
      <c r="B814" s="128">
        <v>43601</v>
      </c>
      <c r="C814" s="133" t="s">
        <v>1638</v>
      </c>
      <c r="D814" s="133" t="s">
        <v>1520</v>
      </c>
      <c r="E814" s="206" t="s">
        <v>269</v>
      </c>
      <c r="F814" s="133" t="s">
        <v>1148</v>
      </c>
      <c r="G814" s="141">
        <v>150000</v>
      </c>
      <c r="J814" s="118"/>
    </row>
    <row r="815" spans="1:10" ht="15.6" x14ac:dyDescent="0.3">
      <c r="A815" s="127">
        <v>810</v>
      </c>
      <c r="B815" s="128">
        <v>43601</v>
      </c>
      <c r="C815" s="129" t="s">
        <v>1548</v>
      </c>
      <c r="D815" s="129" t="s">
        <v>1526</v>
      </c>
      <c r="E815" s="206" t="s">
        <v>269</v>
      </c>
      <c r="F815" s="129" t="s">
        <v>1138</v>
      </c>
      <c r="G815" s="198">
        <v>-20000</v>
      </c>
      <c r="J815" s="118"/>
    </row>
    <row r="816" spans="1:10" ht="15.6" x14ac:dyDescent="0.3">
      <c r="A816" s="127">
        <v>811</v>
      </c>
      <c r="B816" s="128">
        <v>43601</v>
      </c>
      <c r="C816" s="130" t="s">
        <v>1649</v>
      </c>
      <c r="D816" s="130" t="s">
        <v>1530</v>
      </c>
      <c r="E816" s="206" t="s">
        <v>269</v>
      </c>
      <c r="F816" s="129" t="s">
        <v>1138</v>
      </c>
      <c r="G816" s="198">
        <v>-27000</v>
      </c>
      <c r="J816" s="118"/>
    </row>
    <row r="817" spans="1:10" ht="15.6" x14ac:dyDescent="0.3">
      <c r="A817" s="127">
        <v>812</v>
      </c>
      <c r="B817" s="128">
        <v>43601</v>
      </c>
      <c r="C817" s="129" t="s">
        <v>1650</v>
      </c>
      <c r="D817" s="129" t="s">
        <v>1516</v>
      </c>
      <c r="E817" s="206" t="s">
        <v>269</v>
      </c>
      <c r="F817" s="129" t="s">
        <v>1138</v>
      </c>
      <c r="G817" s="198">
        <v>-3000</v>
      </c>
      <c r="J817" s="118"/>
    </row>
    <row r="818" spans="1:10" ht="15.6" x14ac:dyDescent="0.3">
      <c r="A818" s="127">
        <v>813</v>
      </c>
      <c r="B818" s="128">
        <v>43601</v>
      </c>
      <c r="C818" s="129" t="s">
        <v>1390</v>
      </c>
      <c r="D818" s="239" t="s">
        <v>1520</v>
      </c>
      <c r="E818" s="240" t="s">
        <v>1137</v>
      </c>
      <c r="F818" s="133" t="s">
        <v>1148</v>
      </c>
      <c r="G818" s="173">
        <v>150000</v>
      </c>
      <c r="J818" s="118"/>
    </row>
    <row r="819" spans="1:10" ht="15.6" x14ac:dyDescent="0.3">
      <c r="A819" s="127">
        <v>814</v>
      </c>
      <c r="B819" s="128">
        <v>43604</v>
      </c>
      <c r="C819" s="129" t="s">
        <v>1650</v>
      </c>
      <c r="D819" s="129" t="s">
        <v>1516</v>
      </c>
      <c r="E819" s="206" t="s">
        <v>269</v>
      </c>
      <c r="F819" s="129" t="s">
        <v>1138</v>
      </c>
      <c r="G819" s="198">
        <v>-2000</v>
      </c>
      <c r="J819" s="118"/>
    </row>
    <row r="820" spans="1:10" ht="15.6" x14ac:dyDescent="0.3">
      <c r="A820" s="127">
        <v>815</v>
      </c>
      <c r="B820" s="128">
        <v>43604</v>
      </c>
      <c r="C820" s="129" t="s">
        <v>1548</v>
      </c>
      <c r="D820" s="129" t="s">
        <v>1526</v>
      </c>
      <c r="E820" s="206" t="s">
        <v>269</v>
      </c>
      <c r="F820" s="129" t="s">
        <v>1138</v>
      </c>
      <c r="G820" s="198">
        <v>-25000</v>
      </c>
      <c r="J820" s="118"/>
    </row>
    <row r="821" spans="1:10" ht="15.6" x14ac:dyDescent="0.3">
      <c r="A821" s="127">
        <v>816</v>
      </c>
      <c r="B821" s="128">
        <v>43604</v>
      </c>
      <c r="C821" s="129" t="s">
        <v>1651</v>
      </c>
      <c r="D821" s="129" t="s">
        <v>1521</v>
      </c>
      <c r="E821" s="206" t="s">
        <v>269</v>
      </c>
      <c r="F821" s="129" t="s">
        <v>1138</v>
      </c>
      <c r="G821" s="198">
        <v>-33700</v>
      </c>
    </row>
    <row r="822" spans="1:10" ht="15.6" x14ac:dyDescent="0.3">
      <c r="A822" s="127">
        <v>817</v>
      </c>
      <c r="B822" s="128">
        <v>43604</v>
      </c>
      <c r="C822" s="129" t="s">
        <v>203</v>
      </c>
      <c r="D822" s="129" t="s">
        <v>1471</v>
      </c>
      <c r="E822" s="206" t="s">
        <v>269</v>
      </c>
      <c r="F822" s="129" t="s">
        <v>1138</v>
      </c>
      <c r="G822" s="198">
        <v>-437</v>
      </c>
      <c r="J822" s="118"/>
    </row>
    <row r="823" spans="1:10" ht="15.6" x14ac:dyDescent="0.3">
      <c r="A823" s="127">
        <v>818</v>
      </c>
      <c r="B823" s="128">
        <v>43605</v>
      </c>
      <c r="C823" s="129" t="s">
        <v>1652</v>
      </c>
      <c r="D823" s="129" t="s">
        <v>1521</v>
      </c>
      <c r="E823" s="206" t="s">
        <v>269</v>
      </c>
      <c r="F823" s="129" t="s">
        <v>1138</v>
      </c>
      <c r="G823" s="198">
        <v>-2230</v>
      </c>
      <c r="J823" s="118"/>
    </row>
    <row r="824" spans="1:10" ht="15.6" x14ac:dyDescent="0.3">
      <c r="A824" s="127">
        <v>819</v>
      </c>
      <c r="B824" s="128">
        <v>43605</v>
      </c>
      <c r="C824" s="129" t="s">
        <v>206</v>
      </c>
      <c r="D824" s="129" t="s">
        <v>1471</v>
      </c>
      <c r="E824" s="206" t="s">
        <v>269</v>
      </c>
      <c r="F824" s="129" t="s">
        <v>1138</v>
      </c>
      <c r="G824" s="198">
        <v>-240</v>
      </c>
      <c r="J824" s="118"/>
    </row>
    <row r="825" spans="1:10" ht="15.6" x14ac:dyDescent="0.3">
      <c r="A825" s="127">
        <v>820</v>
      </c>
      <c r="B825" s="128">
        <v>43606</v>
      </c>
      <c r="C825" s="129" t="s">
        <v>1548</v>
      </c>
      <c r="D825" s="129" t="s">
        <v>1526</v>
      </c>
      <c r="E825" s="206" t="s">
        <v>269</v>
      </c>
      <c r="F825" s="129" t="s">
        <v>1138</v>
      </c>
      <c r="G825" s="198">
        <v>-15000</v>
      </c>
      <c r="J825" s="118"/>
    </row>
    <row r="826" spans="1:10" ht="15.6" x14ac:dyDescent="0.3">
      <c r="A826" s="127">
        <v>821</v>
      </c>
      <c r="B826" s="128">
        <v>43606</v>
      </c>
      <c r="C826" s="129" t="s">
        <v>26</v>
      </c>
      <c r="D826" s="129" t="s">
        <v>1522</v>
      </c>
      <c r="E826" s="206" t="s">
        <v>269</v>
      </c>
      <c r="F826" s="129" t="s">
        <v>1138</v>
      </c>
      <c r="G826" s="198">
        <v>-5000</v>
      </c>
      <c r="J826" s="118"/>
    </row>
    <row r="827" spans="1:10" ht="15.6" x14ac:dyDescent="0.3">
      <c r="A827" s="127">
        <v>822</v>
      </c>
      <c r="B827" s="128">
        <v>43606</v>
      </c>
      <c r="C827" s="129" t="s">
        <v>1650</v>
      </c>
      <c r="D827" s="129" t="s">
        <v>1516</v>
      </c>
      <c r="E827" s="206" t="s">
        <v>269</v>
      </c>
      <c r="F827" s="129" t="s">
        <v>1138</v>
      </c>
      <c r="G827" s="198">
        <v>-1000</v>
      </c>
      <c r="J827" s="118"/>
    </row>
    <row r="828" spans="1:10" ht="15.6" x14ac:dyDescent="0.3">
      <c r="A828" s="127">
        <v>823</v>
      </c>
      <c r="B828" s="128">
        <v>43608</v>
      </c>
      <c r="C828" s="129" t="s">
        <v>1650</v>
      </c>
      <c r="D828" s="129" t="s">
        <v>1516</v>
      </c>
      <c r="E828" s="206" t="s">
        <v>269</v>
      </c>
      <c r="F828" s="129" t="s">
        <v>1138</v>
      </c>
      <c r="G828" s="198">
        <v>-5000</v>
      </c>
      <c r="J828" s="118"/>
    </row>
    <row r="829" spans="1:10" ht="15.6" x14ac:dyDescent="0.3">
      <c r="A829" s="127">
        <v>824</v>
      </c>
      <c r="B829" s="128">
        <v>43608</v>
      </c>
      <c r="C829" s="129" t="s">
        <v>113</v>
      </c>
      <c r="D829" s="129" t="s">
        <v>1529</v>
      </c>
      <c r="E829" s="206" t="s">
        <v>269</v>
      </c>
      <c r="F829" s="129" t="s">
        <v>1138</v>
      </c>
      <c r="G829" s="198">
        <v>-20000</v>
      </c>
      <c r="J829" s="118"/>
    </row>
    <row r="830" spans="1:10" ht="15.6" x14ac:dyDescent="0.3">
      <c r="A830" s="127">
        <v>825</v>
      </c>
      <c r="B830" s="128">
        <v>43608</v>
      </c>
      <c r="C830" s="129" t="s">
        <v>1548</v>
      </c>
      <c r="D830" s="129" t="s">
        <v>1526</v>
      </c>
      <c r="E830" s="206" t="s">
        <v>269</v>
      </c>
      <c r="F830" s="129" t="s">
        <v>1138</v>
      </c>
      <c r="G830" s="198">
        <v>-5000</v>
      </c>
      <c r="J830" s="118"/>
    </row>
    <row r="831" spans="1:10" ht="15.6" x14ac:dyDescent="0.3">
      <c r="A831" s="127">
        <v>826</v>
      </c>
      <c r="B831" s="128">
        <v>43609</v>
      </c>
      <c r="C831" s="129" t="s">
        <v>136</v>
      </c>
      <c r="D831" s="129" t="s">
        <v>1516</v>
      </c>
      <c r="E831" s="206" t="s">
        <v>269</v>
      </c>
      <c r="F831" s="129" t="s">
        <v>1138</v>
      </c>
      <c r="G831" s="198">
        <v>-900</v>
      </c>
      <c r="J831" s="118"/>
    </row>
    <row r="832" spans="1:10" ht="15.6" x14ac:dyDescent="0.3">
      <c r="A832" s="127">
        <v>827</v>
      </c>
      <c r="B832" s="128">
        <v>43610</v>
      </c>
      <c r="C832" s="133" t="s">
        <v>1622</v>
      </c>
      <c r="D832" s="133" t="s">
        <v>1520</v>
      </c>
      <c r="E832" s="206" t="s">
        <v>269</v>
      </c>
      <c r="F832" s="133" t="s">
        <v>1148</v>
      </c>
      <c r="G832" s="141">
        <v>180000</v>
      </c>
      <c r="J832" s="118"/>
    </row>
    <row r="833" spans="1:10" ht="15.6" x14ac:dyDescent="0.3">
      <c r="A833" s="127">
        <v>828</v>
      </c>
      <c r="B833" s="128">
        <v>43610</v>
      </c>
      <c r="C833" s="129" t="s">
        <v>1548</v>
      </c>
      <c r="D833" s="129" t="s">
        <v>1526</v>
      </c>
      <c r="E833" s="206" t="s">
        <v>269</v>
      </c>
      <c r="F833" s="129" t="s">
        <v>1138</v>
      </c>
      <c r="G833" s="198">
        <v>-100000</v>
      </c>
      <c r="J833" s="118"/>
    </row>
    <row r="834" spans="1:10" ht="15.6" x14ac:dyDescent="0.3">
      <c r="A834" s="127">
        <v>829</v>
      </c>
      <c r="B834" s="128">
        <v>43613</v>
      </c>
      <c r="C834" s="129" t="s">
        <v>1650</v>
      </c>
      <c r="D834" s="129" t="s">
        <v>1516</v>
      </c>
      <c r="E834" s="206" t="s">
        <v>269</v>
      </c>
      <c r="F834" s="129" t="s">
        <v>1138</v>
      </c>
      <c r="G834" s="198">
        <v>-1000</v>
      </c>
      <c r="J834" s="118"/>
    </row>
    <row r="835" spans="1:10" ht="15.6" x14ac:dyDescent="0.3">
      <c r="A835" s="127">
        <v>830</v>
      </c>
      <c r="B835" s="128">
        <v>43613</v>
      </c>
      <c r="C835" s="129" t="s">
        <v>1653</v>
      </c>
      <c r="D835" s="129" t="s">
        <v>1516</v>
      </c>
      <c r="E835" s="206" t="s">
        <v>269</v>
      </c>
      <c r="F835" s="129" t="s">
        <v>1138</v>
      </c>
      <c r="G835" s="198">
        <v>-1000</v>
      </c>
      <c r="J835" s="118"/>
    </row>
    <row r="836" spans="1:10" ht="15.6" x14ac:dyDescent="0.3">
      <c r="A836" s="127">
        <v>831</v>
      </c>
      <c r="B836" s="128">
        <v>43613</v>
      </c>
      <c r="C836" s="129" t="s">
        <v>1654</v>
      </c>
      <c r="D836" s="129" t="s">
        <v>1516</v>
      </c>
      <c r="E836" s="206" t="s">
        <v>269</v>
      </c>
      <c r="F836" s="129" t="s">
        <v>1138</v>
      </c>
      <c r="G836" s="198">
        <v>-800</v>
      </c>
      <c r="J836" s="118"/>
    </row>
    <row r="837" spans="1:10" ht="15.6" x14ac:dyDescent="0.3">
      <c r="A837" s="127">
        <v>832</v>
      </c>
      <c r="B837" s="128">
        <v>43613</v>
      </c>
      <c r="C837" s="129" t="s">
        <v>1655</v>
      </c>
      <c r="D837" s="129" t="s">
        <v>1523</v>
      </c>
      <c r="E837" s="206" t="s">
        <v>269</v>
      </c>
      <c r="F837" s="129" t="s">
        <v>1138</v>
      </c>
      <c r="G837" s="198">
        <v>-30000</v>
      </c>
      <c r="J837" s="118"/>
    </row>
    <row r="838" spans="1:10" ht="15.6" x14ac:dyDescent="0.3">
      <c r="A838" s="127">
        <v>833</v>
      </c>
      <c r="B838" s="128">
        <v>43617</v>
      </c>
      <c r="C838" s="133" t="s">
        <v>1622</v>
      </c>
      <c r="D838" s="133" t="s">
        <v>1520</v>
      </c>
      <c r="E838" s="206" t="s">
        <v>269</v>
      </c>
      <c r="F838" s="133" t="s">
        <v>1148</v>
      </c>
      <c r="G838" s="141">
        <v>200000</v>
      </c>
      <c r="J838" s="118"/>
    </row>
    <row r="839" spans="1:10" ht="15.6" x14ac:dyDescent="0.3">
      <c r="A839" s="127">
        <v>834</v>
      </c>
      <c r="B839" s="128">
        <v>43617</v>
      </c>
      <c r="C839" s="129" t="s">
        <v>26</v>
      </c>
      <c r="D839" s="129" t="s">
        <v>1522</v>
      </c>
      <c r="E839" s="206" t="s">
        <v>269</v>
      </c>
      <c r="F839" s="129" t="s">
        <v>1138</v>
      </c>
      <c r="G839" s="198">
        <v>-40000</v>
      </c>
      <c r="J839" s="118"/>
    </row>
    <row r="840" spans="1:10" ht="15.6" x14ac:dyDescent="0.3">
      <c r="A840" s="127">
        <v>835</v>
      </c>
      <c r="B840" s="128">
        <v>43617</v>
      </c>
      <c r="C840" s="129" t="s">
        <v>69</v>
      </c>
      <c r="D840" s="129" t="s">
        <v>1524</v>
      </c>
      <c r="E840" s="206" t="s">
        <v>269</v>
      </c>
      <c r="F840" s="129" t="s">
        <v>1138</v>
      </c>
      <c r="G840" s="198">
        <v>-40000</v>
      </c>
      <c r="J840" s="118"/>
    </row>
    <row r="841" spans="1:10" ht="15.6" x14ac:dyDescent="0.3">
      <c r="A841" s="127">
        <v>836</v>
      </c>
      <c r="B841" s="128">
        <v>43617</v>
      </c>
      <c r="C841" s="129" t="s">
        <v>113</v>
      </c>
      <c r="D841" s="129" t="s">
        <v>1529</v>
      </c>
      <c r="E841" s="206" t="s">
        <v>269</v>
      </c>
      <c r="F841" s="129" t="s">
        <v>1138</v>
      </c>
      <c r="G841" s="198">
        <v>-30000</v>
      </c>
      <c r="J841" s="118"/>
    </row>
    <row r="842" spans="1:10" ht="15.6" x14ac:dyDescent="0.3">
      <c r="A842" s="127">
        <v>837</v>
      </c>
      <c r="B842" s="128">
        <v>43617</v>
      </c>
      <c r="C842" s="129" t="s">
        <v>1548</v>
      </c>
      <c r="D842" s="129" t="s">
        <v>1526</v>
      </c>
      <c r="E842" s="206" t="s">
        <v>269</v>
      </c>
      <c r="F842" s="129" t="s">
        <v>1138</v>
      </c>
      <c r="G842" s="198">
        <v>-20000</v>
      </c>
      <c r="J842" s="118"/>
    </row>
    <row r="843" spans="1:10" ht="15.6" x14ac:dyDescent="0.3">
      <c r="A843" s="127">
        <v>838</v>
      </c>
      <c r="B843" s="128">
        <v>43617</v>
      </c>
      <c r="C843" s="129" t="s">
        <v>1656</v>
      </c>
      <c r="D843" s="129" t="s">
        <v>1517</v>
      </c>
      <c r="E843" s="206" t="s">
        <v>269</v>
      </c>
      <c r="F843" s="129" t="s">
        <v>1138</v>
      </c>
      <c r="G843" s="198">
        <v>-60000</v>
      </c>
      <c r="J843" s="118"/>
    </row>
    <row r="844" spans="1:10" ht="15.6" x14ac:dyDescent="0.3">
      <c r="A844" s="127">
        <v>839</v>
      </c>
      <c r="B844" s="128">
        <v>43617</v>
      </c>
      <c r="C844" s="129" t="s">
        <v>1657</v>
      </c>
      <c r="D844" s="129" t="s">
        <v>1517</v>
      </c>
      <c r="E844" s="206" t="s">
        <v>269</v>
      </c>
      <c r="F844" s="129" t="s">
        <v>1138</v>
      </c>
      <c r="G844" s="198">
        <v>-10000</v>
      </c>
      <c r="J844" s="118"/>
    </row>
    <row r="845" spans="1:10" ht="15.6" x14ac:dyDescent="0.3">
      <c r="A845" s="127">
        <v>840</v>
      </c>
      <c r="B845" s="128">
        <v>43617</v>
      </c>
      <c r="C845" s="129" t="s">
        <v>1658</v>
      </c>
      <c r="D845" s="129" t="s">
        <v>1516</v>
      </c>
      <c r="E845" s="206" t="s">
        <v>269</v>
      </c>
      <c r="F845" s="129" t="s">
        <v>1138</v>
      </c>
      <c r="G845" s="198">
        <v>-16500</v>
      </c>
      <c r="J845" s="118"/>
    </row>
    <row r="846" spans="1:10" ht="15.6" x14ac:dyDescent="0.3">
      <c r="A846" s="127">
        <v>841</v>
      </c>
      <c r="B846" s="128">
        <v>43617</v>
      </c>
      <c r="C846" s="129" t="s">
        <v>1659</v>
      </c>
      <c r="D846" s="129" t="s">
        <v>1516</v>
      </c>
      <c r="E846" s="206" t="s">
        <v>269</v>
      </c>
      <c r="F846" s="129" t="s">
        <v>1138</v>
      </c>
      <c r="G846" s="198">
        <v>-1000</v>
      </c>
      <c r="J846" s="118"/>
    </row>
    <row r="847" spans="1:10" ht="15.6" x14ac:dyDescent="0.3">
      <c r="A847" s="127">
        <v>842</v>
      </c>
      <c r="B847" s="128">
        <v>43617</v>
      </c>
      <c r="C847" s="129" t="s">
        <v>1660</v>
      </c>
      <c r="D847" s="129" t="s">
        <v>1516</v>
      </c>
      <c r="E847" s="206" t="s">
        <v>269</v>
      </c>
      <c r="F847" s="129" t="s">
        <v>1138</v>
      </c>
      <c r="G847" s="198">
        <v>-3250</v>
      </c>
      <c r="J847" s="118"/>
    </row>
    <row r="848" spans="1:10" ht="15.6" x14ac:dyDescent="0.3">
      <c r="A848" s="127">
        <v>843</v>
      </c>
      <c r="B848" s="128">
        <v>43620</v>
      </c>
      <c r="C848" s="129" t="s">
        <v>1548</v>
      </c>
      <c r="D848" s="129" t="s">
        <v>1526</v>
      </c>
      <c r="E848" s="206" t="s">
        <v>269</v>
      </c>
      <c r="F848" s="129" t="s">
        <v>1138</v>
      </c>
      <c r="G848" s="198">
        <v>-15000</v>
      </c>
      <c r="J848" s="118"/>
    </row>
    <row r="849" spans="1:10" ht="15.6" x14ac:dyDescent="0.3">
      <c r="A849" s="127">
        <v>844</v>
      </c>
      <c r="B849" s="128">
        <v>43626</v>
      </c>
      <c r="C849" s="129" t="s">
        <v>1548</v>
      </c>
      <c r="D849" s="129" t="s">
        <v>1526</v>
      </c>
      <c r="E849" s="206" t="s">
        <v>269</v>
      </c>
      <c r="F849" s="129" t="s">
        <v>1138</v>
      </c>
      <c r="G849" s="198">
        <v>-5000</v>
      </c>
      <c r="J849" s="118"/>
    </row>
    <row r="850" spans="1:10" ht="15.6" x14ac:dyDescent="0.3">
      <c r="A850" s="127">
        <v>845</v>
      </c>
      <c r="B850" s="128">
        <v>43626</v>
      </c>
      <c r="C850" s="129" t="s">
        <v>1650</v>
      </c>
      <c r="D850" s="129" t="s">
        <v>1516</v>
      </c>
      <c r="E850" s="206" t="s">
        <v>269</v>
      </c>
      <c r="F850" s="129" t="s">
        <v>1138</v>
      </c>
      <c r="G850" s="198">
        <v>-1000</v>
      </c>
      <c r="J850" s="118"/>
    </row>
    <row r="851" spans="1:10" ht="15.6" x14ac:dyDescent="0.3">
      <c r="A851" s="127">
        <v>846</v>
      </c>
      <c r="B851" s="128">
        <v>43626</v>
      </c>
      <c r="C851" s="129" t="s">
        <v>119</v>
      </c>
      <c r="D851" s="129" t="s">
        <v>1521</v>
      </c>
      <c r="E851" s="206" t="s">
        <v>269</v>
      </c>
      <c r="F851" s="129" t="s">
        <v>1138</v>
      </c>
      <c r="G851" s="198">
        <v>-1250</v>
      </c>
      <c r="J851" s="118"/>
    </row>
    <row r="852" spans="1:10" ht="15.6" x14ac:dyDescent="0.3">
      <c r="A852" s="127">
        <v>847</v>
      </c>
      <c r="B852" s="128">
        <v>43627</v>
      </c>
      <c r="C852" s="129" t="s">
        <v>1548</v>
      </c>
      <c r="D852" s="129" t="s">
        <v>1526</v>
      </c>
      <c r="E852" s="206" t="s">
        <v>269</v>
      </c>
      <c r="F852" s="129" t="s">
        <v>1138</v>
      </c>
      <c r="G852" s="198">
        <v>-5000</v>
      </c>
      <c r="J852" s="118"/>
    </row>
    <row r="853" spans="1:10" ht="15.6" x14ac:dyDescent="0.3">
      <c r="A853" s="127">
        <v>848</v>
      </c>
      <c r="B853" s="128">
        <v>43629</v>
      </c>
      <c r="C853" s="133" t="s">
        <v>1622</v>
      </c>
      <c r="D853" s="133" t="s">
        <v>1520</v>
      </c>
      <c r="E853" s="206" t="s">
        <v>269</v>
      </c>
      <c r="F853" s="133" t="s">
        <v>1148</v>
      </c>
      <c r="G853" s="141">
        <v>150000</v>
      </c>
      <c r="J853" s="118"/>
    </row>
    <row r="854" spans="1:10" ht="15.6" x14ac:dyDescent="0.3">
      <c r="A854" s="127">
        <v>849</v>
      </c>
      <c r="B854" s="128">
        <v>43629</v>
      </c>
      <c r="C854" s="129" t="s">
        <v>1548</v>
      </c>
      <c r="D854" s="129" t="s">
        <v>1526</v>
      </c>
      <c r="E854" s="206" t="s">
        <v>269</v>
      </c>
      <c r="F854" s="129" t="s">
        <v>1138</v>
      </c>
      <c r="G854" s="198">
        <v>-45000</v>
      </c>
      <c r="J854" s="118"/>
    </row>
    <row r="855" spans="1:10" ht="15.6" x14ac:dyDescent="0.3">
      <c r="A855" s="127">
        <v>850</v>
      </c>
      <c r="B855" s="128">
        <v>43629</v>
      </c>
      <c r="C855" s="129" t="s">
        <v>215</v>
      </c>
      <c r="D855" s="129" t="s">
        <v>1521</v>
      </c>
      <c r="E855" s="206" t="s">
        <v>269</v>
      </c>
      <c r="F855" s="129" t="s">
        <v>1138</v>
      </c>
      <c r="G855" s="198">
        <v>-5000</v>
      </c>
      <c r="J855" s="118"/>
    </row>
    <row r="856" spans="1:10" ht="15.6" x14ac:dyDescent="0.3">
      <c r="A856" s="127">
        <v>851</v>
      </c>
      <c r="B856" s="128">
        <v>43632</v>
      </c>
      <c r="C856" s="129" t="s">
        <v>1661</v>
      </c>
      <c r="D856" s="129" t="s">
        <v>1471</v>
      </c>
      <c r="E856" s="206" t="s">
        <v>269</v>
      </c>
      <c r="F856" s="129" t="s">
        <v>1138</v>
      </c>
      <c r="G856" s="198">
        <v>-300</v>
      </c>
      <c r="J856" s="118"/>
    </row>
    <row r="857" spans="1:10" ht="15.6" x14ac:dyDescent="0.3">
      <c r="A857" s="127">
        <v>852</v>
      </c>
      <c r="B857" s="128">
        <v>43632</v>
      </c>
      <c r="C857" s="129" t="s">
        <v>1650</v>
      </c>
      <c r="D857" s="129" t="s">
        <v>1516</v>
      </c>
      <c r="E857" s="206" t="s">
        <v>269</v>
      </c>
      <c r="F857" s="129" t="s">
        <v>1138</v>
      </c>
      <c r="G857" s="198">
        <v>-5000</v>
      </c>
      <c r="J857" s="118"/>
    </row>
    <row r="858" spans="1:10" ht="15.6" x14ac:dyDescent="0.3">
      <c r="A858" s="127">
        <v>853</v>
      </c>
      <c r="B858" s="128">
        <v>43632</v>
      </c>
      <c r="C858" s="129" t="s">
        <v>1548</v>
      </c>
      <c r="D858" s="129" t="s">
        <v>1526</v>
      </c>
      <c r="E858" s="206" t="s">
        <v>269</v>
      </c>
      <c r="F858" s="129" t="s">
        <v>1138</v>
      </c>
      <c r="G858" s="198">
        <v>-1000</v>
      </c>
      <c r="J858" s="118"/>
    </row>
    <row r="859" spans="1:10" ht="15.6" x14ac:dyDescent="0.3">
      <c r="A859" s="127">
        <v>854</v>
      </c>
      <c r="B859" s="128">
        <v>43633</v>
      </c>
      <c r="C859" s="129" t="s">
        <v>113</v>
      </c>
      <c r="D859" s="129" t="s">
        <v>1529</v>
      </c>
      <c r="E859" s="206" t="s">
        <v>269</v>
      </c>
      <c r="F859" s="129" t="s">
        <v>1138</v>
      </c>
      <c r="G859" s="198">
        <v>-15000</v>
      </c>
      <c r="J859" s="118"/>
    </row>
    <row r="860" spans="1:10" ht="15.6" x14ac:dyDescent="0.3">
      <c r="A860" s="127">
        <v>855</v>
      </c>
      <c r="B860" s="128">
        <v>43633</v>
      </c>
      <c r="C860" s="129" t="s">
        <v>1548</v>
      </c>
      <c r="D860" s="129" t="s">
        <v>1526</v>
      </c>
      <c r="E860" s="206" t="s">
        <v>269</v>
      </c>
      <c r="F860" s="129" t="s">
        <v>1138</v>
      </c>
      <c r="G860" s="198">
        <v>-6000</v>
      </c>
      <c r="J860" s="118"/>
    </row>
    <row r="861" spans="1:10" ht="15.6" x14ac:dyDescent="0.3">
      <c r="A861" s="127">
        <v>856</v>
      </c>
      <c r="B861" s="128">
        <v>43634</v>
      </c>
      <c r="C861" s="129" t="s">
        <v>1548</v>
      </c>
      <c r="D861" s="129" t="s">
        <v>1526</v>
      </c>
      <c r="E861" s="206" t="s">
        <v>269</v>
      </c>
      <c r="F861" s="129" t="s">
        <v>1138</v>
      </c>
      <c r="G861" s="198">
        <v>-4000</v>
      </c>
      <c r="J861" s="118"/>
    </row>
    <row r="862" spans="1:10" ht="15.6" x14ac:dyDescent="0.3">
      <c r="A862" s="127">
        <v>857</v>
      </c>
      <c r="B862" s="128">
        <v>43634</v>
      </c>
      <c r="C862" s="129" t="s">
        <v>1662</v>
      </c>
      <c r="D862" s="129" t="s">
        <v>1521</v>
      </c>
      <c r="E862" s="206" t="s">
        <v>269</v>
      </c>
      <c r="F862" s="129" t="s">
        <v>1138</v>
      </c>
      <c r="G862" s="198">
        <v>-2000</v>
      </c>
      <c r="J862" s="118"/>
    </row>
    <row r="863" spans="1:10" ht="15.6" x14ac:dyDescent="0.3">
      <c r="A863" s="127">
        <v>858</v>
      </c>
      <c r="B863" s="128">
        <v>43636</v>
      </c>
      <c r="C863" s="129" t="s">
        <v>218</v>
      </c>
      <c r="D863" s="129" t="s">
        <v>1521</v>
      </c>
      <c r="E863" s="206" t="s">
        <v>269</v>
      </c>
      <c r="F863" s="129" t="s">
        <v>1138</v>
      </c>
      <c r="G863" s="198">
        <v>-60</v>
      </c>
      <c r="J863" s="118"/>
    </row>
    <row r="864" spans="1:10" ht="15.6" x14ac:dyDescent="0.3">
      <c r="A864" s="127">
        <v>859</v>
      </c>
      <c r="B864" s="128">
        <v>43636</v>
      </c>
      <c r="C864" s="129" t="s">
        <v>42</v>
      </c>
      <c r="D864" s="129" t="s">
        <v>1521</v>
      </c>
      <c r="E864" s="206" t="s">
        <v>269</v>
      </c>
      <c r="F864" s="129" t="s">
        <v>1138</v>
      </c>
      <c r="G864" s="198">
        <v>-25</v>
      </c>
      <c r="J864" s="118"/>
    </row>
    <row r="865" spans="1:10" ht="15.6" x14ac:dyDescent="0.3">
      <c r="A865" s="127">
        <v>860</v>
      </c>
      <c r="B865" s="128">
        <v>43636</v>
      </c>
      <c r="C865" s="129" t="s">
        <v>1548</v>
      </c>
      <c r="D865" s="129" t="s">
        <v>1526</v>
      </c>
      <c r="E865" s="206" t="s">
        <v>269</v>
      </c>
      <c r="F865" s="129" t="s">
        <v>1138</v>
      </c>
      <c r="G865" s="198">
        <v>-6000</v>
      </c>
      <c r="J865" s="118"/>
    </row>
    <row r="866" spans="1:10" ht="15.6" x14ac:dyDescent="0.3">
      <c r="A866" s="127">
        <v>861</v>
      </c>
      <c r="B866" s="128">
        <v>43636</v>
      </c>
      <c r="C866" s="129" t="s">
        <v>26</v>
      </c>
      <c r="D866" s="129" t="s">
        <v>1522</v>
      </c>
      <c r="E866" s="206" t="s">
        <v>269</v>
      </c>
      <c r="F866" s="129" t="s">
        <v>1138</v>
      </c>
      <c r="G866" s="198">
        <v>-5000</v>
      </c>
      <c r="J866" s="118"/>
    </row>
    <row r="867" spans="1:10" ht="15.6" x14ac:dyDescent="0.3">
      <c r="A867" s="127">
        <v>862</v>
      </c>
      <c r="B867" s="128">
        <v>43637</v>
      </c>
      <c r="C867" s="129" t="s">
        <v>1705</v>
      </c>
      <c r="D867" s="129" t="s">
        <v>1521</v>
      </c>
      <c r="E867" s="206" t="s">
        <v>269</v>
      </c>
      <c r="F867" s="129" t="s">
        <v>1138</v>
      </c>
      <c r="G867" s="198">
        <v>-560</v>
      </c>
      <c r="J867" s="118"/>
    </row>
    <row r="868" spans="1:10" ht="15.6" x14ac:dyDescent="0.3">
      <c r="A868" s="127">
        <v>863</v>
      </c>
      <c r="B868" s="128">
        <v>43637</v>
      </c>
      <c r="C868" s="129" t="s">
        <v>1548</v>
      </c>
      <c r="D868" s="129" t="s">
        <v>1526</v>
      </c>
      <c r="E868" s="206" t="s">
        <v>269</v>
      </c>
      <c r="F868" s="129" t="s">
        <v>1138</v>
      </c>
      <c r="G868" s="198">
        <v>-5000</v>
      </c>
      <c r="J868" s="118"/>
    </row>
    <row r="869" spans="1:10" ht="15.6" x14ac:dyDescent="0.3">
      <c r="A869" s="127">
        <v>864</v>
      </c>
      <c r="B869" s="128">
        <v>43638</v>
      </c>
      <c r="C869" s="129" t="s">
        <v>1548</v>
      </c>
      <c r="D869" s="129" t="s">
        <v>1526</v>
      </c>
      <c r="E869" s="206" t="s">
        <v>269</v>
      </c>
      <c r="F869" s="129" t="s">
        <v>1138</v>
      </c>
      <c r="G869" s="198">
        <v>-20000</v>
      </c>
      <c r="J869" s="118"/>
    </row>
    <row r="870" spans="1:10" ht="15.6" x14ac:dyDescent="0.3">
      <c r="A870" s="127">
        <v>865</v>
      </c>
      <c r="B870" s="128">
        <v>43638</v>
      </c>
      <c r="C870" s="129" t="s">
        <v>113</v>
      </c>
      <c r="D870" s="129" t="s">
        <v>1529</v>
      </c>
      <c r="E870" s="206" t="s">
        <v>269</v>
      </c>
      <c r="F870" s="129" t="s">
        <v>1138</v>
      </c>
      <c r="G870" s="198">
        <v>-25000</v>
      </c>
      <c r="J870" s="118"/>
    </row>
    <row r="871" spans="1:10" ht="15.6" x14ac:dyDescent="0.3">
      <c r="A871" s="127">
        <v>866</v>
      </c>
      <c r="B871" s="128">
        <v>43639</v>
      </c>
      <c r="C871" s="129" t="s">
        <v>1548</v>
      </c>
      <c r="D871" s="129" t="s">
        <v>1526</v>
      </c>
      <c r="E871" s="206" t="s">
        <v>269</v>
      </c>
      <c r="F871" s="129" t="s">
        <v>1138</v>
      </c>
      <c r="G871" s="198">
        <v>-15000</v>
      </c>
      <c r="J871" s="118"/>
    </row>
    <row r="872" spans="1:10" ht="15.6" x14ac:dyDescent="0.3">
      <c r="A872" s="127">
        <v>867</v>
      </c>
      <c r="B872" s="128">
        <v>43639</v>
      </c>
      <c r="C872" s="129" t="s">
        <v>1650</v>
      </c>
      <c r="D872" s="129" t="s">
        <v>1516</v>
      </c>
      <c r="E872" s="206" t="s">
        <v>269</v>
      </c>
      <c r="F872" s="129" t="s">
        <v>1138</v>
      </c>
      <c r="G872" s="198">
        <v>-1000</v>
      </c>
      <c r="J872" s="118"/>
    </row>
    <row r="873" spans="1:10" ht="15.6" x14ac:dyDescent="0.3">
      <c r="A873" s="127">
        <v>868</v>
      </c>
      <c r="B873" s="128">
        <v>43639</v>
      </c>
      <c r="C873" s="129" t="s">
        <v>26</v>
      </c>
      <c r="D873" s="129" t="s">
        <v>1522</v>
      </c>
      <c r="E873" s="206" t="s">
        <v>269</v>
      </c>
      <c r="F873" s="129" t="s">
        <v>1138</v>
      </c>
      <c r="G873" s="198">
        <v>-2000</v>
      </c>
      <c r="J873" s="118"/>
    </row>
    <row r="874" spans="1:10" ht="15.6" x14ac:dyDescent="0.3">
      <c r="A874" s="127">
        <v>869</v>
      </c>
      <c r="B874" s="128">
        <v>43641</v>
      </c>
      <c r="C874" s="133" t="s">
        <v>1622</v>
      </c>
      <c r="D874" s="133" t="s">
        <v>1520</v>
      </c>
      <c r="E874" s="206" t="s">
        <v>269</v>
      </c>
      <c r="F874" s="133" t="s">
        <v>1148</v>
      </c>
      <c r="G874" s="141">
        <v>100000</v>
      </c>
      <c r="J874" s="118"/>
    </row>
    <row r="875" spans="1:10" ht="15.6" x14ac:dyDescent="0.3">
      <c r="A875" s="127">
        <v>870</v>
      </c>
      <c r="B875" s="128">
        <v>43641</v>
      </c>
      <c r="C875" s="129" t="s">
        <v>1548</v>
      </c>
      <c r="D875" s="129" t="s">
        <v>1526</v>
      </c>
      <c r="E875" s="206" t="s">
        <v>269</v>
      </c>
      <c r="F875" s="129" t="s">
        <v>1138</v>
      </c>
      <c r="G875" s="198">
        <v>-65000</v>
      </c>
      <c r="J875" s="118"/>
    </row>
    <row r="876" spans="1:10" ht="15.6" x14ac:dyDescent="0.3">
      <c r="A876" s="127">
        <v>871</v>
      </c>
      <c r="B876" s="128">
        <v>43641</v>
      </c>
      <c r="C876" s="129" t="s">
        <v>1650</v>
      </c>
      <c r="D876" s="129" t="s">
        <v>1516</v>
      </c>
      <c r="E876" s="206" t="s">
        <v>269</v>
      </c>
      <c r="F876" s="129" t="s">
        <v>1138</v>
      </c>
      <c r="G876" s="198">
        <v>-5000</v>
      </c>
      <c r="J876" s="118"/>
    </row>
    <row r="877" spans="1:10" ht="15.6" x14ac:dyDescent="0.3">
      <c r="A877" s="127">
        <v>872</v>
      </c>
      <c r="B877" s="128">
        <v>43642</v>
      </c>
      <c r="C877" s="129" t="s">
        <v>1635</v>
      </c>
      <c r="D877" s="129" t="s">
        <v>1471</v>
      </c>
      <c r="E877" s="206" t="s">
        <v>269</v>
      </c>
      <c r="F877" s="129" t="s">
        <v>1138</v>
      </c>
      <c r="G877" s="198">
        <v>-2950</v>
      </c>
      <c r="J877" s="118"/>
    </row>
    <row r="878" spans="1:10" ht="15.6" x14ac:dyDescent="0.3">
      <c r="A878" s="127">
        <v>873</v>
      </c>
      <c r="B878" s="128">
        <v>43643</v>
      </c>
      <c r="C878" s="129" t="s">
        <v>113</v>
      </c>
      <c r="D878" s="129" t="s">
        <v>1529</v>
      </c>
      <c r="E878" s="206" t="s">
        <v>269</v>
      </c>
      <c r="F878" s="129" t="s">
        <v>1138</v>
      </c>
      <c r="G878" s="198">
        <v>-10000</v>
      </c>
      <c r="J878" s="118"/>
    </row>
    <row r="879" spans="1:10" ht="15.6" x14ac:dyDescent="0.3">
      <c r="A879" s="127">
        <v>874</v>
      </c>
      <c r="B879" s="128">
        <v>43643</v>
      </c>
      <c r="C879" s="129" t="s">
        <v>1635</v>
      </c>
      <c r="D879" s="129" t="s">
        <v>1471</v>
      </c>
      <c r="E879" s="206" t="s">
        <v>269</v>
      </c>
      <c r="F879" s="129" t="s">
        <v>1138</v>
      </c>
      <c r="G879" s="198">
        <v>-2060</v>
      </c>
      <c r="J879" s="118"/>
    </row>
    <row r="880" spans="1:10" ht="15.6" x14ac:dyDescent="0.3">
      <c r="A880" s="127">
        <v>875</v>
      </c>
      <c r="B880" s="128">
        <v>43643</v>
      </c>
      <c r="C880" s="129" t="s">
        <v>219</v>
      </c>
      <c r="D880" s="129" t="s">
        <v>1521</v>
      </c>
      <c r="E880" s="206" t="s">
        <v>269</v>
      </c>
      <c r="F880" s="129" t="s">
        <v>1138</v>
      </c>
      <c r="G880" s="198">
        <v>-250</v>
      </c>
      <c r="J880" s="118"/>
    </row>
    <row r="881" spans="1:10" ht="15.6" x14ac:dyDescent="0.3">
      <c r="A881" s="127">
        <v>876</v>
      </c>
      <c r="B881" s="128">
        <v>43644</v>
      </c>
      <c r="C881" s="129" t="s">
        <v>1650</v>
      </c>
      <c r="D881" s="129" t="s">
        <v>1516</v>
      </c>
      <c r="E881" s="206" t="s">
        <v>269</v>
      </c>
      <c r="F881" s="129" t="s">
        <v>1138</v>
      </c>
      <c r="G881" s="198">
        <v>-1000</v>
      </c>
      <c r="J881" s="118"/>
    </row>
    <row r="882" spans="1:10" ht="15.6" x14ac:dyDescent="0.3">
      <c r="A882" s="127">
        <v>877</v>
      </c>
      <c r="B882" s="128">
        <v>43644</v>
      </c>
      <c r="C882" s="129" t="s">
        <v>50</v>
      </c>
      <c r="D882" s="129" t="s">
        <v>1527</v>
      </c>
      <c r="E882" s="206" t="s">
        <v>269</v>
      </c>
      <c r="F882" s="129" t="s">
        <v>1138</v>
      </c>
      <c r="G882" s="198">
        <v>-25200</v>
      </c>
      <c r="J882" s="118"/>
    </row>
    <row r="883" spans="1:10" ht="15.6" x14ac:dyDescent="0.3">
      <c r="A883" s="127">
        <v>878</v>
      </c>
      <c r="B883" s="128">
        <v>43644</v>
      </c>
      <c r="C883" s="129" t="s">
        <v>1531</v>
      </c>
      <c r="D883" s="129" t="s">
        <v>1521</v>
      </c>
      <c r="E883" s="206" t="s">
        <v>269</v>
      </c>
      <c r="F883" s="129" t="s">
        <v>1138</v>
      </c>
      <c r="G883" s="198">
        <v>-600</v>
      </c>
      <c r="J883" s="118"/>
    </row>
    <row r="884" spans="1:10" ht="15.6" x14ac:dyDescent="0.3">
      <c r="A884" s="127">
        <v>879</v>
      </c>
      <c r="B884" s="128">
        <v>43645</v>
      </c>
      <c r="C884" s="129" t="s">
        <v>1650</v>
      </c>
      <c r="D884" s="129" t="s">
        <v>1516</v>
      </c>
      <c r="E884" s="206" t="s">
        <v>269</v>
      </c>
      <c r="F884" s="129" t="s">
        <v>1138</v>
      </c>
      <c r="G884" s="198">
        <v>-250</v>
      </c>
      <c r="J884" s="118"/>
    </row>
    <row r="885" spans="1:10" ht="15.6" x14ac:dyDescent="0.3">
      <c r="A885" s="127">
        <v>880</v>
      </c>
      <c r="B885" s="128">
        <v>43645</v>
      </c>
      <c r="C885" s="133" t="s">
        <v>1663</v>
      </c>
      <c r="D885" s="133" t="s">
        <v>1520</v>
      </c>
      <c r="E885" s="206" t="s">
        <v>269</v>
      </c>
      <c r="F885" s="133" t="s">
        <v>1148</v>
      </c>
      <c r="G885" s="141">
        <v>200000</v>
      </c>
      <c r="J885" s="118"/>
    </row>
    <row r="886" spans="1:10" ht="15.6" x14ac:dyDescent="0.3">
      <c r="A886" s="127">
        <v>881</v>
      </c>
      <c r="B886" s="128">
        <v>43646</v>
      </c>
      <c r="C886" s="129" t="s">
        <v>1548</v>
      </c>
      <c r="D886" s="129" t="s">
        <v>1526</v>
      </c>
      <c r="E886" s="206" t="s">
        <v>269</v>
      </c>
      <c r="F886" s="129" t="s">
        <v>1138</v>
      </c>
      <c r="G886" s="198">
        <v>-10000</v>
      </c>
      <c r="J886" s="118"/>
    </row>
    <row r="887" spans="1:10" ht="15.6" x14ac:dyDescent="0.3">
      <c r="A887" s="127">
        <v>882</v>
      </c>
      <c r="B887" s="128">
        <v>43647</v>
      </c>
      <c r="C887" s="133" t="s">
        <v>1622</v>
      </c>
      <c r="D887" s="133" t="s">
        <v>1520</v>
      </c>
      <c r="E887" s="206" t="s">
        <v>269</v>
      </c>
      <c r="F887" s="133" t="s">
        <v>1148</v>
      </c>
      <c r="G887" s="141">
        <v>30000</v>
      </c>
      <c r="J887" s="118"/>
    </row>
    <row r="888" spans="1:10" ht="15.6" x14ac:dyDescent="0.3">
      <c r="A888" s="127">
        <v>883</v>
      </c>
      <c r="B888" s="128">
        <v>43647</v>
      </c>
      <c r="C888" s="129" t="s">
        <v>1548</v>
      </c>
      <c r="D888" s="129" t="s">
        <v>1526</v>
      </c>
      <c r="E888" s="206" t="s">
        <v>269</v>
      </c>
      <c r="F888" s="129" t="s">
        <v>1138</v>
      </c>
      <c r="G888" s="198">
        <v>-30000</v>
      </c>
      <c r="J888" s="118"/>
    </row>
    <row r="889" spans="1:10" ht="15.6" x14ac:dyDescent="0.3">
      <c r="A889" s="127">
        <v>884</v>
      </c>
      <c r="B889" s="128">
        <v>43648</v>
      </c>
      <c r="C889" s="129" t="s">
        <v>113</v>
      </c>
      <c r="D889" s="129" t="s">
        <v>1529</v>
      </c>
      <c r="E889" s="206" t="s">
        <v>269</v>
      </c>
      <c r="F889" s="129" t="s">
        <v>1138</v>
      </c>
      <c r="G889" s="198">
        <v>-10000</v>
      </c>
      <c r="J889" s="118"/>
    </row>
    <row r="890" spans="1:10" ht="15.6" x14ac:dyDescent="0.3">
      <c r="A890" s="127">
        <v>885</v>
      </c>
      <c r="B890" s="128">
        <v>43648</v>
      </c>
      <c r="C890" s="129" t="s">
        <v>1664</v>
      </c>
      <c r="D890" s="129" t="s">
        <v>1516</v>
      </c>
      <c r="E890" s="206" t="s">
        <v>269</v>
      </c>
      <c r="F890" s="129" t="s">
        <v>1138</v>
      </c>
      <c r="G890" s="198">
        <v>-12400</v>
      </c>
      <c r="J890" s="118"/>
    </row>
    <row r="891" spans="1:10" ht="15.6" x14ac:dyDescent="0.3">
      <c r="A891" s="127">
        <v>886</v>
      </c>
      <c r="B891" s="128">
        <v>43649</v>
      </c>
      <c r="C891" s="129" t="s">
        <v>1548</v>
      </c>
      <c r="D891" s="129" t="s">
        <v>1526</v>
      </c>
      <c r="E891" s="206" t="s">
        <v>269</v>
      </c>
      <c r="F891" s="129" t="s">
        <v>1138</v>
      </c>
      <c r="G891" s="198">
        <v>-20000</v>
      </c>
      <c r="J891" s="118"/>
    </row>
    <row r="892" spans="1:10" ht="15.6" x14ac:dyDescent="0.3">
      <c r="A892" s="127">
        <v>887</v>
      </c>
      <c r="B892" s="128">
        <v>43649</v>
      </c>
      <c r="C892" s="129" t="s">
        <v>1665</v>
      </c>
      <c r="D892" s="129" t="s">
        <v>1516</v>
      </c>
      <c r="E892" s="206" t="s">
        <v>269</v>
      </c>
      <c r="F892" s="129" t="s">
        <v>1138</v>
      </c>
      <c r="G892" s="198">
        <v>-16850</v>
      </c>
      <c r="J892" s="118"/>
    </row>
    <row r="893" spans="1:10" ht="15.6" x14ac:dyDescent="0.3">
      <c r="A893" s="127">
        <v>888</v>
      </c>
      <c r="B893" s="128">
        <v>43649</v>
      </c>
      <c r="C893" s="129" t="s">
        <v>42</v>
      </c>
      <c r="D893" s="129" t="s">
        <v>1521</v>
      </c>
      <c r="E893" s="206" t="s">
        <v>269</v>
      </c>
      <c r="F893" s="129" t="s">
        <v>1138</v>
      </c>
      <c r="G893" s="198">
        <v>-50</v>
      </c>
      <c r="J893" s="118"/>
    </row>
    <row r="894" spans="1:10" ht="15.6" x14ac:dyDescent="0.3">
      <c r="A894" s="127">
        <v>889</v>
      </c>
      <c r="B894" s="128">
        <v>43650</v>
      </c>
      <c r="C894" s="129" t="s">
        <v>1548</v>
      </c>
      <c r="D894" s="129" t="s">
        <v>1526</v>
      </c>
      <c r="E894" s="206" t="s">
        <v>269</v>
      </c>
      <c r="F894" s="129" t="s">
        <v>1138</v>
      </c>
      <c r="G894" s="198">
        <v>-2000</v>
      </c>
      <c r="J894" s="118"/>
    </row>
    <row r="895" spans="1:10" ht="15.6" x14ac:dyDescent="0.3">
      <c r="A895" s="127">
        <v>890</v>
      </c>
      <c r="B895" s="128">
        <v>43650</v>
      </c>
      <c r="C895" s="129" t="s">
        <v>42</v>
      </c>
      <c r="D895" s="129" t="s">
        <v>1521</v>
      </c>
      <c r="E895" s="206" t="s">
        <v>269</v>
      </c>
      <c r="F895" s="129" t="s">
        <v>1138</v>
      </c>
      <c r="G895" s="198">
        <v>-50</v>
      </c>
      <c r="J895" s="118"/>
    </row>
    <row r="896" spans="1:10" ht="15.6" x14ac:dyDescent="0.3">
      <c r="A896" s="127">
        <v>891</v>
      </c>
      <c r="B896" s="128">
        <v>43650</v>
      </c>
      <c r="C896" s="129" t="s">
        <v>223</v>
      </c>
      <c r="D896" s="129" t="s">
        <v>1521</v>
      </c>
      <c r="E896" s="206" t="s">
        <v>269</v>
      </c>
      <c r="F896" s="129" t="s">
        <v>1138</v>
      </c>
      <c r="G896" s="198">
        <v>-300</v>
      </c>
      <c r="J896" s="118"/>
    </row>
    <row r="897" spans="1:10" ht="15.6" x14ac:dyDescent="0.3">
      <c r="A897" s="127">
        <v>892</v>
      </c>
      <c r="B897" s="128">
        <v>43652</v>
      </c>
      <c r="C897" s="129" t="s">
        <v>1548</v>
      </c>
      <c r="D897" s="129" t="s">
        <v>1526</v>
      </c>
      <c r="E897" s="206" t="s">
        <v>269</v>
      </c>
      <c r="F897" s="129" t="s">
        <v>1138</v>
      </c>
      <c r="G897" s="198">
        <v>-5000</v>
      </c>
      <c r="J897" s="118"/>
    </row>
    <row r="898" spans="1:10" ht="15.6" x14ac:dyDescent="0.3">
      <c r="A898" s="127">
        <v>893</v>
      </c>
      <c r="B898" s="128">
        <v>43652</v>
      </c>
      <c r="C898" s="129" t="s">
        <v>1666</v>
      </c>
      <c r="D898" s="129" t="s">
        <v>1516</v>
      </c>
      <c r="E898" s="206" t="s">
        <v>269</v>
      </c>
      <c r="F898" s="129" t="s">
        <v>1138</v>
      </c>
      <c r="G898" s="198">
        <v>-1500</v>
      </c>
      <c r="J898" s="118"/>
    </row>
    <row r="899" spans="1:10" ht="15.6" x14ac:dyDescent="0.3">
      <c r="A899" s="127">
        <v>894</v>
      </c>
      <c r="B899" s="128">
        <v>43652</v>
      </c>
      <c r="C899" s="129" t="s">
        <v>225</v>
      </c>
      <c r="D899" s="129" t="s">
        <v>1521</v>
      </c>
      <c r="E899" s="206" t="s">
        <v>269</v>
      </c>
      <c r="F899" s="129" t="s">
        <v>1138</v>
      </c>
      <c r="G899" s="198">
        <v>-500</v>
      </c>
      <c r="J899" s="118"/>
    </row>
    <row r="900" spans="1:10" ht="15.6" x14ac:dyDescent="0.3">
      <c r="A900" s="127">
        <v>895</v>
      </c>
      <c r="B900" s="128">
        <v>43652</v>
      </c>
      <c r="C900" s="129" t="s">
        <v>113</v>
      </c>
      <c r="D900" s="129" t="s">
        <v>1529</v>
      </c>
      <c r="E900" s="206" t="s">
        <v>269</v>
      </c>
      <c r="F900" s="129" t="s">
        <v>1138</v>
      </c>
      <c r="G900" s="198">
        <v>-20000</v>
      </c>
      <c r="J900" s="118"/>
    </row>
    <row r="901" spans="1:10" ht="15.6" x14ac:dyDescent="0.3">
      <c r="A901" s="127">
        <v>896</v>
      </c>
      <c r="B901" s="128">
        <v>43653</v>
      </c>
      <c r="C901" s="129" t="s">
        <v>1701</v>
      </c>
      <c r="D901" s="129" t="s">
        <v>1526</v>
      </c>
      <c r="E901" s="206" t="s">
        <v>269</v>
      </c>
      <c r="F901" s="129" t="s">
        <v>1138</v>
      </c>
      <c r="G901" s="198">
        <v>-12000</v>
      </c>
      <c r="J901" s="118"/>
    </row>
    <row r="902" spans="1:10" ht="15.6" x14ac:dyDescent="0.3">
      <c r="A902" s="127">
        <v>897</v>
      </c>
      <c r="B902" s="128">
        <v>43654</v>
      </c>
      <c r="C902" s="129" t="s">
        <v>1548</v>
      </c>
      <c r="D902" s="129" t="s">
        <v>1526</v>
      </c>
      <c r="E902" s="206" t="s">
        <v>269</v>
      </c>
      <c r="F902" s="129" t="s">
        <v>1138</v>
      </c>
      <c r="G902" s="198">
        <v>-6000</v>
      </c>
      <c r="J902" s="118"/>
    </row>
    <row r="903" spans="1:10" ht="15.6" x14ac:dyDescent="0.3">
      <c r="A903" s="127">
        <v>898</v>
      </c>
      <c r="B903" s="128">
        <v>43654</v>
      </c>
      <c r="C903" s="129" t="s">
        <v>1666</v>
      </c>
      <c r="D903" s="129" t="s">
        <v>1516</v>
      </c>
      <c r="E903" s="206" t="s">
        <v>269</v>
      </c>
      <c r="F903" s="129" t="s">
        <v>1138</v>
      </c>
      <c r="G903" s="198">
        <v>-1500</v>
      </c>
      <c r="J903" s="118"/>
    </row>
    <row r="904" spans="1:10" ht="15.6" x14ac:dyDescent="0.3">
      <c r="A904" s="127">
        <v>899</v>
      </c>
      <c r="B904" s="128">
        <v>43654</v>
      </c>
      <c r="C904" s="129" t="s">
        <v>1667</v>
      </c>
      <c r="D904" s="129" t="s">
        <v>1523</v>
      </c>
      <c r="E904" s="206" t="s">
        <v>269</v>
      </c>
      <c r="F904" s="129" t="s">
        <v>1138</v>
      </c>
      <c r="G904" s="198">
        <v>-50000</v>
      </c>
      <c r="J904" s="118"/>
    </row>
    <row r="905" spans="1:10" ht="15.6" x14ac:dyDescent="0.3">
      <c r="A905" s="127">
        <v>900</v>
      </c>
      <c r="B905" s="128">
        <v>43655</v>
      </c>
      <c r="C905" s="133" t="s">
        <v>1622</v>
      </c>
      <c r="D905" s="133" t="s">
        <v>1520</v>
      </c>
      <c r="E905" s="206" t="s">
        <v>269</v>
      </c>
      <c r="F905" s="133" t="s">
        <v>1148</v>
      </c>
      <c r="G905" s="141">
        <v>100000</v>
      </c>
      <c r="J905" s="118"/>
    </row>
    <row r="906" spans="1:10" ht="15.6" x14ac:dyDescent="0.3">
      <c r="A906" s="127">
        <v>901</v>
      </c>
      <c r="B906" s="128">
        <v>43655</v>
      </c>
      <c r="C906" s="129" t="s">
        <v>1666</v>
      </c>
      <c r="D906" s="129" t="s">
        <v>1516</v>
      </c>
      <c r="E906" s="206" t="s">
        <v>269</v>
      </c>
      <c r="F906" s="129" t="s">
        <v>1138</v>
      </c>
      <c r="G906" s="198">
        <v>-1500</v>
      </c>
      <c r="J906" s="118"/>
    </row>
    <row r="907" spans="1:10" ht="15.6" x14ac:dyDescent="0.3">
      <c r="A907" s="127">
        <v>902</v>
      </c>
      <c r="B907" s="128">
        <v>43655</v>
      </c>
      <c r="C907" s="129" t="s">
        <v>1548</v>
      </c>
      <c r="D907" s="129" t="s">
        <v>1526</v>
      </c>
      <c r="E907" s="206" t="s">
        <v>269</v>
      </c>
      <c r="F907" s="129" t="s">
        <v>1138</v>
      </c>
      <c r="G907" s="198">
        <v>-40000</v>
      </c>
      <c r="J907" s="118"/>
    </row>
    <row r="908" spans="1:10" ht="15.6" x14ac:dyDescent="0.3">
      <c r="A908" s="127">
        <v>903</v>
      </c>
      <c r="B908" s="128">
        <v>43655</v>
      </c>
      <c r="C908" s="130" t="s">
        <v>1668</v>
      </c>
      <c r="D908" s="130" t="s">
        <v>1530</v>
      </c>
      <c r="E908" s="206" t="s">
        <v>269</v>
      </c>
      <c r="F908" s="129" t="s">
        <v>1138</v>
      </c>
      <c r="G908" s="198">
        <v>-40000</v>
      </c>
      <c r="J908" s="118"/>
    </row>
    <row r="909" spans="1:10" ht="15.6" x14ac:dyDescent="0.3">
      <c r="A909" s="127">
        <v>904</v>
      </c>
      <c r="B909" s="128">
        <v>43655</v>
      </c>
      <c r="C909" s="129" t="s">
        <v>1650</v>
      </c>
      <c r="D909" s="129" t="s">
        <v>1516</v>
      </c>
      <c r="E909" s="206" t="s">
        <v>269</v>
      </c>
      <c r="F909" s="129" t="s">
        <v>1138</v>
      </c>
      <c r="G909" s="198">
        <v>-5000</v>
      </c>
      <c r="J909" s="118"/>
    </row>
    <row r="910" spans="1:10" ht="15.6" x14ac:dyDescent="0.3">
      <c r="A910" s="127">
        <v>905</v>
      </c>
      <c r="B910" s="128">
        <v>43655</v>
      </c>
      <c r="C910" s="129" t="s">
        <v>1669</v>
      </c>
      <c r="D910" s="129" t="s">
        <v>1517</v>
      </c>
      <c r="E910" s="206" t="s">
        <v>269</v>
      </c>
      <c r="F910" s="129" t="s">
        <v>1138</v>
      </c>
      <c r="G910" s="198">
        <v>-60000</v>
      </c>
      <c r="J910" s="118"/>
    </row>
    <row r="911" spans="1:10" ht="15.6" x14ac:dyDescent="0.3">
      <c r="A911" s="127">
        <v>906</v>
      </c>
      <c r="B911" s="128">
        <v>43657</v>
      </c>
      <c r="C911" s="129" t="s">
        <v>1548</v>
      </c>
      <c r="D911" s="129" t="s">
        <v>1526</v>
      </c>
      <c r="E911" s="206" t="s">
        <v>269</v>
      </c>
      <c r="F911" s="129" t="s">
        <v>1138</v>
      </c>
      <c r="G911" s="198">
        <v>-11000</v>
      </c>
      <c r="J911" s="118"/>
    </row>
    <row r="912" spans="1:10" ht="15.6" x14ac:dyDescent="0.3">
      <c r="A912" s="127">
        <v>907</v>
      </c>
      <c r="B912" s="128">
        <v>43657</v>
      </c>
      <c r="C912" s="129" t="s">
        <v>1666</v>
      </c>
      <c r="D912" s="129" t="s">
        <v>1516</v>
      </c>
      <c r="E912" s="206" t="s">
        <v>269</v>
      </c>
      <c r="F912" s="129" t="s">
        <v>1138</v>
      </c>
      <c r="G912" s="198">
        <v>-3000</v>
      </c>
      <c r="J912" s="118"/>
    </row>
    <row r="913" spans="1:10" ht="15.6" x14ac:dyDescent="0.3">
      <c r="A913" s="127">
        <v>908</v>
      </c>
      <c r="B913" s="128">
        <v>43658</v>
      </c>
      <c r="C913" s="129" t="s">
        <v>1548</v>
      </c>
      <c r="D913" s="129" t="s">
        <v>1526</v>
      </c>
      <c r="E913" s="206" t="s">
        <v>269</v>
      </c>
      <c r="F913" s="129" t="s">
        <v>1138</v>
      </c>
      <c r="G913" s="198">
        <v>-14000</v>
      </c>
      <c r="J913" s="118"/>
    </row>
    <row r="914" spans="1:10" ht="15.6" x14ac:dyDescent="0.3">
      <c r="A914" s="127">
        <v>909</v>
      </c>
      <c r="B914" s="128">
        <v>43658</v>
      </c>
      <c r="C914" s="129" t="s">
        <v>1666</v>
      </c>
      <c r="D914" s="129" t="s">
        <v>1516</v>
      </c>
      <c r="E914" s="206" t="s">
        <v>269</v>
      </c>
      <c r="F914" s="129" t="s">
        <v>1138</v>
      </c>
      <c r="G914" s="198">
        <v>-5000</v>
      </c>
      <c r="J914" s="118"/>
    </row>
    <row r="915" spans="1:10" ht="15.6" x14ac:dyDescent="0.3">
      <c r="A915" s="127">
        <v>910</v>
      </c>
      <c r="B915" s="128">
        <v>43659</v>
      </c>
      <c r="C915" s="129" t="s">
        <v>1548</v>
      </c>
      <c r="D915" s="129" t="s">
        <v>1526</v>
      </c>
      <c r="E915" s="206" t="s">
        <v>269</v>
      </c>
      <c r="F915" s="129" t="s">
        <v>1138</v>
      </c>
      <c r="G915" s="198">
        <v>-10000</v>
      </c>
      <c r="J915" s="118"/>
    </row>
    <row r="916" spans="1:10" ht="15.6" x14ac:dyDescent="0.3">
      <c r="A916" s="127">
        <v>911</v>
      </c>
      <c r="B916" s="128">
        <v>43659</v>
      </c>
      <c r="C916" s="129" t="s">
        <v>1666</v>
      </c>
      <c r="D916" s="129" t="s">
        <v>1516</v>
      </c>
      <c r="E916" s="206" t="s">
        <v>269</v>
      </c>
      <c r="F916" s="129" t="s">
        <v>1138</v>
      </c>
      <c r="G916" s="198">
        <v>-1500</v>
      </c>
      <c r="J916" s="118"/>
    </row>
    <row r="917" spans="1:10" ht="15.6" x14ac:dyDescent="0.3">
      <c r="A917" s="127">
        <v>912</v>
      </c>
      <c r="B917" s="128">
        <v>43659</v>
      </c>
      <c r="C917" s="133" t="s">
        <v>1670</v>
      </c>
      <c r="D917" s="133" t="s">
        <v>1520</v>
      </c>
      <c r="E917" s="206" t="s">
        <v>269</v>
      </c>
      <c r="F917" s="133" t="s">
        <v>1148</v>
      </c>
      <c r="G917" s="141">
        <v>100000</v>
      </c>
      <c r="J917" s="118"/>
    </row>
    <row r="918" spans="1:10" ht="15.6" x14ac:dyDescent="0.3">
      <c r="A918" s="127">
        <v>913</v>
      </c>
      <c r="B918" s="128">
        <v>43660</v>
      </c>
      <c r="C918" s="129" t="s">
        <v>1548</v>
      </c>
      <c r="D918" s="129" t="s">
        <v>1526</v>
      </c>
      <c r="E918" s="206" t="s">
        <v>269</v>
      </c>
      <c r="F918" s="129" t="s">
        <v>1138</v>
      </c>
      <c r="G918" s="198">
        <v>-20000</v>
      </c>
      <c r="J918" s="118"/>
    </row>
    <row r="919" spans="1:10" ht="15.6" x14ac:dyDescent="0.3">
      <c r="A919" s="127">
        <v>914</v>
      </c>
      <c r="B919" s="128">
        <v>43660</v>
      </c>
      <c r="C919" s="129" t="s">
        <v>113</v>
      </c>
      <c r="D919" s="129" t="s">
        <v>1529</v>
      </c>
      <c r="E919" s="206" t="s">
        <v>269</v>
      </c>
      <c r="F919" s="129" t="s">
        <v>1138</v>
      </c>
      <c r="G919" s="198">
        <v>-20000</v>
      </c>
      <c r="J919" s="118"/>
    </row>
    <row r="920" spans="1:10" ht="15.6" x14ac:dyDescent="0.3">
      <c r="A920" s="127">
        <v>915</v>
      </c>
      <c r="B920" s="128">
        <v>43660</v>
      </c>
      <c r="C920" s="129" t="s">
        <v>1666</v>
      </c>
      <c r="D920" s="129" t="s">
        <v>1516</v>
      </c>
      <c r="E920" s="206" t="s">
        <v>269</v>
      </c>
      <c r="F920" s="129" t="s">
        <v>1138</v>
      </c>
      <c r="G920" s="198">
        <v>-1500</v>
      </c>
      <c r="J920" s="118"/>
    </row>
    <row r="921" spans="1:10" ht="15.6" x14ac:dyDescent="0.3">
      <c r="A921" s="127">
        <v>916</v>
      </c>
      <c r="B921" s="128">
        <v>43662</v>
      </c>
      <c r="C921" s="129" t="s">
        <v>113</v>
      </c>
      <c r="D921" s="129" t="s">
        <v>1529</v>
      </c>
      <c r="E921" s="206" t="s">
        <v>269</v>
      </c>
      <c r="F921" s="129" t="s">
        <v>1138</v>
      </c>
      <c r="G921" s="198">
        <v>-20000</v>
      </c>
      <c r="J921" s="118"/>
    </row>
    <row r="922" spans="1:10" ht="15.6" x14ac:dyDescent="0.3">
      <c r="A922" s="127">
        <v>917</v>
      </c>
      <c r="B922" s="128">
        <v>43662</v>
      </c>
      <c r="C922" s="129" t="s">
        <v>1666</v>
      </c>
      <c r="D922" s="129" t="s">
        <v>1516</v>
      </c>
      <c r="E922" s="206" t="s">
        <v>269</v>
      </c>
      <c r="F922" s="129" t="s">
        <v>1138</v>
      </c>
      <c r="G922" s="198">
        <v>-1500</v>
      </c>
      <c r="J922" s="118"/>
    </row>
    <row r="923" spans="1:10" ht="15.6" x14ac:dyDescent="0.3">
      <c r="A923" s="127">
        <v>918</v>
      </c>
      <c r="B923" s="128">
        <v>43662</v>
      </c>
      <c r="C923" s="129" t="s">
        <v>1548</v>
      </c>
      <c r="D923" s="129" t="s">
        <v>1526</v>
      </c>
      <c r="E923" s="206" t="s">
        <v>269</v>
      </c>
      <c r="F923" s="129" t="s">
        <v>1138</v>
      </c>
      <c r="G923" s="198">
        <v>-20000</v>
      </c>
      <c r="J923" s="118"/>
    </row>
    <row r="924" spans="1:10" ht="15.6" x14ac:dyDescent="0.3">
      <c r="A924" s="127">
        <v>919</v>
      </c>
      <c r="B924" s="128">
        <v>43662</v>
      </c>
      <c r="C924" s="129" t="s">
        <v>1650</v>
      </c>
      <c r="D924" s="129" t="s">
        <v>1516</v>
      </c>
      <c r="E924" s="206" t="s">
        <v>269</v>
      </c>
      <c r="F924" s="129" t="s">
        <v>1138</v>
      </c>
      <c r="G924" s="198">
        <v>-2000</v>
      </c>
      <c r="J924" s="118"/>
    </row>
    <row r="925" spans="1:10" ht="15.6" x14ac:dyDescent="0.3">
      <c r="A925" s="127">
        <v>920</v>
      </c>
      <c r="B925" s="128">
        <v>43663</v>
      </c>
      <c r="C925" s="129" t="s">
        <v>1666</v>
      </c>
      <c r="D925" s="129" t="s">
        <v>1516</v>
      </c>
      <c r="E925" s="206" t="s">
        <v>269</v>
      </c>
      <c r="F925" s="129" t="s">
        <v>1138</v>
      </c>
      <c r="G925" s="198">
        <v>-9000</v>
      </c>
      <c r="J925" s="118"/>
    </row>
    <row r="926" spans="1:10" ht="15.6" x14ac:dyDescent="0.3">
      <c r="A926" s="127">
        <v>921</v>
      </c>
      <c r="B926" s="128">
        <v>43663</v>
      </c>
      <c r="C926" s="129" t="s">
        <v>1548</v>
      </c>
      <c r="D926" s="129" t="s">
        <v>1526</v>
      </c>
      <c r="E926" s="206" t="s">
        <v>269</v>
      </c>
      <c r="F926" s="129" t="s">
        <v>1138</v>
      </c>
      <c r="G926" s="198">
        <v>-20000</v>
      </c>
      <c r="J926" s="118"/>
    </row>
    <row r="927" spans="1:10" ht="15.6" x14ac:dyDescent="0.3">
      <c r="A927" s="127">
        <v>922</v>
      </c>
      <c r="B927" s="128">
        <v>43664</v>
      </c>
      <c r="C927" s="129" t="s">
        <v>1548</v>
      </c>
      <c r="D927" s="129" t="s">
        <v>1526</v>
      </c>
      <c r="E927" s="206" t="s">
        <v>269</v>
      </c>
      <c r="F927" s="129" t="s">
        <v>1138</v>
      </c>
      <c r="G927" s="198">
        <v>-12000</v>
      </c>
      <c r="J927" s="118"/>
    </row>
    <row r="928" spans="1:10" ht="15.6" x14ac:dyDescent="0.3">
      <c r="A928" s="127">
        <v>923</v>
      </c>
      <c r="B928" s="128">
        <v>43665</v>
      </c>
      <c r="C928" s="129" t="s">
        <v>1548</v>
      </c>
      <c r="D928" s="129" t="s">
        <v>1526</v>
      </c>
      <c r="E928" s="206" t="s">
        <v>269</v>
      </c>
      <c r="F928" s="129" t="s">
        <v>1138</v>
      </c>
      <c r="G928" s="198">
        <v>-12000</v>
      </c>
      <c r="J928" s="118"/>
    </row>
    <row r="929" spans="1:10" ht="15.6" x14ac:dyDescent="0.3">
      <c r="A929" s="127">
        <v>924</v>
      </c>
      <c r="B929" s="128">
        <v>43665</v>
      </c>
      <c r="C929" s="129" t="s">
        <v>1666</v>
      </c>
      <c r="D929" s="129" t="s">
        <v>1516</v>
      </c>
      <c r="E929" s="206" t="s">
        <v>269</v>
      </c>
      <c r="F929" s="129" t="s">
        <v>1138</v>
      </c>
      <c r="G929" s="198">
        <v>-1500</v>
      </c>
      <c r="J929" s="118"/>
    </row>
    <row r="930" spans="1:10" ht="15.6" x14ac:dyDescent="0.3">
      <c r="A930" s="127">
        <v>925</v>
      </c>
      <c r="B930" s="128">
        <v>43668</v>
      </c>
      <c r="C930" s="129" t="s">
        <v>1650</v>
      </c>
      <c r="D930" s="129" t="s">
        <v>1516</v>
      </c>
      <c r="E930" s="206" t="s">
        <v>269</v>
      </c>
      <c r="F930" s="129" t="s">
        <v>1138</v>
      </c>
      <c r="G930" s="198">
        <v>-5000</v>
      </c>
      <c r="J930" s="118"/>
    </row>
    <row r="931" spans="1:10" ht="15.6" x14ac:dyDescent="0.3">
      <c r="A931" s="127">
        <v>926</v>
      </c>
      <c r="B931" s="128">
        <v>43668</v>
      </c>
      <c r="C931" s="133" t="s">
        <v>1671</v>
      </c>
      <c r="D931" s="133" t="s">
        <v>1520</v>
      </c>
      <c r="E931" s="206" t="s">
        <v>269</v>
      </c>
      <c r="F931" s="133" t="s">
        <v>1148</v>
      </c>
      <c r="G931" s="141">
        <v>80000</v>
      </c>
      <c r="J931" s="118"/>
    </row>
    <row r="932" spans="1:10" ht="15.6" x14ac:dyDescent="0.3">
      <c r="A932" s="127">
        <v>927</v>
      </c>
      <c r="B932" s="128">
        <v>43668</v>
      </c>
      <c r="C932" s="129" t="s">
        <v>1548</v>
      </c>
      <c r="D932" s="129" t="s">
        <v>1526</v>
      </c>
      <c r="E932" s="206" t="s">
        <v>269</v>
      </c>
      <c r="F932" s="129" t="s">
        <v>1138</v>
      </c>
      <c r="G932" s="198">
        <v>-40000</v>
      </c>
      <c r="J932" s="118"/>
    </row>
    <row r="933" spans="1:10" ht="15.6" x14ac:dyDescent="0.3">
      <c r="A933" s="127">
        <v>928</v>
      </c>
      <c r="B933" s="128">
        <v>43668</v>
      </c>
      <c r="C933" s="129" t="s">
        <v>113</v>
      </c>
      <c r="D933" s="129" t="s">
        <v>1529</v>
      </c>
      <c r="E933" s="206" t="s">
        <v>269</v>
      </c>
      <c r="F933" s="129" t="s">
        <v>1138</v>
      </c>
      <c r="G933" s="198">
        <v>-40000</v>
      </c>
      <c r="J933" s="118"/>
    </row>
    <row r="934" spans="1:10" ht="15.6" x14ac:dyDescent="0.3">
      <c r="A934" s="127">
        <v>929</v>
      </c>
      <c r="B934" s="128">
        <v>43671</v>
      </c>
      <c r="C934" s="133" t="s">
        <v>1622</v>
      </c>
      <c r="D934" s="133" t="s">
        <v>1520</v>
      </c>
      <c r="E934" s="206" t="s">
        <v>269</v>
      </c>
      <c r="F934" s="133" t="s">
        <v>1148</v>
      </c>
      <c r="G934" s="141">
        <v>50000</v>
      </c>
      <c r="J934" s="118"/>
    </row>
    <row r="935" spans="1:10" ht="15.6" x14ac:dyDescent="0.3">
      <c r="A935" s="127">
        <v>930</v>
      </c>
      <c r="B935" s="128">
        <v>43671</v>
      </c>
      <c r="C935" s="129" t="s">
        <v>1548</v>
      </c>
      <c r="D935" s="129" t="s">
        <v>1526</v>
      </c>
      <c r="E935" s="206" t="s">
        <v>269</v>
      </c>
      <c r="F935" s="129" t="s">
        <v>1138</v>
      </c>
      <c r="G935" s="198">
        <v>-40000</v>
      </c>
      <c r="J935" s="118"/>
    </row>
    <row r="936" spans="1:10" ht="15.6" x14ac:dyDescent="0.3">
      <c r="A936" s="127">
        <v>931</v>
      </c>
      <c r="B936" s="128">
        <v>43671</v>
      </c>
      <c r="C936" s="129" t="s">
        <v>113</v>
      </c>
      <c r="D936" s="129" t="s">
        <v>1529</v>
      </c>
      <c r="E936" s="206" t="s">
        <v>269</v>
      </c>
      <c r="F936" s="129" t="s">
        <v>1138</v>
      </c>
      <c r="G936" s="198">
        <v>-20000</v>
      </c>
      <c r="J936" s="118"/>
    </row>
    <row r="937" spans="1:10" ht="15.6" x14ac:dyDescent="0.3">
      <c r="A937" s="127">
        <v>932</v>
      </c>
      <c r="B937" s="128">
        <v>43674</v>
      </c>
      <c r="C937" s="129" t="s">
        <v>1650</v>
      </c>
      <c r="D937" s="129" t="s">
        <v>1516</v>
      </c>
      <c r="E937" s="206" t="s">
        <v>269</v>
      </c>
      <c r="F937" s="129" t="s">
        <v>1138</v>
      </c>
      <c r="G937" s="198">
        <v>-1000</v>
      </c>
      <c r="J937" s="118"/>
    </row>
    <row r="938" spans="1:10" ht="15.6" x14ac:dyDescent="0.3">
      <c r="A938" s="127">
        <v>933</v>
      </c>
      <c r="B938" s="128">
        <v>43676</v>
      </c>
      <c r="C938" s="129" t="s">
        <v>1548</v>
      </c>
      <c r="D938" s="129" t="s">
        <v>1526</v>
      </c>
      <c r="E938" s="206" t="s">
        <v>269</v>
      </c>
      <c r="F938" s="129" t="s">
        <v>1138</v>
      </c>
      <c r="G938" s="198">
        <v>-10000</v>
      </c>
      <c r="J938" s="118"/>
    </row>
    <row r="939" spans="1:10" ht="15.6" x14ac:dyDescent="0.3">
      <c r="A939" s="127">
        <v>934</v>
      </c>
      <c r="B939" s="128">
        <v>43678</v>
      </c>
      <c r="C939" s="133" t="s">
        <v>1622</v>
      </c>
      <c r="D939" s="133" t="s">
        <v>1520</v>
      </c>
      <c r="E939" s="206" t="s">
        <v>269</v>
      </c>
      <c r="F939" s="133" t="s">
        <v>1148</v>
      </c>
      <c r="G939" s="141">
        <v>150000</v>
      </c>
      <c r="J939" s="118"/>
    </row>
    <row r="940" spans="1:10" ht="15.6" x14ac:dyDescent="0.3">
      <c r="A940" s="127">
        <v>935</v>
      </c>
      <c r="B940" s="128">
        <v>43678</v>
      </c>
      <c r="C940" s="129" t="s">
        <v>1548</v>
      </c>
      <c r="D940" s="129" t="s">
        <v>1526</v>
      </c>
      <c r="E940" s="206" t="s">
        <v>269</v>
      </c>
      <c r="F940" s="129" t="s">
        <v>1138</v>
      </c>
      <c r="G940" s="198">
        <v>-100000</v>
      </c>
      <c r="J940" s="118"/>
    </row>
    <row r="941" spans="1:10" ht="15.6" x14ac:dyDescent="0.3">
      <c r="A941" s="127">
        <v>936</v>
      </c>
      <c r="B941" s="128">
        <v>43678</v>
      </c>
      <c r="C941" s="129" t="s">
        <v>1672</v>
      </c>
      <c r="D941" s="129" t="s">
        <v>1516</v>
      </c>
      <c r="E941" s="206" t="s">
        <v>269</v>
      </c>
      <c r="F941" s="129" t="s">
        <v>1138</v>
      </c>
      <c r="G941" s="198">
        <v>-15500</v>
      </c>
      <c r="J941" s="118"/>
    </row>
    <row r="942" spans="1:10" ht="15.6" x14ac:dyDescent="0.3">
      <c r="A942" s="127">
        <v>937</v>
      </c>
      <c r="B942" s="128">
        <v>43678</v>
      </c>
      <c r="C942" s="129" t="s">
        <v>1673</v>
      </c>
      <c r="D942" s="129" t="s">
        <v>1516</v>
      </c>
      <c r="E942" s="206" t="s">
        <v>269</v>
      </c>
      <c r="F942" s="129" t="s">
        <v>1138</v>
      </c>
      <c r="G942" s="198">
        <v>-1350</v>
      </c>
      <c r="J942" s="118"/>
    </row>
    <row r="943" spans="1:10" ht="15.6" x14ac:dyDescent="0.3">
      <c r="A943" s="127">
        <v>938</v>
      </c>
      <c r="B943" s="128">
        <v>43678</v>
      </c>
      <c r="C943" s="129" t="s">
        <v>1674</v>
      </c>
      <c r="D943" s="129" t="s">
        <v>1516</v>
      </c>
      <c r="E943" s="206" t="s">
        <v>269</v>
      </c>
      <c r="F943" s="129" t="s">
        <v>1138</v>
      </c>
      <c r="G943" s="198">
        <v>-900</v>
      </c>
      <c r="J943" s="118"/>
    </row>
    <row r="944" spans="1:10" ht="15.6" x14ac:dyDescent="0.3">
      <c r="A944" s="127">
        <v>939</v>
      </c>
      <c r="B944" s="128">
        <v>43678</v>
      </c>
      <c r="C944" s="129" t="s">
        <v>1675</v>
      </c>
      <c r="D944" s="129" t="s">
        <v>1516</v>
      </c>
      <c r="E944" s="206" t="s">
        <v>269</v>
      </c>
      <c r="F944" s="129" t="s">
        <v>1138</v>
      </c>
      <c r="G944" s="198">
        <v>-4500</v>
      </c>
      <c r="J944" s="118"/>
    </row>
    <row r="945" spans="1:10" ht="15.6" x14ac:dyDescent="0.3">
      <c r="A945" s="127">
        <v>940</v>
      </c>
      <c r="B945" s="128">
        <v>43678</v>
      </c>
      <c r="C945" s="129" t="s">
        <v>1676</v>
      </c>
      <c r="D945" s="129" t="s">
        <v>1516</v>
      </c>
      <c r="E945" s="206" t="s">
        <v>269</v>
      </c>
      <c r="F945" s="129" t="s">
        <v>1138</v>
      </c>
      <c r="G945" s="198">
        <v>-2700</v>
      </c>
      <c r="J945" s="118"/>
    </row>
    <row r="946" spans="1:10" ht="15.6" x14ac:dyDescent="0.3">
      <c r="A946" s="127">
        <v>941</v>
      </c>
      <c r="B946" s="128">
        <v>43678</v>
      </c>
      <c r="C946" s="129" t="s">
        <v>236</v>
      </c>
      <c r="D946" s="129" t="s">
        <v>1516</v>
      </c>
      <c r="E946" s="206" t="s">
        <v>269</v>
      </c>
      <c r="F946" s="129" t="s">
        <v>1138</v>
      </c>
      <c r="G946" s="198">
        <v>-5400</v>
      </c>
      <c r="J946" s="118"/>
    </row>
    <row r="947" spans="1:10" ht="15.6" x14ac:dyDescent="0.3">
      <c r="A947" s="127">
        <v>942</v>
      </c>
      <c r="B947" s="128">
        <v>43679</v>
      </c>
      <c r="C947" s="129" t="s">
        <v>1650</v>
      </c>
      <c r="D947" s="129" t="s">
        <v>1516</v>
      </c>
      <c r="E947" s="206" t="s">
        <v>269</v>
      </c>
      <c r="F947" s="129" t="s">
        <v>1138</v>
      </c>
      <c r="G947" s="198">
        <v>-500</v>
      </c>
      <c r="J947" s="118"/>
    </row>
    <row r="948" spans="1:10" ht="15.6" x14ac:dyDescent="0.3">
      <c r="A948" s="127">
        <v>943</v>
      </c>
      <c r="B948" s="128">
        <v>43682</v>
      </c>
      <c r="C948" s="133" t="s">
        <v>1677</v>
      </c>
      <c r="D948" s="133" t="s">
        <v>1520</v>
      </c>
      <c r="E948" s="206" t="s">
        <v>269</v>
      </c>
      <c r="F948" s="133" t="s">
        <v>1148</v>
      </c>
      <c r="G948" s="141">
        <v>200000</v>
      </c>
      <c r="J948" s="118"/>
    </row>
    <row r="949" spans="1:10" ht="15.6" x14ac:dyDescent="0.3">
      <c r="A949" s="127">
        <v>944</v>
      </c>
      <c r="B949" s="128">
        <v>43682</v>
      </c>
      <c r="C949" s="129" t="s">
        <v>113</v>
      </c>
      <c r="D949" s="129" t="s">
        <v>1529</v>
      </c>
      <c r="E949" s="206" t="s">
        <v>269</v>
      </c>
      <c r="F949" s="129" t="s">
        <v>1138</v>
      </c>
      <c r="G949" s="198">
        <v>-80000</v>
      </c>
      <c r="J949" s="118"/>
    </row>
    <row r="950" spans="1:10" ht="15.6" x14ac:dyDescent="0.3">
      <c r="A950" s="127">
        <v>945</v>
      </c>
      <c r="B950" s="128">
        <v>43682</v>
      </c>
      <c r="C950" s="129" t="s">
        <v>1548</v>
      </c>
      <c r="D950" s="129" t="s">
        <v>1526</v>
      </c>
      <c r="E950" s="206" t="s">
        <v>269</v>
      </c>
      <c r="F950" s="129" t="s">
        <v>1138</v>
      </c>
      <c r="G950" s="198">
        <v>-70000</v>
      </c>
      <c r="J950" s="118"/>
    </row>
    <row r="951" spans="1:10" ht="15.6" x14ac:dyDescent="0.3">
      <c r="A951" s="127">
        <v>946</v>
      </c>
      <c r="B951" s="128">
        <v>43682</v>
      </c>
      <c r="C951" s="129" t="s">
        <v>1678</v>
      </c>
      <c r="D951" s="129" t="s">
        <v>1523</v>
      </c>
      <c r="E951" s="206" t="s">
        <v>269</v>
      </c>
      <c r="F951" s="129" t="s">
        <v>1138</v>
      </c>
      <c r="G951" s="198">
        <v>-40000</v>
      </c>
      <c r="J951" s="118"/>
    </row>
    <row r="952" spans="1:10" ht="15.6" x14ac:dyDescent="0.3">
      <c r="A952" s="127">
        <v>947</v>
      </c>
      <c r="B952" s="128">
        <v>43684</v>
      </c>
      <c r="C952" s="129" t="s">
        <v>119</v>
      </c>
      <c r="D952" s="129" t="s">
        <v>1521</v>
      </c>
      <c r="E952" s="206" t="s">
        <v>269</v>
      </c>
      <c r="F952" s="129" t="s">
        <v>1138</v>
      </c>
      <c r="G952" s="198">
        <v>-200</v>
      </c>
      <c r="J952" s="118"/>
    </row>
    <row r="953" spans="1:10" ht="15.6" x14ac:dyDescent="0.3">
      <c r="A953" s="127">
        <v>948</v>
      </c>
      <c r="B953" s="128">
        <v>43684</v>
      </c>
      <c r="C953" s="129" t="s">
        <v>239</v>
      </c>
      <c r="D953" s="129" t="s">
        <v>1521</v>
      </c>
      <c r="E953" s="206" t="s">
        <v>269</v>
      </c>
      <c r="F953" s="129" t="s">
        <v>1138</v>
      </c>
      <c r="G953" s="198">
        <v>-1660</v>
      </c>
      <c r="J953" s="118"/>
    </row>
    <row r="954" spans="1:10" ht="15.6" x14ac:dyDescent="0.3">
      <c r="A954" s="127">
        <v>949</v>
      </c>
      <c r="B954" s="128">
        <v>43685</v>
      </c>
      <c r="C954" s="129" t="s">
        <v>1548</v>
      </c>
      <c r="D954" s="129" t="s">
        <v>1526</v>
      </c>
      <c r="E954" s="206" t="s">
        <v>269</v>
      </c>
      <c r="F954" s="129" t="s">
        <v>1138</v>
      </c>
      <c r="G954" s="198">
        <v>-13000</v>
      </c>
      <c r="J954" s="118"/>
    </row>
    <row r="955" spans="1:10" ht="15.6" x14ac:dyDescent="0.3">
      <c r="A955" s="127">
        <v>950</v>
      </c>
      <c r="B955" s="128">
        <v>43685</v>
      </c>
      <c r="C955" s="129" t="s">
        <v>1679</v>
      </c>
      <c r="D955" s="129" t="s">
        <v>1517</v>
      </c>
      <c r="E955" s="206" t="s">
        <v>269</v>
      </c>
      <c r="F955" s="129" t="s">
        <v>1138</v>
      </c>
      <c r="G955" s="198">
        <v>-60000</v>
      </c>
      <c r="J955" s="118"/>
    </row>
    <row r="956" spans="1:10" ht="15.6" x14ac:dyDescent="0.3">
      <c r="A956" s="127">
        <v>951</v>
      </c>
      <c r="B956" s="128">
        <v>43685</v>
      </c>
      <c r="C956" s="129" t="s">
        <v>69</v>
      </c>
      <c r="D956" s="129" t="s">
        <v>1524</v>
      </c>
      <c r="E956" s="206" t="s">
        <v>269</v>
      </c>
      <c r="F956" s="129" t="s">
        <v>1138</v>
      </c>
      <c r="G956" s="198">
        <v>-20000</v>
      </c>
      <c r="J956" s="118"/>
    </row>
    <row r="957" spans="1:10" ht="15.6" x14ac:dyDescent="0.3">
      <c r="A957" s="127">
        <v>952</v>
      </c>
      <c r="B957" s="128">
        <v>43687</v>
      </c>
      <c r="C957" s="129" t="s">
        <v>1650</v>
      </c>
      <c r="D957" s="129" t="s">
        <v>1516</v>
      </c>
      <c r="E957" s="206" t="s">
        <v>269</v>
      </c>
      <c r="F957" s="129" t="s">
        <v>1138</v>
      </c>
      <c r="G957" s="198">
        <v>-5000</v>
      </c>
      <c r="J957" s="118"/>
    </row>
    <row r="958" spans="1:10" ht="15.6" x14ac:dyDescent="0.3">
      <c r="A958" s="127">
        <v>953</v>
      </c>
      <c r="B958" s="128">
        <v>43687</v>
      </c>
      <c r="C958" s="129" t="s">
        <v>113</v>
      </c>
      <c r="D958" s="129" t="s">
        <v>1529</v>
      </c>
      <c r="E958" s="206" t="s">
        <v>269</v>
      </c>
      <c r="F958" s="129" t="s">
        <v>1138</v>
      </c>
      <c r="G958" s="198">
        <v>-20000</v>
      </c>
      <c r="J958" s="118"/>
    </row>
    <row r="959" spans="1:10" ht="15.6" x14ac:dyDescent="0.3">
      <c r="A959" s="127">
        <v>954</v>
      </c>
      <c r="B959" s="128">
        <v>43687</v>
      </c>
      <c r="C959" s="129" t="s">
        <v>1392</v>
      </c>
      <c r="D959" s="239" t="s">
        <v>1520</v>
      </c>
      <c r="E959" s="240" t="s">
        <v>1137</v>
      </c>
      <c r="F959" s="133" t="s">
        <v>1148</v>
      </c>
      <c r="G959" s="173">
        <v>200000</v>
      </c>
      <c r="J959" s="118"/>
    </row>
    <row r="960" spans="1:10" ht="15.6" x14ac:dyDescent="0.3">
      <c r="A960" s="127">
        <v>955</v>
      </c>
      <c r="B960" s="128">
        <v>43693</v>
      </c>
      <c r="C960" s="129" t="s">
        <v>1548</v>
      </c>
      <c r="D960" s="129" t="s">
        <v>1526</v>
      </c>
      <c r="E960" s="206" t="s">
        <v>269</v>
      </c>
      <c r="F960" s="129" t="s">
        <v>1138</v>
      </c>
      <c r="G960" s="198">
        <v>-40000</v>
      </c>
      <c r="J960" s="118"/>
    </row>
    <row r="961" spans="1:10" ht="15.6" x14ac:dyDescent="0.3">
      <c r="A961" s="127">
        <v>956</v>
      </c>
      <c r="B961" s="128">
        <v>43694</v>
      </c>
      <c r="C961" s="133" t="s">
        <v>1680</v>
      </c>
      <c r="D961" s="133" t="s">
        <v>1520</v>
      </c>
      <c r="E961" s="206" t="s">
        <v>269</v>
      </c>
      <c r="F961" s="133" t="s">
        <v>1148</v>
      </c>
      <c r="G961" s="141">
        <v>200000</v>
      </c>
      <c r="J961" s="118"/>
    </row>
    <row r="962" spans="1:10" ht="15.6" x14ac:dyDescent="0.3">
      <c r="A962" s="127">
        <v>957</v>
      </c>
      <c r="B962" s="128">
        <v>43694</v>
      </c>
      <c r="C962" s="129" t="s">
        <v>242</v>
      </c>
      <c r="D962" s="129" t="s">
        <v>1471</v>
      </c>
      <c r="E962" s="206" t="s">
        <v>269</v>
      </c>
      <c r="F962" s="129" t="s">
        <v>1138</v>
      </c>
      <c r="G962" s="198">
        <v>-4500</v>
      </c>
    </row>
    <row r="963" spans="1:10" ht="15.6" x14ac:dyDescent="0.3">
      <c r="A963" s="127">
        <v>958</v>
      </c>
      <c r="B963" s="128">
        <v>43694</v>
      </c>
      <c r="C963" s="129" t="s">
        <v>1548</v>
      </c>
      <c r="D963" s="129" t="s">
        <v>1526</v>
      </c>
      <c r="E963" s="206" t="s">
        <v>269</v>
      </c>
      <c r="F963" s="129" t="s">
        <v>1138</v>
      </c>
      <c r="G963" s="198">
        <v>-100000</v>
      </c>
      <c r="J963" s="118"/>
    </row>
    <row r="964" spans="1:10" ht="15.6" x14ac:dyDescent="0.3">
      <c r="A964" s="127">
        <v>959</v>
      </c>
      <c r="B964" s="128">
        <v>43698</v>
      </c>
      <c r="C964" s="129" t="s">
        <v>1548</v>
      </c>
      <c r="D964" s="129" t="s">
        <v>1526</v>
      </c>
      <c r="E964" s="206" t="s">
        <v>269</v>
      </c>
      <c r="F964" s="129" t="s">
        <v>1138</v>
      </c>
      <c r="G964" s="198">
        <v>-25000</v>
      </c>
      <c r="J964" s="118"/>
    </row>
    <row r="965" spans="1:10" ht="15.6" x14ac:dyDescent="0.3">
      <c r="A965" s="127">
        <v>960</v>
      </c>
      <c r="B965" s="128">
        <v>43702</v>
      </c>
      <c r="C965" s="129" t="s">
        <v>1548</v>
      </c>
      <c r="D965" s="129" t="s">
        <v>1526</v>
      </c>
      <c r="E965" s="206" t="s">
        <v>269</v>
      </c>
      <c r="F965" s="129" t="s">
        <v>1138</v>
      </c>
      <c r="G965" s="198">
        <v>-10000</v>
      </c>
      <c r="J965" s="118"/>
    </row>
    <row r="966" spans="1:10" ht="15.6" x14ac:dyDescent="0.3">
      <c r="A966" s="127">
        <v>961</v>
      </c>
      <c r="B966" s="128">
        <v>43704</v>
      </c>
      <c r="C966" s="129" t="s">
        <v>1548</v>
      </c>
      <c r="D966" s="129" t="s">
        <v>1526</v>
      </c>
      <c r="E966" s="206" t="s">
        <v>269</v>
      </c>
      <c r="F966" s="129" t="s">
        <v>1138</v>
      </c>
      <c r="G966" s="198">
        <v>-25000</v>
      </c>
      <c r="J966" s="118"/>
    </row>
    <row r="967" spans="1:10" ht="15.6" x14ac:dyDescent="0.3">
      <c r="A967" s="127">
        <v>962</v>
      </c>
      <c r="B967" s="128">
        <v>43704</v>
      </c>
      <c r="C967" s="129" t="s">
        <v>1650</v>
      </c>
      <c r="D967" s="129" t="s">
        <v>1516</v>
      </c>
      <c r="E967" s="206" t="s">
        <v>269</v>
      </c>
      <c r="F967" s="129" t="s">
        <v>1138</v>
      </c>
      <c r="G967" s="198">
        <v>-1000</v>
      </c>
      <c r="J967" s="118"/>
    </row>
    <row r="968" spans="1:10" ht="15.6" x14ac:dyDescent="0.3">
      <c r="A968" s="127">
        <v>963</v>
      </c>
      <c r="B968" s="128">
        <v>43704</v>
      </c>
      <c r="C968" s="129" t="s">
        <v>243</v>
      </c>
      <c r="D968" s="129" t="s">
        <v>1516</v>
      </c>
      <c r="E968" s="206" t="s">
        <v>269</v>
      </c>
      <c r="F968" s="129" t="s">
        <v>1138</v>
      </c>
      <c r="G968" s="198">
        <v>-3000</v>
      </c>
      <c r="J968" s="118"/>
    </row>
    <row r="969" spans="1:10" ht="15.6" x14ac:dyDescent="0.3">
      <c r="A969" s="127">
        <v>964</v>
      </c>
      <c r="B969" s="128">
        <v>43708</v>
      </c>
      <c r="C969" s="133" t="s">
        <v>1622</v>
      </c>
      <c r="D969" s="133" t="s">
        <v>1520</v>
      </c>
      <c r="E969" s="206" t="s">
        <v>269</v>
      </c>
      <c r="F969" s="133" t="s">
        <v>1148</v>
      </c>
      <c r="G969" s="141">
        <v>20000</v>
      </c>
      <c r="J969" s="118"/>
    </row>
    <row r="970" spans="1:10" ht="15.6" x14ac:dyDescent="0.3">
      <c r="A970" s="127">
        <v>965</v>
      </c>
      <c r="B970" s="128">
        <v>43708</v>
      </c>
      <c r="C970" s="129" t="s">
        <v>1548</v>
      </c>
      <c r="D970" s="129" t="s">
        <v>1526</v>
      </c>
      <c r="E970" s="206" t="s">
        <v>269</v>
      </c>
      <c r="F970" s="129" t="s">
        <v>1138</v>
      </c>
      <c r="G970" s="198">
        <v>-17000</v>
      </c>
      <c r="J970" s="118"/>
    </row>
    <row r="971" spans="1:10" ht="15.6" x14ac:dyDescent="0.3">
      <c r="A971" s="127">
        <v>966</v>
      </c>
      <c r="B971" s="128">
        <v>43708</v>
      </c>
      <c r="C971" s="129" t="s">
        <v>244</v>
      </c>
      <c r="D971" s="129" t="s">
        <v>1516</v>
      </c>
      <c r="E971" s="206" t="s">
        <v>269</v>
      </c>
      <c r="F971" s="129" t="s">
        <v>1138</v>
      </c>
      <c r="G971" s="198">
        <v>-500</v>
      </c>
      <c r="J971" s="118"/>
    </row>
    <row r="972" spans="1:10" ht="15.6" x14ac:dyDescent="0.3">
      <c r="A972" s="127">
        <v>967</v>
      </c>
      <c r="B972" s="128">
        <v>43710</v>
      </c>
      <c r="C972" s="133" t="s">
        <v>1622</v>
      </c>
      <c r="D972" s="133" t="s">
        <v>1520</v>
      </c>
      <c r="E972" s="206" t="s">
        <v>269</v>
      </c>
      <c r="F972" s="133" t="s">
        <v>1148</v>
      </c>
      <c r="G972" s="141">
        <v>100000</v>
      </c>
      <c r="J972" s="118"/>
    </row>
    <row r="973" spans="1:10" ht="15.6" x14ac:dyDescent="0.3">
      <c r="A973" s="127">
        <v>968</v>
      </c>
      <c r="B973" s="128">
        <v>43710</v>
      </c>
      <c r="C973" s="129" t="s">
        <v>113</v>
      </c>
      <c r="D973" s="129" t="s">
        <v>1529</v>
      </c>
      <c r="E973" s="206" t="s">
        <v>269</v>
      </c>
      <c r="F973" s="129" t="s">
        <v>1138</v>
      </c>
      <c r="G973" s="198">
        <v>-30000</v>
      </c>
      <c r="J973" s="118"/>
    </row>
    <row r="974" spans="1:10" ht="15.6" x14ac:dyDescent="0.3">
      <c r="A974" s="127">
        <v>969</v>
      </c>
      <c r="B974" s="128">
        <v>43710</v>
      </c>
      <c r="C974" s="129" t="s">
        <v>1548</v>
      </c>
      <c r="D974" s="129" t="s">
        <v>1526</v>
      </c>
      <c r="E974" s="206" t="s">
        <v>269</v>
      </c>
      <c r="F974" s="129" t="s">
        <v>1138</v>
      </c>
      <c r="G974" s="198">
        <v>-60000</v>
      </c>
      <c r="J974" s="118"/>
    </row>
    <row r="975" spans="1:10" ht="15.6" x14ac:dyDescent="0.3">
      <c r="A975" s="127">
        <v>970</v>
      </c>
      <c r="B975" s="128">
        <v>43710</v>
      </c>
      <c r="C975" s="129" t="s">
        <v>1681</v>
      </c>
      <c r="D975" s="129" t="s">
        <v>1516</v>
      </c>
      <c r="E975" s="206" t="s">
        <v>269</v>
      </c>
      <c r="F975" s="129" t="s">
        <v>1138</v>
      </c>
      <c r="G975" s="198">
        <v>-9650</v>
      </c>
      <c r="J975" s="118"/>
    </row>
    <row r="976" spans="1:10" ht="15.6" x14ac:dyDescent="0.3">
      <c r="A976" s="127">
        <v>971</v>
      </c>
      <c r="B976" s="128">
        <v>43711</v>
      </c>
      <c r="C976" s="129" t="s">
        <v>1650</v>
      </c>
      <c r="D976" s="129" t="s">
        <v>1516</v>
      </c>
      <c r="E976" s="206" t="s">
        <v>269</v>
      </c>
      <c r="F976" s="129" t="s">
        <v>1138</v>
      </c>
      <c r="G976" s="198">
        <v>-1350</v>
      </c>
      <c r="J976" s="118"/>
    </row>
    <row r="977" spans="1:10" ht="15.6" x14ac:dyDescent="0.3">
      <c r="A977" s="127">
        <v>972</v>
      </c>
      <c r="B977" s="128">
        <v>43715</v>
      </c>
      <c r="C977" s="129" t="s">
        <v>1650</v>
      </c>
      <c r="D977" s="129" t="s">
        <v>1516</v>
      </c>
      <c r="E977" s="206" t="s">
        <v>269</v>
      </c>
      <c r="F977" s="129" t="s">
        <v>1138</v>
      </c>
      <c r="G977" s="198">
        <v>-2000</v>
      </c>
      <c r="J977" s="118"/>
    </row>
    <row r="978" spans="1:10" ht="15.6" x14ac:dyDescent="0.3">
      <c r="A978" s="127">
        <v>973</v>
      </c>
      <c r="B978" s="128">
        <v>43715</v>
      </c>
      <c r="C978" s="133" t="s">
        <v>1622</v>
      </c>
      <c r="D978" s="133" t="s">
        <v>1520</v>
      </c>
      <c r="E978" s="206" t="s">
        <v>269</v>
      </c>
      <c r="F978" s="133" t="s">
        <v>1148</v>
      </c>
      <c r="G978" s="141">
        <v>100000</v>
      </c>
      <c r="J978" s="118"/>
    </row>
    <row r="979" spans="1:10" ht="15.6" x14ac:dyDescent="0.3">
      <c r="A979" s="127">
        <v>974</v>
      </c>
      <c r="B979" s="128">
        <v>43715</v>
      </c>
      <c r="C979" s="129" t="s">
        <v>1548</v>
      </c>
      <c r="D979" s="129" t="s">
        <v>1526</v>
      </c>
      <c r="E979" s="206" t="s">
        <v>269</v>
      </c>
      <c r="F979" s="129" t="s">
        <v>1138</v>
      </c>
      <c r="G979" s="198">
        <v>-100000</v>
      </c>
      <c r="J979" s="118"/>
    </row>
    <row r="980" spans="1:10" ht="15.6" x14ac:dyDescent="0.3">
      <c r="A980" s="127">
        <v>975</v>
      </c>
      <c r="B980" s="128">
        <v>43720</v>
      </c>
      <c r="C980" s="133" t="s">
        <v>1622</v>
      </c>
      <c r="D980" s="133" t="s">
        <v>1520</v>
      </c>
      <c r="E980" s="206" t="s">
        <v>269</v>
      </c>
      <c r="F980" s="133" t="s">
        <v>1148</v>
      </c>
      <c r="G980" s="141">
        <v>150000</v>
      </c>
      <c r="J980" s="118"/>
    </row>
    <row r="981" spans="1:10" ht="15.6" x14ac:dyDescent="0.3">
      <c r="A981" s="127">
        <v>976</v>
      </c>
      <c r="B981" s="128">
        <v>43720</v>
      </c>
      <c r="C981" s="129" t="s">
        <v>1650</v>
      </c>
      <c r="D981" s="129" t="s">
        <v>1516</v>
      </c>
      <c r="E981" s="206" t="s">
        <v>269</v>
      </c>
      <c r="F981" s="129" t="s">
        <v>1138</v>
      </c>
      <c r="G981" s="198">
        <v>-5000</v>
      </c>
      <c r="J981" s="118"/>
    </row>
    <row r="982" spans="1:10" ht="15.6" x14ac:dyDescent="0.3">
      <c r="A982" s="127">
        <v>977</v>
      </c>
      <c r="B982" s="128">
        <v>43720</v>
      </c>
      <c r="C982" s="129" t="s">
        <v>246</v>
      </c>
      <c r="D982" s="129" t="s">
        <v>1516</v>
      </c>
      <c r="E982" s="206" t="s">
        <v>269</v>
      </c>
      <c r="F982" s="129" t="s">
        <v>1138</v>
      </c>
      <c r="G982" s="198">
        <v>-22000</v>
      </c>
      <c r="J982" s="118"/>
    </row>
    <row r="983" spans="1:10" ht="15.6" x14ac:dyDescent="0.3">
      <c r="A983" s="127">
        <v>978</v>
      </c>
      <c r="B983" s="128">
        <v>43720</v>
      </c>
      <c r="C983" s="129" t="s">
        <v>1682</v>
      </c>
      <c r="D983" s="129" t="s">
        <v>1517</v>
      </c>
      <c r="E983" s="206" t="s">
        <v>269</v>
      </c>
      <c r="F983" s="129" t="s">
        <v>1138</v>
      </c>
      <c r="G983" s="198">
        <v>-60000</v>
      </c>
      <c r="J983" s="118"/>
    </row>
    <row r="984" spans="1:10" ht="15.6" x14ac:dyDescent="0.3">
      <c r="A984" s="127">
        <v>979</v>
      </c>
      <c r="B984" s="128">
        <v>43722</v>
      </c>
      <c r="C984" s="129" t="s">
        <v>1548</v>
      </c>
      <c r="D984" s="129" t="s">
        <v>1526</v>
      </c>
      <c r="E984" s="206" t="s">
        <v>269</v>
      </c>
      <c r="F984" s="129" t="s">
        <v>1138</v>
      </c>
      <c r="G984" s="198">
        <v>-25000</v>
      </c>
      <c r="J984" s="118"/>
    </row>
    <row r="985" spans="1:10" ht="15.6" x14ac:dyDescent="0.3">
      <c r="A985" s="127">
        <v>980</v>
      </c>
      <c r="B985" s="128">
        <v>43725</v>
      </c>
      <c r="C985" s="133" t="s">
        <v>1622</v>
      </c>
      <c r="D985" s="133" t="s">
        <v>1520</v>
      </c>
      <c r="E985" s="206" t="s">
        <v>269</v>
      </c>
      <c r="F985" s="133" t="s">
        <v>1148</v>
      </c>
      <c r="G985" s="141">
        <v>50000</v>
      </c>
      <c r="J985" s="118"/>
    </row>
    <row r="986" spans="1:10" ht="15.6" x14ac:dyDescent="0.3">
      <c r="A986" s="127">
        <v>981</v>
      </c>
      <c r="B986" s="128">
        <v>43725</v>
      </c>
      <c r="C986" s="129" t="s">
        <v>1548</v>
      </c>
      <c r="D986" s="129" t="s">
        <v>1526</v>
      </c>
      <c r="E986" s="206" t="s">
        <v>269</v>
      </c>
      <c r="F986" s="129" t="s">
        <v>1138</v>
      </c>
      <c r="G986" s="198">
        <v>-50000</v>
      </c>
      <c r="J986" s="118"/>
    </row>
    <row r="987" spans="1:10" ht="15.6" x14ac:dyDescent="0.3">
      <c r="A987" s="127">
        <v>982</v>
      </c>
      <c r="B987" s="128">
        <v>43725</v>
      </c>
      <c r="C987" s="129" t="s">
        <v>119</v>
      </c>
      <c r="D987" s="129" t="s">
        <v>1521</v>
      </c>
      <c r="E987" s="206" t="s">
        <v>269</v>
      </c>
      <c r="F987" s="129" t="s">
        <v>1138</v>
      </c>
      <c r="G987" s="198">
        <v>-70</v>
      </c>
      <c r="J987" s="118"/>
    </row>
    <row r="988" spans="1:10" ht="15.6" x14ac:dyDescent="0.3">
      <c r="A988" s="127">
        <v>983</v>
      </c>
      <c r="B988" s="128">
        <v>43726</v>
      </c>
      <c r="C988" s="129" t="s">
        <v>1548</v>
      </c>
      <c r="D988" s="129" t="s">
        <v>1526</v>
      </c>
      <c r="E988" s="206" t="s">
        <v>269</v>
      </c>
      <c r="F988" s="129" t="s">
        <v>1138</v>
      </c>
      <c r="G988" s="198">
        <v>-10000</v>
      </c>
      <c r="J988" s="118"/>
    </row>
    <row r="989" spans="1:10" ht="15.6" x14ac:dyDescent="0.3">
      <c r="A989" s="127">
        <v>984</v>
      </c>
      <c r="B989" s="128">
        <v>43728</v>
      </c>
      <c r="C989" s="129" t="s">
        <v>113</v>
      </c>
      <c r="D989" s="129" t="s">
        <v>1529</v>
      </c>
      <c r="E989" s="206" t="s">
        <v>269</v>
      </c>
      <c r="F989" s="129" t="s">
        <v>1138</v>
      </c>
      <c r="G989" s="198">
        <v>-30000</v>
      </c>
      <c r="J989" s="118"/>
    </row>
    <row r="990" spans="1:10" ht="15.6" x14ac:dyDescent="0.3">
      <c r="A990" s="127">
        <v>985</v>
      </c>
      <c r="B990" s="128">
        <v>43729</v>
      </c>
      <c r="C990" s="129" t="s">
        <v>1650</v>
      </c>
      <c r="D990" s="129" t="s">
        <v>1516</v>
      </c>
      <c r="E990" s="206" t="s">
        <v>269</v>
      </c>
      <c r="F990" s="129" t="s">
        <v>1138</v>
      </c>
      <c r="G990" s="198">
        <v>-2000</v>
      </c>
      <c r="J990" s="118"/>
    </row>
    <row r="991" spans="1:10" ht="15.6" x14ac:dyDescent="0.3">
      <c r="A991" s="127">
        <v>986</v>
      </c>
      <c r="B991" s="128">
        <v>43729</v>
      </c>
      <c r="C991" s="133" t="s">
        <v>1622</v>
      </c>
      <c r="D991" s="133" t="s">
        <v>1520</v>
      </c>
      <c r="E991" s="206" t="s">
        <v>269</v>
      </c>
      <c r="F991" s="133" t="s">
        <v>1148</v>
      </c>
      <c r="G991" s="141">
        <v>50000</v>
      </c>
      <c r="J991" s="118"/>
    </row>
    <row r="992" spans="1:10" ht="15.6" x14ac:dyDescent="0.3">
      <c r="A992" s="127">
        <v>987</v>
      </c>
      <c r="B992" s="128">
        <v>43729</v>
      </c>
      <c r="C992" s="129" t="s">
        <v>1548</v>
      </c>
      <c r="D992" s="129" t="s">
        <v>1526</v>
      </c>
      <c r="E992" s="206" t="s">
        <v>269</v>
      </c>
      <c r="F992" s="129" t="s">
        <v>1138</v>
      </c>
      <c r="G992" s="198">
        <v>-30000</v>
      </c>
      <c r="J992" s="118"/>
    </row>
    <row r="993" spans="1:10" ht="15.6" x14ac:dyDescent="0.3">
      <c r="A993" s="127">
        <v>988</v>
      </c>
      <c r="B993" s="128">
        <v>43731</v>
      </c>
      <c r="C993" s="129" t="s">
        <v>1548</v>
      </c>
      <c r="D993" s="129" t="s">
        <v>1526</v>
      </c>
      <c r="E993" s="206" t="s">
        <v>269</v>
      </c>
      <c r="F993" s="129" t="s">
        <v>1138</v>
      </c>
      <c r="G993" s="198">
        <v>-15000</v>
      </c>
      <c r="J993" s="118"/>
    </row>
    <row r="994" spans="1:10" ht="15.6" x14ac:dyDescent="0.3">
      <c r="A994" s="127">
        <v>989</v>
      </c>
      <c r="B994" s="128">
        <v>43731</v>
      </c>
      <c r="C994" s="129" t="s">
        <v>248</v>
      </c>
      <c r="D994" s="129" t="s">
        <v>1471</v>
      </c>
      <c r="E994" s="206" t="s">
        <v>269</v>
      </c>
      <c r="F994" s="129" t="s">
        <v>1138</v>
      </c>
      <c r="G994" s="198">
        <v>-5000</v>
      </c>
      <c r="J994" s="118"/>
    </row>
    <row r="995" spans="1:10" ht="15.6" x14ac:dyDescent="0.3">
      <c r="A995" s="127">
        <v>990</v>
      </c>
      <c r="B995" s="128">
        <v>43731</v>
      </c>
      <c r="C995" s="129" t="s">
        <v>119</v>
      </c>
      <c r="D995" s="129" t="s">
        <v>1521</v>
      </c>
      <c r="E995" s="206" t="s">
        <v>269</v>
      </c>
      <c r="F995" s="129" t="s">
        <v>1138</v>
      </c>
      <c r="G995" s="198">
        <v>-70</v>
      </c>
      <c r="J995" s="118"/>
    </row>
    <row r="996" spans="1:10" ht="15.6" x14ac:dyDescent="0.3">
      <c r="A996" s="127">
        <v>991</v>
      </c>
      <c r="B996" s="128">
        <v>43731</v>
      </c>
      <c r="C996" s="129" t="s">
        <v>42</v>
      </c>
      <c r="D996" s="129" t="s">
        <v>1521</v>
      </c>
      <c r="E996" s="206" t="s">
        <v>269</v>
      </c>
      <c r="F996" s="129" t="s">
        <v>1138</v>
      </c>
      <c r="G996" s="198">
        <v>-100</v>
      </c>
      <c r="J996" s="118"/>
    </row>
    <row r="997" spans="1:10" ht="15.6" x14ac:dyDescent="0.3">
      <c r="A997" s="127">
        <v>992</v>
      </c>
      <c r="B997" s="128">
        <v>43733</v>
      </c>
      <c r="C997" s="129" t="s">
        <v>248</v>
      </c>
      <c r="D997" s="129" t="s">
        <v>1471</v>
      </c>
      <c r="E997" s="206" t="s">
        <v>269</v>
      </c>
      <c r="F997" s="129" t="s">
        <v>1138</v>
      </c>
      <c r="G997" s="198">
        <v>-10000</v>
      </c>
      <c r="J997" s="118"/>
    </row>
    <row r="998" spans="1:10" ht="15.6" x14ac:dyDescent="0.3">
      <c r="A998" s="127">
        <v>993</v>
      </c>
      <c r="B998" s="128">
        <v>43733</v>
      </c>
      <c r="C998" s="133" t="s">
        <v>1622</v>
      </c>
      <c r="D998" s="133" t="s">
        <v>1520</v>
      </c>
      <c r="E998" s="206" t="s">
        <v>269</v>
      </c>
      <c r="F998" s="133" t="s">
        <v>1148</v>
      </c>
      <c r="G998" s="141">
        <v>100000</v>
      </c>
      <c r="J998" s="118"/>
    </row>
    <row r="999" spans="1:10" ht="15.6" x14ac:dyDescent="0.3">
      <c r="A999" s="127">
        <v>994</v>
      </c>
      <c r="B999" s="128">
        <v>43734</v>
      </c>
      <c r="C999" s="129" t="s">
        <v>1548</v>
      </c>
      <c r="D999" s="129" t="s">
        <v>1526</v>
      </c>
      <c r="E999" s="206" t="s">
        <v>269</v>
      </c>
      <c r="F999" s="129" t="s">
        <v>1138</v>
      </c>
      <c r="G999" s="198">
        <v>-80000</v>
      </c>
      <c r="J999" s="118"/>
    </row>
    <row r="1000" spans="1:10" ht="15.6" x14ac:dyDescent="0.3">
      <c r="A1000" s="127">
        <v>995</v>
      </c>
      <c r="B1000" s="128">
        <v>43734</v>
      </c>
      <c r="C1000" s="129" t="s">
        <v>113</v>
      </c>
      <c r="D1000" s="129" t="s">
        <v>1529</v>
      </c>
      <c r="E1000" s="206" t="s">
        <v>269</v>
      </c>
      <c r="F1000" s="129" t="s">
        <v>1138</v>
      </c>
      <c r="G1000" s="198">
        <v>-20000</v>
      </c>
      <c r="J1000" s="118"/>
    </row>
    <row r="1001" spans="1:10" ht="15.6" x14ac:dyDescent="0.3">
      <c r="A1001" s="127">
        <v>996</v>
      </c>
      <c r="B1001" s="128">
        <v>43736</v>
      </c>
      <c r="C1001" s="129" t="s">
        <v>248</v>
      </c>
      <c r="D1001" s="129" t="s">
        <v>1471</v>
      </c>
      <c r="E1001" s="206" t="s">
        <v>269</v>
      </c>
      <c r="F1001" s="129" t="s">
        <v>1138</v>
      </c>
      <c r="G1001" s="198">
        <v>-5000</v>
      </c>
      <c r="J1001" s="118"/>
    </row>
    <row r="1002" spans="1:10" ht="15.6" x14ac:dyDescent="0.3">
      <c r="A1002" s="127">
        <v>997</v>
      </c>
      <c r="B1002" s="128">
        <v>43736</v>
      </c>
      <c r="C1002" s="133" t="s">
        <v>1622</v>
      </c>
      <c r="D1002" s="133" t="s">
        <v>1520</v>
      </c>
      <c r="E1002" s="206" t="s">
        <v>269</v>
      </c>
      <c r="F1002" s="133" t="s">
        <v>1148</v>
      </c>
      <c r="G1002" s="141">
        <v>120000</v>
      </c>
      <c r="J1002" s="118"/>
    </row>
    <row r="1003" spans="1:10" ht="15.6" x14ac:dyDescent="0.3">
      <c r="A1003" s="127">
        <v>998</v>
      </c>
      <c r="B1003" s="128">
        <v>43736</v>
      </c>
      <c r="C1003" s="129" t="s">
        <v>1548</v>
      </c>
      <c r="D1003" s="129" t="s">
        <v>1526</v>
      </c>
      <c r="E1003" s="206" t="s">
        <v>269</v>
      </c>
      <c r="F1003" s="129" t="s">
        <v>1138</v>
      </c>
      <c r="G1003" s="198">
        <v>-10000</v>
      </c>
      <c r="J1003" s="118"/>
    </row>
    <row r="1004" spans="1:10" ht="15.6" x14ac:dyDescent="0.3">
      <c r="A1004" s="127">
        <v>999</v>
      </c>
      <c r="B1004" s="128">
        <v>43739</v>
      </c>
      <c r="C1004" s="129" t="s">
        <v>1548</v>
      </c>
      <c r="D1004" s="129" t="s">
        <v>1526</v>
      </c>
      <c r="E1004" s="206" t="s">
        <v>269</v>
      </c>
      <c r="F1004" s="129" t="s">
        <v>1138</v>
      </c>
      <c r="G1004" s="198">
        <v>-30000</v>
      </c>
      <c r="J1004" s="118"/>
    </row>
    <row r="1005" spans="1:10" ht="15.6" x14ac:dyDescent="0.3">
      <c r="A1005" s="127">
        <v>1000</v>
      </c>
      <c r="B1005" s="128">
        <v>43739</v>
      </c>
      <c r="C1005" s="129" t="s">
        <v>1650</v>
      </c>
      <c r="D1005" s="129" t="s">
        <v>1516</v>
      </c>
      <c r="E1005" s="206" t="s">
        <v>269</v>
      </c>
      <c r="F1005" s="129" t="s">
        <v>1138</v>
      </c>
      <c r="G1005" s="198">
        <v>-1000</v>
      </c>
      <c r="J1005" s="118"/>
    </row>
    <row r="1006" spans="1:10" ht="15.6" x14ac:dyDescent="0.3">
      <c r="A1006" s="127">
        <v>1001</v>
      </c>
      <c r="B1006" s="128">
        <v>43739</v>
      </c>
      <c r="C1006" s="129" t="s">
        <v>113</v>
      </c>
      <c r="D1006" s="129" t="s">
        <v>1529</v>
      </c>
      <c r="E1006" s="206" t="s">
        <v>269</v>
      </c>
      <c r="F1006" s="129" t="s">
        <v>1138</v>
      </c>
      <c r="G1006" s="198">
        <v>-20000</v>
      </c>
      <c r="J1006" s="118"/>
    </row>
    <row r="1007" spans="1:10" ht="15.6" x14ac:dyDescent="0.3">
      <c r="A1007" s="127">
        <v>1002</v>
      </c>
      <c r="B1007" s="128">
        <v>43740</v>
      </c>
      <c r="C1007" s="129" t="s">
        <v>42</v>
      </c>
      <c r="D1007" s="129" t="s">
        <v>1521</v>
      </c>
      <c r="E1007" s="206" t="s">
        <v>269</v>
      </c>
      <c r="F1007" s="129" t="s">
        <v>1138</v>
      </c>
      <c r="G1007" s="198">
        <v>-200</v>
      </c>
      <c r="J1007" s="118"/>
    </row>
    <row r="1008" spans="1:10" ht="15.6" x14ac:dyDescent="0.3">
      <c r="A1008" s="127">
        <v>1003</v>
      </c>
      <c r="B1008" s="128">
        <v>43740</v>
      </c>
      <c r="C1008" s="129" t="s">
        <v>248</v>
      </c>
      <c r="D1008" s="129" t="s">
        <v>1471</v>
      </c>
      <c r="E1008" s="206" t="s">
        <v>269</v>
      </c>
      <c r="F1008" s="129" t="s">
        <v>1138</v>
      </c>
      <c r="G1008" s="198">
        <v>-6000</v>
      </c>
      <c r="J1008" s="118"/>
    </row>
    <row r="1009" spans="1:10" ht="15.6" x14ac:dyDescent="0.3">
      <c r="A1009" s="127">
        <v>1004</v>
      </c>
      <c r="B1009" s="128">
        <v>43740</v>
      </c>
      <c r="C1009" s="129" t="s">
        <v>102</v>
      </c>
      <c r="D1009" s="129" t="s">
        <v>1471</v>
      </c>
      <c r="E1009" s="206" t="s">
        <v>269</v>
      </c>
      <c r="F1009" s="129" t="s">
        <v>1138</v>
      </c>
      <c r="G1009" s="198">
        <v>-1000</v>
      </c>
      <c r="J1009" s="118"/>
    </row>
    <row r="1010" spans="1:10" ht="15.6" x14ac:dyDescent="0.3">
      <c r="A1010" s="127">
        <v>1005</v>
      </c>
      <c r="B1010" s="128">
        <v>43740</v>
      </c>
      <c r="C1010" s="133" t="s">
        <v>1622</v>
      </c>
      <c r="D1010" s="133" t="s">
        <v>1520</v>
      </c>
      <c r="E1010" s="206" t="s">
        <v>269</v>
      </c>
      <c r="F1010" s="133" t="s">
        <v>1148</v>
      </c>
      <c r="G1010" s="141">
        <v>50000</v>
      </c>
      <c r="J1010" s="118"/>
    </row>
    <row r="1011" spans="1:10" ht="15.6" x14ac:dyDescent="0.3">
      <c r="A1011" s="127">
        <v>1006</v>
      </c>
      <c r="B1011" s="128">
        <v>43740</v>
      </c>
      <c r="C1011" s="129" t="s">
        <v>119</v>
      </c>
      <c r="D1011" s="129" t="s">
        <v>1521</v>
      </c>
      <c r="E1011" s="206" t="s">
        <v>269</v>
      </c>
      <c r="F1011" s="129" t="s">
        <v>1138</v>
      </c>
      <c r="G1011" s="198">
        <v>-70</v>
      </c>
      <c r="J1011" s="118"/>
    </row>
    <row r="1012" spans="1:10" ht="15.6" x14ac:dyDescent="0.3">
      <c r="A1012" s="127">
        <v>1007</v>
      </c>
      <c r="B1012" s="128">
        <v>43740</v>
      </c>
      <c r="C1012" s="130" t="s">
        <v>1668</v>
      </c>
      <c r="D1012" s="130" t="s">
        <v>1530</v>
      </c>
      <c r="E1012" s="206" t="s">
        <v>269</v>
      </c>
      <c r="F1012" s="129" t="s">
        <v>1138</v>
      </c>
      <c r="G1012" s="198">
        <v>-23000</v>
      </c>
      <c r="J1012" s="118"/>
    </row>
    <row r="1013" spans="1:10" ht="15.6" x14ac:dyDescent="0.3">
      <c r="A1013" s="127">
        <v>1008</v>
      </c>
      <c r="B1013" s="128">
        <v>43745</v>
      </c>
      <c r="C1013" s="133" t="s">
        <v>1622</v>
      </c>
      <c r="D1013" s="133" t="s">
        <v>1520</v>
      </c>
      <c r="E1013" s="206" t="s">
        <v>269</v>
      </c>
      <c r="F1013" s="133" t="s">
        <v>1148</v>
      </c>
      <c r="G1013" s="141">
        <v>30000</v>
      </c>
      <c r="J1013" s="118"/>
    </row>
    <row r="1014" spans="1:10" ht="15.6" x14ac:dyDescent="0.3">
      <c r="A1014" s="127">
        <v>1009</v>
      </c>
      <c r="B1014" s="128">
        <v>43745</v>
      </c>
      <c r="C1014" s="129" t="s">
        <v>1548</v>
      </c>
      <c r="D1014" s="129" t="s">
        <v>1526</v>
      </c>
      <c r="E1014" s="206" t="s">
        <v>269</v>
      </c>
      <c r="F1014" s="129" t="s">
        <v>1138</v>
      </c>
      <c r="G1014" s="198">
        <v>-30000</v>
      </c>
      <c r="J1014" s="118"/>
    </row>
    <row r="1015" spans="1:10" ht="15.6" x14ac:dyDescent="0.3">
      <c r="A1015" s="127">
        <v>1010</v>
      </c>
      <c r="B1015" s="128">
        <v>43745</v>
      </c>
      <c r="C1015" s="129" t="s">
        <v>1650</v>
      </c>
      <c r="D1015" s="129" t="s">
        <v>1516</v>
      </c>
      <c r="E1015" s="206" t="s">
        <v>269</v>
      </c>
      <c r="F1015" s="129" t="s">
        <v>1138</v>
      </c>
      <c r="G1015" s="198">
        <v>-1000</v>
      </c>
      <c r="J1015" s="118"/>
    </row>
    <row r="1016" spans="1:10" ht="15.6" x14ac:dyDescent="0.3">
      <c r="A1016" s="127">
        <v>1011</v>
      </c>
      <c r="B1016" s="128">
        <v>43745</v>
      </c>
      <c r="C1016" s="129" t="s">
        <v>246</v>
      </c>
      <c r="D1016" s="129" t="s">
        <v>1516</v>
      </c>
      <c r="E1016" s="206" t="s">
        <v>269</v>
      </c>
      <c r="F1016" s="129" t="s">
        <v>1138</v>
      </c>
      <c r="G1016" s="198">
        <v>-14100</v>
      </c>
      <c r="J1016" s="118"/>
    </row>
    <row r="1017" spans="1:10" ht="15.6" x14ac:dyDescent="0.3">
      <c r="A1017" s="127">
        <v>1012</v>
      </c>
      <c r="B1017" s="128">
        <v>43746</v>
      </c>
      <c r="C1017" s="129" t="s">
        <v>1683</v>
      </c>
      <c r="D1017" s="129" t="s">
        <v>1516</v>
      </c>
      <c r="E1017" s="206" t="s">
        <v>269</v>
      </c>
      <c r="F1017" s="129" t="s">
        <v>1138</v>
      </c>
      <c r="G1017" s="198">
        <v>-18150</v>
      </c>
      <c r="J1017" s="118"/>
    </row>
    <row r="1018" spans="1:10" ht="15.6" x14ac:dyDescent="0.3">
      <c r="A1018" s="127">
        <v>1013</v>
      </c>
      <c r="B1018" s="128">
        <v>43746</v>
      </c>
      <c r="C1018" s="133" t="s">
        <v>1622</v>
      </c>
      <c r="D1018" s="133" t="s">
        <v>1520</v>
      </c>
      <c r="E1018" s="206" t="s">
        <v>269</v>
      </c>
      <c r="F1018" s="133" t="s">
        <v>1148</v>
      </c>
      <c r="G1018" s="141">
        <v>100000</v>
      </c>
      <c r="J1018" s="118"/>
    </row>
    <row r="1019" spans="1:10" ht="15.6" x14ac:dyDescent="0.3">
      <c r="A1019" s="127">
        <v>1014</v>
      </c>
      <c r="B1019" s="128">
        <v>43746</v>
      </c>
      <c r="C1019" s="129" t="s">
        <v>1548</v>
      </c>
      <c r="D1019" s="129" t="s">
        <v>1526</v>
      </c>
      <c r="E1019" s="206" t="s">
        <v>269</v>
      </c>
      <c r="F1019" s="129" t="s">
        <v>1138</v>
      </c>
      <c r="G1019" s="198">
        <v>-80000</v>
      </c>
      <c r="J1019" s="118"/>
    </row>
    <row r="1020" spans="1:10" ht="15.6" x14ac:dyDescent="0.3">
      <c r="A1020" s="127">
        <v>1015</v>
      </c>
      <c r="B1020" s="128">
        <v>43749</v>
      </c>
      <c r="C1020" s="129" t="s">
        <v>248</v>
      </c>
      <c r="D1020" s="129" t="s">
        <v>1471</v>
      </c>
      <c r="E1020" s="206" t="s">
        <v>269</v>
      </c>
      <c r="F1020" s="129" t="s">
        <v>1138</v>
      </c>
      <c r="G1020" s="198">
        <v>-10000</v>
      </c>
      <c r="J1020" s="118"/>
    </row>
    <row r="1021" spans="1:10" ht="15.6" x14ac:dyDescent="0.3">
      <c r="A1021" s="127">
        <v>1016</v>
      </c>
      <c r="B1021" s="128">
        <v>43749</v>
      </c>
      <c r="C1021" s="129" t="s">
        <v>250</v>
      </c>
      <c r="D1021" s="129" t="s">
        <v>1521</v>
      </c>
      <c r="E1021" s="206" t="s">
        <v>269</v>
      </c>
      <c r="F1021" s="129" t="s">
        <v>1138</v>
      </c>
      <c r="G1021" s="198">
        <v>-750</v>
      </c>
      <c r="J1021" s="118"/>
    </row>
    <row r="1022" spans="1:10" ht="15.6" x14ac:dyDescent="0.3">
      <c r="A1022" s="127">
        <v>1017</v>
      </c>
      <c r="B1022" s="128">
        <v>43749</v>
      </c>
      <c r="C1022" s="129" t="s">
        <v>1532</v>
      </c>
      <c r="D1022" s="129" t="s">
        <v>1521</v>
      </c>
      <c r="E1022" s="206" t="s">
        <v>269</v>
      </c>
      <c r="F1022" s="129" t="s">
        <v>1138</v>
      </c>
      <c r="G1022" s="198">
        <v>-2300</v>
      </c>
      <c r="J1022" s="118"/>
    </row>
    <row r="1023" spans="1:10" ht="15.6" x14ac:dyDescent="0.3">
      <c r="A1023" s="127">
        <v>1018</v>
      </c>
      <c r="B1023" s="128">
        <v>43749</v>
      </c>
      <c r="C1023" s="129" t="s">
        <v>1650</v>
      </c>
      <c r="D1023" s="129" t="s">
        <v>1516</v>
      </c>
      <c r="E1023" s="206" t="s">
        <v>269</v>
      </c>
      <c r="F1023" s="129" t="s">
        <v>1138</v>
      </c>
      <c r="G1023" s="198">
        <v>-2000</v>
      </c>
      <c r="J1023" s="118"/>
    </row>
    <row r="1024" spans="1:10" ht="15.6" x14ac:dyDescent="0.3">
      <c r="A1024" s="127">
        <v>1019</v>
      </c>
      <c r="B1024" s="128">
        <v>43749</v>
      </c>
      <c r="C1024" s="129" t="s">
        <v>42</v>
      </c>
      <c r="D1024" s="129" t="s">
        <v>1521</v>
      </c>
      <c r="E1024" s="206" t="s">
        <v>269</v>
      </c>
      <c r="F1024" s="129" t="s">
        <v>1138</v>
      </c>
      <c r="G1024" s="198">
        <v>-50</v>
      </c>
      <c r="J1024" s="118"/>
    </row>
    <row r="1025" spans="1:10" ht="15.6" x14ac:dyDescent="0.3">
      <c r="A1025" s="127">
        <v>1020</v>
      </c>
      <c r="B1025" s="128">
        <v>43751</v>
      </c>
      <c r="C1025" s="133" t="s">
        <v>1622</v>
      </c>
      <c r="D1025" s="133" t="s">
        <v>1520</v>
      </c>
      <c r="E1025" s="206" t="s">
        <v>269</v>
      </c>
      <c r="F1025" s="133" t="s">
        <v>1148</v>
      </c>
      <c r="G1025" s="141">
        <v>100000</v>
      </c>
      <c r="J1025" s="118"/>
    </row>
    <row r="1026" spans="1:10" ht="15.6" x14ac:dyDescent="0.3">
      <c r="A1026" s="127">
        <v>1021</v>
      </c>
      <c r="B1026" s="128">
        <v>43751</v>
      </c>
      <c r="C1026" s="129" t="s">
        <v>248</v>
      </c>
      <c r="D1026" s="129" t="s">
        <v>1471</v>
      </c>
      <c r="E1026" s="206" t="s">
        <v>269</v>
      </c>
      <c r="F1026" s="129" t="s">
        <v>1138</v>
      </c>
      <c r="G1026" s="198">
        <v>-500</v>
      </c>
      <c r="J1026" s="118"/>
    </row>
    <row r="1027" spans="1:10" ht="15.6" x14ac:dyDescent="0.3">
      <c r="A1027" s="127">
        <v>1022</v>
      </c>
      <c r="B1027" s="128">
        <v>43751</v>
      </c>
      <c r="C1027" s="129" t="s">
        <v>1548</v>
      </c>
      <c r="D1027" s="129" t="s">
        <v>1526</v>
      </c>
      <c r="E1027" s="206" t="s">
        <v>269</v>
      </c>
      <c r="F1027" s="129" t="s">
        <v>1138</v>
      </c>
      <c r="G1027" s="198">
        <v>-30000</v>
      </c>
      <c r="J1027" s="118"/>
    </row>
    <row r="1028" spans="1:10" ht="15.6" x14ac:dyDescent="0.3">
      <c r="A1028" s="127">
        <v>1023</v>
      </c>
      <c r="B1028" s="128">
        <v>43751</v>
      </c>
      <c r="C1028" s="129" t="s">
        <v>113</v>
      </c>
      <c r="D1028" s="129" t="s">
        <v>1529</v>
      </c>
      <c r="E1028" s="206" t="s">
        <v>269</v>
      </c>
      <c r="F1028" s="129" t="s">
        <v>1138</v>
      </c>
      <c r="G1028" s="198">
        <v>-50000</v>
      </c>
      <c r="J1028" s="118"/>
    </row>
    <row r="1029" spans="1:10" ht="15.6" x14ac:dyDescent="0.3">
      <c r="A1029" s="127">
        <v>1024</v>
      </c>
      <c r="B1029" s="128">
        <v>43751</v>
      </c>
      <c r="C1029" s="129" t="s">
        <v>1650</v>
      </c>
      <c r="D1029" s="129" t="s">
        <v>1516</v>
      </c>
      <c r="E1029" s="206" t="s">
        <v>269</v>
      </c>
      <c r="F1029" s="129" t="s">
        <v>1138</v>
      </c>
      <c r="G1029" s="198">
        <v>-1000</v>
      </c>
      <c r="J1029" s="118"/>
    </row>
    <row r="1030" spans="1:10" ht="15.6" x14ac:dyDescent="0.3">
      <c r="A1030" s="127">
        <v>1025</v>
      </c>
      <c r="B1030" s="128">
        <v>43753</v>
      </c>
      <c r="C1030" s="129" t="s">
        <v>1684</v>
      </c>
      <c r="D1030" s="129" t="s">
        <v>1523</v>
      </c>
      <c r="E1030" s="206" t="s">
        <v>269</v>
      </c>
      <c r="F1030" s="129" t="s">
        <v>1138</v>
      </c>
      <c r="G1030" s="198">
        <v>-100000</v>
      </c>
      <c r="J1030" s="118"/>
    </row>
    <row r="1031" spans="1:10" ht="15.6" x14ac:dyDescent="0.3">
      <c r="A1031" s="127">
        <v>1026</v>
      </c>
      <c r="B1031" s="128">
        <v>43754</v>
      </c>
      <c r="C1031" s="133" t="s">
        <v>1685</v>
      </c>
      <c r="D1031" s="133" t="s">
        <v>1520</v>
      </c>
      <c r="E1031" s="206" t="s">
        <v>269</v>
      </c>
      <c r="F1031" s="133" t="s">
        <v>1148</v>
      </c>
      <c r="G1031" s="141">
        <v>175000</v>
      </c>
      <c r="J1031" s="118"/>
    </row>
    <row r="1032" spans="1:10" ht="15.6" x14ac:dyDescent="0.3">
      <c r="A1032" s="127">
        <v>1027</v>
      </c>
      <c r="B1032" s="128">
        <v>43754</v>
      </c>
      <c r="C1032" s="133" t="s">
        <v>1622</v>
      </c>
      <c r="D1032" s="133" t="s">
        <v>1520</v>
      </c>
      <c r="E1032" s="206" t="s">
        <v>269</v>
      </c>
      <c r="F1032" s="133" t="s">
        <v>1148</v>
      </c>
      <c r="G1032" s="141">
        <v>25000</v>
      </c>
      <c r="J1032" s="118"/>
    </row>
    <row r="1033" spans="1:10" ht="15.6" x14ac:dyDescent="0.3">
      <c r="A1033" s="127">
        <v>1028</v>
      </c>
      <c r="B1033" s="128">
        <v>43754</v>
      </c>
      <c r="C1033" s="129" t="s">
        <v>1686</v>
      </c>
      <c r="D1033" s="129" t="s">
        <v>1517</v>
      </c>
      <c r="E1033" s="206" t="s">
        <v>269</v>
      </c>
      <c r="F1033" s="129" t="s">
        <v>1138</v>
      </c>
      <c r="G1033" s="198">
        <v>-60000</v>
      </c>
      <c r="J1033" s="118"/>
    </row>
    <row r="1034" spans="1:10" ht="15.6" x14ac:dyDescent="0.3">
      <c r="A1034" s="127">
        <v>1029</v>
      </c>
      <c r="B1034" s="128">
        <v>43755</v>
      </c>
      <c r="C1034" s="129" t="s">
        <v>1548</v>
      </c>
      <c r="D1034" s="129" t="s">
        <v>1526</v>
      </c>
      <c r="E1034" s="206" t="s">
        <v>269</v>
      </c>
      <c r="F1034" s="129" t="s">
        <v>1138</v>
      </c>
      <c r="G1034" s="198">
        <v>-50000</v>
      </c>
      <c r="J1034" s="118"/>
    </row>
    <row r="1035" spans="1:10" ht="15.6" x14ac:dyDescent="0.3">
      <c r="A1035" s="127">
        <v>1030</v>
      </c>
      <c r="B1035" s="128">
        <v>43756</v>
      </c>
      <c r="C1035" s="129" t="s">
        <v>1650</v>
      </c>
      <c r="D1035" s="129" t="s">
        <v>1516</v>
      </c>
      <c r="E1035" s="206" t="s">
        <v>269</v>
      </c>
      <c r="F1035" s="129" t="s">
        <v>1138</v>
      </c>
      <c r="G1035" s="198">
        <v>-5000</v>
      </c>
      <c r="J1035" s="118"/>
    </row>
    <row r="1036" spans="1:10" ht="15.6" x14ac:dyDescent="0.3">
      <c r="A1036" s="127">
        <v>1031</v>
      </c>
      <c r="B1036" s="128">
        <v>43757</v>
      </c>
      <c r="C1036" s="129" t="s">
        <v>1548</v>
      </c>
      <c r="D1036" s="129" t="s">
        <v>1526</v>
      </c>
      <c r="E1036" s="206" t="s">
        <v>269</v>
      </c>
      <c r="F1036" s="129" t="s">
        <v>1138</v>
      </c>
      <c r="G1036" s="198">
        <v>-40000</v>
      </c>
      <c r="J1036" s="118"/>
    </row>
    <row r="1037" spans="1:10" ht="15.6" x14ac:dyDescent="0.3">
      <c r="A1037" s="127">
        <v>1032</v>
      </c>
      <c r="B1037" s="128">
        <v>43757</v>
      </c>
      <c r="C1037" s="129" t="s">
        <v>248</v>
      </c>
      <c r="D1037" s="129" t="s">
        <v>1471</v>
      </c>
      <c r="E1037" s="206" t="s">
        <v>269</v>
      </c>
      <c r="F1037" s="129" t="s">
        <v>1138</v>
      </c>
      <c r="G1037" s="198">
        <v>-1000</v>
      </c>
      <c r="J1037" s="118"/>
    </row>
    <row r="1038" spans="1:10" ht="15.6" x14ac:dyDescent="0.3">
      <c r="A1038" s="127">
        <v>1033</v>
      </c>
      <c r="B1038" s="128">
        <v>43758</v>
      </c>
      <c r="C1038" s="129" t="s">
        <v>255</v>
      </c>
      <c r="D1038" s="129" t="s">
        <v>1516</v>
      </c>
      <c r="E1038" s="206" t="s">
        <v>269</v>
      </c>
      <c r="F1038" s="129" t="s">
        <v>1138</v>
      </c>
      <c r="G1038" s="198">
        <v>-500</v>
      </c>
      <c r="J1038" s="118"/>
    </row>
    <row r="1039" spans="1:10" ht="15.6" x14ac:dyDescent="0.3">
      <c r="A1039" s="127">
        <v>1034</v>
      </c>
      <c r="B1039" s="128">
        <v>43758</v>
      </c>
      <c r="C1039" s="129" t="s">
        <v>113</v>
      </c>
      <c r="D1039" s="129" t="s">
        <v>1529</v>
      </c>
      <c r="E1039" s="206" t="s">
        <v>269</v>
      </c>
      <c r="F1039" s="129" t="s">
        <v>1138</v>
      </c>
      <c r="G1039" s="198">
        <v>-45100</v>
      </c>
      <c r="J1039" s="118"/>
    </row>
    <row r="1040" spans="1:10" ht="15.6" x14ac:dyDescent="0.3">
      <c r="A1040" s="127">
        <v>1035</v>
      </c>
      <c r="B1040" s="128">
        <v>43758</v>
      </c>
      <c r="C1040" s="129" t="s">
        <v>50</v>
      </c>
      <c r="D1040" s="129" t="s">
        <v>1527</v>
      </c>
      <c r="E1040" s="206" t="s">
        <v>269</v>
      </c>
      <c r="F1040" s="129" t="s">
        <v>1138</v>
      </c>
      <c r="G1040" s="198">
        <v>-10200</v>
      </c>
      <c r="J1040" s="118"/>
    </row>
    <row r="1041" spans="1:10" ht="15.6" x14ac:dyDescent="0.3">
      <c r="A1041" s="127">
        <v>1036</v>
      </c>
      <c r="B1041" s="128">
        <v>43758</v>
      </c>
      <c r="C1041" s="129" t="s">
        <v>1548</v>
      </c>
      <c r="D1041" s="129" t="s">
        <v>1526</v>
      </c>
      <c r="E1041" s="206" t="s">
        <v>269</v>
      </c>
      <c r="F1041" s="129" t="s">
        <v>1138</v>
      </c>
      <c r="G1041" s="198">
        <v>-20000</v>
      </c>
      <c r="J1041" s="118"/>
    </row>
    <row r="1042" spans="1:10" ht="15.6" x14ac:dyDescent="0.3">
      <c r="A1042" s="127">
        <v>1037</v>
      </c>
      <c r="B1042" s="128">
        <v>43759</v>
      </c>
      <c r="C1042" s="129" t="s">
        <v>1548</v>
      </c>
      <c r="D1042" s="129" t="s">
        <v>1526</v>
      </c>
      <c r="E1042" s="206" t="s">
        <v>269</v>
      </c>
      <c r="F1042" s="129" t="s">
        <v>1138</v>
      </c>
      <c r="G1042" s="198">
        <v>-15000</v>
      </c>
      <c r="J1042" s="118"/>
    </row>
    <row r="1043" spans="1:10" ht="15.6" x14ac:dyDescent="0.3">
      <c r="A1043" s="127">
        <v>1038</v>
      </c>
      <c r="B1043" s="128">
        <v>43760</v>
      </c>
      <c r="C1043" s="129" t="s">
        <v>256</v>
      </c>
      <c r="D1043" s="129" t="s">
        <v>1521</v>
      </c>
      <c r="E1043" s="206" t="s">
        <v>269</v>
      </c>
      <c r="F1043" s="129" t="s">
        <v>1138</v>
      </c>
      <c r="G1043" s="198">
        <v>-2442</v>
      </c>
      <c r="J1043" s="118"/>
    </row>
    <row r="1044" spans="1:10" ht="15.6" x14ac:dyDescent="0.3">
      <c r="A1044" s="127">
        <v>1039</v>
      </c>
      <c r="B1044" s="128">
        <v>43760</v>
      </c>
      <c r="C1044" s="129" t="s">
        <v>255</v>
      </c>
      <c r="D1044" s="129" t="s">
        <v>1516</v>
      </c>
      <c r="E1044" s="206" t="s">
        <v>269</v>
      </c>
      <c r="F1044" s="129" t="s">
        <v>1138</v>
      </c>
      <c r="G1044" s="198">
        <v>-1000</v>
      </c>
      <c r="J1044" s="118"/>
    </row>
    <row r="1045" spans="1:10" ht="15.6" x14ac:dyDescent="0.3">
      <c r="A1045" s="127">
        <v>1040</v>
      </c>
      <c r="B1045" s="128">
        <v>43762</v>
      </c>
      <c r="C1045" s="129" t="s">
        <v>1650</v>
      </c>
      <c r="D1045" s="129" t="s">
        <v>1516</v>
      </c>
      <c r="E1045" s="206" t="s">
        <v>269</v>
      </c>
      <c r="F1045" s="129" t="s">
        <v>1138</v>
      </c>
      <c r="G1045" s="198">
        <v>-1000</v>
      </c>
      <c r="J1045" s="118"/>
    </row>
    <row r="1046" spans="1:10" ht="15.6" x14ac:dyDescent="0.3">
      <c r="A1046" s="127">
        <v>1041</v>
      </c>
      <c r="B1046" s="128">
        <v>43762</v>
      </c>
      <c r="C1046" s="129" t="s">
        <v>119</v>
      </c>
      <c r="D1046" s="129" t="s">
        <v>1521</v>
      </c>
      <c r="E1046" s="206" t="s">
        <v>269</v>
      </c>
      <c r="F1046" s="129" t="s">
        <v>1138</v>
      </c>
      <c r="G1046" s="198">
        <v>-120</v>
      </c>
      <c r="J1046" s="118"/>
    </row>
    <row r="1047" spans="1:10" ht="15.6" x14ac:dyDescent="0.3">
      <c r="A1047" s="127">
        <v>1042</v>
      </c>
      <c r="B1047" s="128">
        <v>43762</v>
      </c>
      <c r="C1047" s="129" t="s">
        <v>42</v>
      </c>
      <c r="D1047" s="129" t="s">
        <v>1521</v>
      </c>
      <c r="E1047" s="206" t="s">
        <v>269</v>
      </c>
      <c r="F1047" s="129" t="s">
        <v>1138</v>
      </c>
      <c r="G1047" s="198">
        <v>-50</v>
      </c>
      <c r="J1047" s="118"/>
    </row>
    <row r="1048" spans="1:10" ht="15.6" x14ac:dyDescent="0.3">
      <c r="A1048" s="127">
        <v>1043</v>
      </c>
      <c r="B1048" s="128">
        <v>43762</v>
      </c>
      <c r="C1048" s="129" t="s">
        <v>1687</v>
      </c>
      <c r="D1048" s="129" t="s">
        <v>1533</v>
      </c>
      <c r="E1048" s="206" t="s">
        <v>269</v>
      </c>
      <c r="F1048" s="129" t="s">
        <v>1138</v>
      </c>
      <c r="G1048" s="198">
        <v>-500</v>
      </c>
      <c r="J1048" s="118"/>
    </row>
    <row r="1049" spans="1:10" ht="15.6" x14ac:dyDescent="0.3">
      <c r="A1049" s="127">
        <v>1044</v>
      </c>
      <c r="B1049" s="128">
        <v>43762</v>
      </c>
      <c r="C1049" s="129" t="s">
        <v>255</v>
      </c>
      <c r="D1049" s="129" t="s">
        <v>1516</v>
      </c>
      <c r="E1049" s="206" t="s">
        <v>269</v>
      </c>
      <c r="F1049" s="129" t="s">
        <v>1138</v>
      </c>
      <c r="G1049" s="198">
        <v>-1000</v>
      </c>
      <c r="J1049" s="118"/>
    </row>
    <row r="1050" spans="1:10" ht="15.6" x14ac:dyDescent="0.3">
      <c r="A1050" s="127">
        <v>1045</v>
      </c>
      <c r="B1050" s="128">
        <v>43762</v>
      </c>
      <c r="C1050" s="129" t="s">
        <v>258</v>
      </c>
      <c r="D1050" s="129" t="s">
        <v>1521</v>
      </c>
      <c r="E1050" s="206" t="s">
        <v>269</v>
      </c>
      <c r="F1050" s="129" t="s">
        <v>1138</v>
      </c>
      <c r="G1050" s="198">
        <v>-560</v>
      </c>
      <c r="J1050" s="118"/>
    </row>
    <row r="1051" spans="1:10" ht="15.6" x14ac:dyDescent="0.3">
      <c r="A1051" s="127">
        <v>1046</v>
      </c>
      <c r="B1051" s="128">
        <v>43763</v>
      </c>
      <c r="C1051" s="129" t="s">
        <v>259</v>
      </c>
      <c r="D1051" s="129" t="s">
        <v>1533</v>
      </c>
      <c r="E1051" s="206" t="s">
        <v>269</v>
      </c>
      <c r="F1051" s="129" t="s">
        <v>1138</v>
      </c>
      <c r="G1051" s="198">
        <v>-500</v>
      </c>
      <c r="J1051" s="118"/>
    </row>
    <row r="1052" spans="1:10" ht="15.6" x14ac:dyDescent="0.3">
      <c r="A1052" s="127">
        <v>1047</v>
      </c>
      <c r="B1052" s="128">
        <v>43763</v>
      </c>
      <c r="C1052" s="129" t="s">
        <v>1688</v>
      </c>
      <c r="D1052" s="129" t="s">
        <v>1521</v>
      </c>
      <c r="E1052" s="206" t="s">
        <v>269</v>
      </c>
      <c r="F1052" s="129" t="s">
        <v>1138</v>
      </c>
      <c r="G1052" s="198">
        <v>-90</v>
      </c>
      <c r="J1052" s="118"/>
    </row>
    <row r="1053" spans="1:10" ht="15.6" x14ac:dyDescent="0.3">
      <c r="A1053" s="127">
        <v>1048</v>
      </c>
      <c r="B1053" s="128">
        <v>43763</v>
      </c>
      <c r="C1053" s="129" t="s">
        <v>42</v>
      </c>
      <c r="D1053" s="129" t="s">
        <v>1521</v>
      </c>
      <c r="E1053" s="206" t="s">
        <v>269</v>
      </c>
      <c r="F1053" s="129" t="s">
        <v>1138</v>
      </c>
      <c r="G1053" s="198">
        <v>-60</v>
      </c>
      <c r="J1053" s="118"/>
    </row>
    <row r="1054" spans="1:10" ht="15.6" x14ac:dyDescent="0.3">
      <c r="A1054" s="127">
        <v>1049</v>
      </c>
      <c r="B1054" s="128">
        <v>43765</v>
      </c>
      <c r="C1054" s="129" t="s">
        <v>255</v>
      </c>
      <c r="D1054" s="129" t="s">
        <v>1516</v>
      </c>
      <c r="E1054" s="206" t="s">
        <v>269</v>
      </c>
      <c r="F1054" s="129" t="s">
        <v>1138</v>
      </c>
      <c r="G1054" s="198">
        <v>-1000</v>
      </c>
      <c r="J1054" s="118"/>
    </row>
    <row r="1055" spans="1:10" ht="15.6" x14ac:dyDescent="0.3">
      <c r="A1055" s="127">
        <v>1050</v>
      </c>
      <c r="B1055" s="128">
        <v>43765</v>
      </c>
      <c r="C1055" s="129" t="s">
        <v>1650</v>
      </c>
      <c r="D1055" s="129" t="s">
        <v>1516</v>
      </c>
      <c r="E1055" s="206" t="s">
        <v>269</v>
      </c>
      <c r="F1055" s="129" t="s">
        <v>1138</v>
      </c>
      <c r="G1055" s="198">
        <v>-1000</v>
      </c>
      <c r="J1055" s="118"/>
    </row>
    <row r="1056" spans="1:10" ht="15.6" x14ac:dyDescent="0.3">
      <c r="A1056" s="127">
        <v>1051</v>
      </c>
      <c r="B1056" s="128">
        <v>43765</v>
      </c>
      <c r="C1056" s="129" t="s">
        <v>259</v>
      </c>
      <c r="D1056" s="129" t="s">
        <v>1533</v>
      </c>
      <c r="E1056" s="206" t="s">
        <v>269</v>
      </c>
      <c r="F1056" s="129" t="s">
        <v>1138</v>
      </c>
      <c r="G1056" s="198">
        <v>-1000</v>
      </c>
      <c r="J1056" s="118"/>
    </row>
    <row r="1057" spans="1:10" ht="15.6" x14ac:dyDescent="0.3">
      <c r="A1057" s="127">
        <v>1052</v>
      </c>
      <c r="B1057" s="128">
        <v>43765</v>
      </c>
      <c r="C1057" s="129" t="s">
        <v>1689</v>
      </c>
      <c r="D1057" s="129" t="s">
        <v>1516</v>
      </c>
      <c r="E1057" s="206" t="s">
        <v>269</v>
      </c>
      <c r="F1057" s="129" t="s">
        <v>1138</v>
      </c>
      <c r="G1057" s="198">
        <v>-1000</v>
      </c>
      <c r="J1057" s="118"/>
    </row>
    <row r="1058" spans="1:10" ht="15.6" x14ac:dyDescent="0.3">
      <c r="A1058" s="127">
        <v>1053</v>
      </c>
      <c r="B1058" s="128">
        <v>43765</v>
      </c>
      <c r="C1058" s="129" t="s">
        <v>42</v>
      </c>
      <c r="D1058" s="129" t="s">
        <v>1521</v>
      </c>
      <c r="E1058" s="206" t="s">
        <v>269</v>
      </c>
      <c r="F1058" s="129" t="s">
        <v>1138</v>
      </c>
      <c r="G1058" s="198">
        <v>-80</v>
      </c>
      <c r="J1058" s="118"/>
    </row>
    <row r="1059" spans="1:10" ht="15.6" x14ac:dyDescent="0.3">
      <c r="A1059" s="127">
        <v>1054</v>
      </c>
      <c r="B1059" s="128">
        <v>43765</v>
      </c>
      <c r="C1059" s="129" t="s">
        <v>250</v>
      </c>
      <c r="D1059" s="129" t="s">
        <v>1521</v>
      </c>
      <c r="E1059" s="206" t="s">
        <v>269</v>
      </c>
      <c r="F1059" s="129" t="s">
        <v>1138</v>
      </c>
      <c r="G1059" s="198">
        <v>-300</v>
      </c>
      <c r="J1059" s="118"/>
    </row>
    <row r="1060" spans="1:10" ht="15.6" x14ac:dyDescent="0.3">
      <c r="A1060" s="127">
        <v>1055</v>
      </c>
      <c r="B1060" s="128">
        <v>43766</v>
      </c>
      <c r="C1060" s="129" t="s">
        <v>1689</v>
      </c>
      <c r="D1060" s="129" t="s">
        <v>1516</v>
      </c>
      <c r="E1060" s="206" t="s">
        <v>269</v>
      </c>
      <c r="F1060" s="129" t="s">
        <v>1138</v>
      </c>
      <c r="G1060" s="198">
        <v>-2000</v>
      </c>
      <c r="J1060" s="118"/>
    </row>
    <row r="1061" spans="1:10" ht="15.6" x14ac:dyDescent="0.3">
      <c r="A1061" s="127">
        <v>1056</v>
      </c>
      <c r="B1061" s="128">
        <v>43766</v>
      </c>
      <c r="C1061" s="133" t="s">
        <v>1622</v>
      </c>
      <c r="D1061" s="133" t="s">
        <v>1520</v>
      </c>
      <c r="E1061" s="206" t="s">
        <v>269</v>
      </c>
      <c r="F1061" s="133" t="s">
        <v>1148</v>
      </c>
      <c r="G1061" s="141">
        <v>100000</v>
      </c>
      <c r="J1061" s="118"/>
    </row>
    <row r="1062" spans="1:10" ht="15.6" x14ac:dyDescent="0.3">
      <c r="A1062" s="127">
        <v>1057</v>
      </c>
      <c r="B1062" s="128">
        <v>43766</v>
      </c>
      <c r="C1062" s="133" t="s">
        <v>1743</v>
      </c>
      <c r="D1062" s="133" t="s">
        <v>1520</v>
      </c>
      <c r="E1062" s="206" t="s">
        <v>269</v>
      </c>
      <c r="F1062" s="133" t="s">
        <v>1148</v>
      </c>
      <c r="G1062" s="141">
        <v>360000</v>
      </c>
      <c r="J1062" s="118"/>
    </row>
    <row r="1063" spans="1:10" ht="15.6" x14ac:dyDescent="0.3">
      <c r="A1063" s="127">
        <v>1058</v>
      </c>
      <c r="B1063" s="128">
        <v>43766</v>
      </c>
      <c r="C1063" s="129" t="s">
        <v>113</v>
      </c>
      <c r="D1063" s="129" t="s">
        <v>1529</v>
      </c>
      <c r="E1063" s="206" t="s">
        <v>269</v>
      </c>
      <c r="F1063" s="129" t="s">
        <v>1138</v>
      </c>
      <c r="G1063" s="198">
        <v>-25000</v>
      </c>
      <c r="J1063" s="118"/>
    </row>
    <row r="1064" spans="1:10" ht="15.6" x14ac:dyDescent="0.3">
      <c r="A1064" s="127">
        <v>1058</v>
      </c>
      <c r="B1064" s="128">
        <v>43766</v>
      </c>
      <c r="C1064" s="129" t="s">
        <v>1548</v>
      </c>
      <c r="D1064" s="129" t="s">
        <v>1526</v>
      </c>
      <c r="E1064" s="206" t="s">
        <v>269</v>
      </c>
      <c r="F1064" s="129" t="s">
        <v>1138</v>
      </c>
      <c r="G1064" s="198">
        <v>-20000</v>
      </c>
      <c r="J1064" s="118"/>
    </row>
    <row r="1065" spans="1:10" ht="15.6" x14ac:dyDescent="0.3">
      <c r="A1065" s="127">
        <v>1059</v>
      </c>
      <c r="B1065" s="128">
        <v>43766</v>
      </c>
      <c r="C1065" s="129" t="s">
        <v>1687</v>
      </c>
      <c r="D1065" s="129" t="s">
        <v>1533</v>
      </c>
      <c r="E1065" s="206" t="s">
        <v>269</v>
      </c>
      <c r="F1065" s="129" t="s">
        <v>1138</v>
      </c>
      <c r="G1065" s="198">
        <v>-3000</v>
      </c>
      <c r="J1065" s="118"/>
    </row>
    <row r="1066" spans="1:10" ht="15.6" x14ac:dyDescent="0.3">
      <c r="A1066" s="127">
        <v>1060</v>
      </c>
      <c r="B1066" s="128">
        <v>43768</v>
      </c>
      <c r="C1066" s="129" t="s">
        <v>255</v>
      </c>
      <c r="D1066" s="129" t="s">
        <v>1516</v>
      </c>
      <c r="E1066" s="206" t="s">
        <v>269</v>
      </c>
      <c r="F1066" s="129" t="s">
        <v>1138</v>
      </c>
      <c r="G1066" s="198">
        <v>-2000</v>
      </c>
      <c r="J1066" s="118"/>
    </row>
    <row r="1067" spans="1:10" ht="15.6" x14ac:dyDescent="0.3">
      <c r="A1067" s="127">
        <v>1061</v>
      </c>
      <c r="B1067" s="128">
        <v>43768</v>
      </c>
      <c r="C1067" s="129" t="s">
        <v>1689</v>
      </c>
      <c r="D1067" s="129" t="s">
        <v>1516</v>
      </c>
      <c r="E1067" s="206" t="s">
        <v>269</v>
      </c>
      <c r="F1067" s="129" t="s">
        <v>1138</v>
      </c>
      <c r="G1067" s="198">
        <v>-3000</v>
      </c>
      <c r="J1067" s="118"/>
    </row>
    <row r="1068" spans="1:10" ht="15.6" x14ac:dyDescent="0.3">
      <c r="A1068" s="127">
        <v>1062</v>
      </c>
      <c r="B1068" s="128">
        <v>43768</v>
      </c>
      <c r="C1068" s="129" t="s">
        <v>1548</v>
      </c>
      <c r="D1068" s="129" t="s">
        <v>1526</v>
      </c>
      <c r="E1068" s="206" t="s">
        <v>269</v>
      </c>
      <c r="F1068" s="129" t="s">
        <v>1138</v>
      </c>
      <c r="G1068" s="198">
        <v>-40000</v>
      </c>
      <c r="J1068" s="118"/>
    </row>
    <row r="1069" spans="1:10" ht="15.6" x14ac:dyDescent="0.3">
      <c r="A1069" s="127">
        <v>1063</v>
      </c>
      <c r="B1069" s="128">
        <v>43768</v>
      </c>
      <c r="C1069" s="133" t="s">
        <v>1622</v>
      </c>
      <c r="D1069" s="133" t="s">
        <v>1520</v>
      </c>
      <c r="E1069" s="206" t="s">
        <v>269</v>
      </c>
      <c r="F1069" s="133" t="s">
        <v>1148</v>
      </c>
      <c r="G1069" s="141">
        <v>100000</v>
      </c>
      <c r="J1069" s="118"/>
    </row>
    <row r="1070" spans="1:10" ht="15.6" x14ac:dyDescent="0.3">
      <c r="A1070" s="127">
        <v>1064</v>
      </c>
      <c r="B1070" s="128">
        <v>43768</v>
      </c>
      <c r="C1070" s="129" t="s">
        <v>259</v>
      </c>
      <c r="D1070" s="129" t="s">
        <v>1533</v>
      </c>
      <c r="E1070" s="206" t="s">
        <v>269</v>
      </c>
      <c r="F1070" s="129" t="s">
        <v>1138</v>
      </c>
      <c r="G1070" s="198">
        <v>-50000</v>
      </c>
      <c r="J1070" s="118"/>
    </row>
    <row r="1071" spans="1:10" ht="15.6" x14ac:dyDescent="0.3">
      <c r="A1071" s="127">
        <v>1065</v>
      </c>
      <c r="B1071" s="128">
        <v>43769</v>
      </c>
      <c r="C1071" s="129" t="s">
        <v>1689</v>
      </c>
      <c r="D1071" s="129" t="s">
        <v>1516</v>
      </c>
      <c r="E1071" s="206" t="s">
        <v>269</v>
      </c>
      <c r="F1071" s="129" t="s">
        <v>1138</v>
      </c>
      <c r="G1071" s="198">
        <v>-2000</v>
      </c>
      <c r="J1071" s="118"/>
    </row>
    <row r="1072" spans="1:10" ht="15.6" x14ac:dyDescent="0.3">
      <c r="A1072" s="127">
        <v>1066</v>
      </c>
      <c r="B1072" s="128">
        <v>43771</v>
      </c>
      <c r="C1072" s="129" t="s">
        <v>248</v>
      </c>
      <c r="D1072" s="129" t="s">
        <v>1471</v>
      </c>
      <c r="E1072" s="206" t="s">
        <v>269</v>
      </c>
      <c r="F1072" s="129" t="s">
        <v>1138</v>
      </c>
      <c r="G1072" s="198">
        <v>-1000</v>
      </c>
      <c r="J1072" s="118"/>
    </row>
    <row r="1073" spans="1:10" ht="15.6" x14ac:dyDescent="0.3">
      <c r="A1073" s="127">
        <v>1067</v>
      </c>
      <c r="B1073" s="128">
        <v>43771</v>
      </c>
      <c r="C1073" s="129" t="s">
        <v>1689</v>
      </c>
      <c r="D1073" s="129" t="s">
        <v>1516</v>
      </c>
      <c r="E1073" s="206" t="s">
        <v>269</v>
      </c>
      <c r="F1073" s="129" t="s">
        <v>1138</v>
      </c>
      <c r="G1073" s="198">
        <v>-1500</v>
      </c>
      <c r="J1073" s="118"/>
    </row>
    <row r="1074" spans="1:10" ht="15.6" x14ac:dyDescent="0.3">
      <c r="A1074" s="127">
        <v>1068</v>
      </c>
      <c r="B1074" s="128">
        <v>43771</v>
      </c>
      <c r="C1074" s="129" t="s">
        <v>1690</v>
      </c>
      <c r="D1074" s="129" t="s">
        <v>1516</v>
      </c>
      <c r="E1074" s="206" t="s">
        <v>269</v>
      </c>
      <c r="F1074" s="129" t="s">
        <v>1138</v>
      </c>
      <c r="G1074" s="198">
        <v>-17450</v>
      </c>
      <c r="J1074" s="118"/>
    </row>
    <row r="1075" spans="1:10" ht="15.6" x14ac:dyDescent="0.3">
      <c r="A1075" s="127">
        <v>1069</v>
      </c>
      <c r="B1075" s="128">
        <v>43771</v>
      </c>
      <c r="C1075" s="129" t="s">
        <v>1691</v>
      </c>
      <c r="D1075" s="129" t="s">
        <v>1516</v>
      </c>
      <c r="E1075" s="206" t="s">
        <v>269</v>
      </c>
      <c r="F1075" s="129" t="s">
        <v>1138</v>
      </c>
      <c r="G1075" s="198">
        <v>-3500</v>
      </c>
      <c r="J1075" s="118"/>
    </row>
    <row r="1076" spans="1:10" ht="15.6" x14ac:dyDescent="0.3">
      <c r="A1076" s="127">
        <v>1070</v>
      </c>
      <c r="B1076" s="128">
        <v>43771</v>
      </c>
      <c r="C1076" s="129" t="s">
        <v>1548</v>
      </c>
      <c r="D1076" s="129" t="s">
        <v>1526</v>
      </c>
      <c r="E1076" s="206" t="s">
        <v>269</v>
      </c>
      <c r="F1076" s="129" t="s">
        <v>1138</v>
      </c>
      <c r="G1076" s="198">
        <v>-10000</v>
      </c>
      <c r="J1076" s="118"/>
    </row>
    <row r="1077" spans="1:10" ht="15.6" x14ac:dyDescent="0.3">
      <c r="A1077" s="127">
        <v>1071</v>
      </c>
      <c r="B1077" s="128">
        <v>43773</v>
      </c>
      <c r="C1077" s="129" t="s">
        <v>1692</v>
      </c>
      <c r="D1077" s="129" t="s">
        <v>1516</v>
      </c>
      <c r="E1077" s="206" t="s">
        <v>269</v>
      </c>
      <c r="F1077" s="129" t="s">
        <v>1138</v>
      </c>
      <c r="G1077" s="198">
        <v>-15050</v>
      </c>
      <c r="J1077" s="118"/>
    </row>
    <row r="1078" spans="1:10" ht="15.6" x14ac:dyDescent="0.3">
      <c r="A1078" s="127">
        <v>1072</v>
      </c>
      <c r="B1078" s="128">
        <v>43774</v>
      </c>
      <c r="C1078" s="129" t="s">
        <v>248</v>
      </c>
      <c r="D1078" s="129" t="s">
        <v>1471</v>
      </c>
      <c r="E1078" s="206" t="s">
        <v>269</v>
      </c>
      <c r="F1078" s="129" t="s">
        <v>1138</v>
      </c>
      <c r="G1078" s="198">
        <v>-500</v>
      </c>
      <c r="J1078" s="118"/>
    </row>
    <row r="1079" spans="1:10" ht="15.6" x14ac:dyDescent="0.3">
      <c r="A1079" s="127">
        <v>1073</v>
      </c>
      <c r="B1079" s="128">
        <v>43774</v>
      </c>
      <c r="C1079" s="129" t="s">
        <v>1689</v>
      </c>
      <c r="D1079" s="129" t="s">
        <v>1516</v>
      </c>
      <c r="E1079" s="206" t="s">
        <v>269</v>
      </c>
      <c r="F1079" s="129" t="s">
        <v>1138</v>
      </c>
      <c r="G1079" s="198">
        <v>-1500</v>
      </c>
      <c r="J1079" s="118"/>
    </row>
    <row r="1080" spans="1:10" ht="15.6" x14ac:dyDescent="0.3">
      <c r="A1080" s="127">
        <v>1074</v>
      </c>
      <c r="B1080" s="128">
        <v>43774</v>
      </c>
      <c r="C1080" s="129" t="s">
        <v>42</v>
      </c>
      <c r="D1080" s="129" t="s">
        <v>1521</v>
      </c>
      <c r="E1080" s="206" t="s">
        <v>269</v>
      </c>
      <c r="F1080" s="129" t="s">
        <v>1138</v>
      </c>
      <c r="G1080" s="198">
        <v>-90</v>
      </c>
      <c r="J1080" s="118"/>
    </row>
    <row r="1081" spans="1:10" ht="15.6" x14ac:dyDescent="0.3">
      <c r="A1081" s="127">
        <v>1075</v>
      </c>
      <c r="B1081" s="128">
        <v>43774</v>
      </c>
      <c r="C1081" s="133" t="s">
        <v>1622</v>
      </c>
      <c r="D1081" s="133" t="s">
        <v>1520</v>
      </c>
      <c r="E1081" s="206" t="s">
        <v>269</v>
      </c>
      <c r="F1081" s="133" t="s">
        <v>1148</v>
      </c>
      <c r="G1081" s="141">
        <v>250000</v>
      </c>
      <c r="J1081" s="118"/>
    </row>
    <row r="1082" spans="1:10" ht="15.6" x14ac:dyDescent="0.3">
      <c r="A1082" s="127">
        <v>1076</v>
      </c>
      <c r="B1082" s="128">
        <v>43774</v>
      </c>
      <c r="C1082" s="129" t="s">
        <v>1548</v>
      </c>
      <c r="D1082" s="129" t="s">
        <v>1526</v>
      </c>
      <c r="E1082" s="206" t="s">
        <v>269</v>
      </c>
      <c r="F1082" s="129" t="s">
        <v>1138</v>
      </c>
      <c r="G1082" s="198">
        <v>-130000</v>
      </c>
      <c r="J1082" s="118"/>
    </row>
    <row r="1083" spans="1:10" ht="15.6" x14ac:dyDescent="0.3">
      <c r="A1083" s="127">
        <v>1077</v>
      </c>
      <c r="B1083" s="128">
        <v>43774</v>
      </c>
      <c r="C1083" s="129" t="s">
        <v>113</v>
      </c>
      <c r="D1083" s="129" t="s">
        <v>1529</v>
      </c>
      <c r="E1083" s="206" t="s">
        <v>269</v>
      </c>
      <c r="F1083" s="129" t="s">
        <v>1138</v>
      </c>
      <c r="G1083" s="198">
        <v>-60000</v>
      </c>
      <c r="J1083" s="118"/>
    </row>
    <row r="1084" spans="1:10" ht="15.6" x14ac:dyDescent="0.3">
      <c r="A1084" s="127">
        <v>1078</v>
      </c>
      <c r="B1084" s="128">
        <v>43774</v>
      </c>
      <c r="C1084" s="129" t="s">
        <v>255</v>
      </c>
      <c r="D1084" s="129" t="s">
        <v>1516</v>
      </c>
      <c r="E1084" s="206" t="s">
        <v>269</v>
      </c>
      <c r="F1084" s="129" t="s">
        <v>1138</v>
      </c>
      <c r="G1084" s="198">
        <v>-1000</v>
      </c>
      <c r="J1084" s="118"/>
    </row>
    <row r="1085" spans="1:10" ht="15.6" x14ac:dyDescent="0.3">
      <c r="A1085" s="127">
        <v>1079</v>
      </c>
      <c r="B1085" s="128">
        <v>43774</v>
      </c>
      <c r="C1085" s="129" t="s">
        <v>1650</v>
      </c>
      <c r="D1085" s="129" t="s">
        <v>1516</v>
      </c>
      <c r="E1085" s="206" t="s">
        <v>269</v>
      </c>
      <c r="F1085" s="129" t="s">
        <v>1138</v>
      </c>
      <c r="G1085" s="198">
        <v>-3000</v>
      </c>
      <c r="J1085" s="118"/>
    </row>
    <row r="1086" spans="1:10" ht="15.6" x14ac:dyDescent="0.3">
      <c r="A1086" s="127">
        <v>1080</v>
      </c>
      <c r="B1086" s="128">
        <v>43774</v>
      </c>
      <c r="C1086" s="129" t="s">
        <v>1693</v>
      </c>
      <c r="D1086" s="129" t="s">
        <v>1517</v>
      </c>
      <c r="E1086" s="206" t="s">
        <v>269</v>
      </c>
      <c r="F1086" s="129" t="s">
        <v>1138</v>
      </c>
      <c r="G1086" s="198">
        <v>-60000</v>
      </c>
      <c r="J1086" s="118"/>
    </row>
    <row r="1087" spans="1:10" ht="15.6" x14ac:dyDescent="0.3">
      <c r="A1087" s="127">
        <v>1081</v>
      </c>
      <c r="B1087" s="128">
        <v>43774</v>
      </c>
      <c r="C1087" s="129" t="s">
        <v>119</v>
      </c>
      <c r="D1087" s="129" t="s">
        <v>1521</v>
      </c>
      <c r="E1087" s="206" t="s">
        <v>269</v>
      </c>
      <c r="F1087" s="129" t="s">
        <v>1138</v>
      </c>
      <c r="G1087" s="198">
        <v>-500</v>
      </c>
      <c r="J1087" s="118"/>
    </row>
    <row r="1088" spans="1:10" ht="15.6" x14ac:dyDescent="0.3">
      <c r="A1088" s="127">
        <v>1082</v>
      </c>
      <c r="B1088" s="128">
        <v>43774</v>
      </c>
      <c r="C1088" s="129" t="s">
        <v>1689</v>
      </c>
      <c r="D1088" s="129" t="s">
        <v>1516</v>
      </c>
      <c r="E1088" s="206" t="s">
        <v>269</v>
      </c>
      <c r="F1088" s="129" t="s">
        <v>1138</v>
      </c>
      <c r="G1088" s="198">
        <v>-2000</v>
      </c>
      <c r="J1088" s="118"/>
    </row>
    <row r="1089" spans="1:10" ht="15.6" x14ac:dyDescent="0.3">
      <c r="A1089" s="127">
        <v>1083</v>
      </c>
      <c r="B1089" s="128">
        <v>43774</v>
      </c>
      <c r="C1089" s="129" t="s">
        <v>42</v>
      </c>
      <c r="D1089" s="129" t="s">
        <v>1521</v>
      </c>
      <c r="E1089" s="206" t="s">
        <v>269</v>
      </c>
      <c r="F1089" s="129" t="s">
        <v>1138</v>
      </c>
      <c r="G1089" s="198">
        <v>-50</v>
      </c>
      <c r="J1089" s="118"/>
    </row>
    <row r="1090" spans="1:10" ht="15.6" x14ac:dyDescent="0.3">
      <c r="A1090" s="127">
        <v>1084</v>
      </c>
      <c r="B1090" s="128">
        <v>43776</v>
      </c>
      <c r="C1090" s="129" t="s">
        <v>255</v>
      </c>
      <c r="D1090" s="129" t="s">
        <v>1516</v>
      </c>
      <c r="E1090" s="206" t="s">
        <v>269</v>
      </c>
      <c r="F1090" s="129" t="s">
        <v>1138</v>
      </c>
      <c r="G1090" s="198">
        <v>-1000</v>
      </c>
      <c r="J1090" s="118"/>
    </row>
    <row r="1091" spans="1:10" ht="15.6" x14ac:dyDescent="0.3">
      <c r="A1091" s="127">
        <v>1085</v>
      </c>
      <c r="B1091" s="128">
        <v>43776</v>
      </c>
      <c r="C1091" s="129" t="s">
        <v>1689</v>
      </c>
      <c r="D1091" s="129" t="s">
        <v>1516</v>
      </c>
      <c r="E1091" s="206" t="s">
        <v>269</v>
      </c>
      <c r="F1091" s="129" t="s">
        <v>1138</v>
      </c>
      <c r="G1091" s="198">
        <v>-9500</v>
      </c>
      <c r="J1091" s="118"/>
    </row>
    <row r="1092" spans="1:10" ht="15.6" x14ac:dyDescent="0.3">
      <c r="A1092" s="127">
        <v>1086</v>
      </c>
      <c r="B1092" s="128">
        <v>43778</v>
      </c>
      <c r="C1092" s="129" t="s">
        <v>1548</v>
      </c>
      <c r="D1092" s="129" t="s">
        <v>1526</v>
      </c>
      <c r="E1092" s="206" t="s">
        <v>269</v>
      </c>
      <c r="F1092" s="129" t="s">
        <v>1138</v>
      </c>
      <c r="G1092" s="198">
        <v>-10000</v>
      </c>
      <c r="J1092" s="118"/>
    </row>
    <row r="1093" spans="1:10" ht="15.6" x14ac:dyDescent="0.3">
      <c r="A1093" s="127">
        <v>1087</v>
      </c>
      <c r="B1093" s="128">
        <v>43780</v>
      </c>
      <c r="C1093" s="133" t="s">
        <v>69</v>
      </c>
      <c r="D1093" s="133" t="s">
        <v>1524</v>
      </c>
      <c r="E1093" s="206" t="s">
        <v>269</v>
      </c>
      <c r="F1093" s="129" t="s">
        <v>1138</v>
      </c>
      <c r="G1093" s="198">
        <v>-20000</v>
      </c>
      <c r="J1093" s="118"/>
    </row>
    <row r="1094" spans="1:10" ht="15.6" x14ac:dyDescent="0.3">
      <c r="A1094" s="127">
        <v>1088</v>
      </c>
      <c r="B1094" s="128">
        <v>43780</v>
      </c>
      <c r="C1094" s="129" t="s">
        <v>1650</v>
      </c>
      <c r="D1094" s="129" t="s">
        <v>1516</v>
      </c>
      <c r="E1094" s="206" t="s">
        <v>269</v>
      </c>
      <c r="F1094" s="129" t="s">
        <v>1138</v>
      </c>
      <c r="G1094" s="198">
        <v>-1000</v>
      </c>
      <c r="J1094" s="118"/>
    </row>
    <row r="1095" spans="1:10" ht="15.6" x14ac:dyDescent="0.3">
      <c r="A1095" s="127">
        <v>1089</v>
      </c>
      <c r="B1095" s="128">
        <v>43780</v>
      </c>
      <c r="C1095" s="133" t="s">
        <v>1694</v>
      </c>
      <c r="D1095" s="133" t="s">
        <v>1527</v>
      </c>
      <c r="E1095" s="206" t="s">
        <v>269</v>
      </c>
      <c r="F1095" s="129" t="s">
        <v>1138</v>
      </c>
      <c r="G1095" s="198">
        <v>-700</v>
      </c>
      <c r="J1095" s="118"/>
    </row>
    <row r="1096" spans="1:10" ht="15.6" x14ac:dyDescent="0.3">
      <c r="A1096" s="127">
        <v>1090</v>
      </c>
      <c r="B1096" s="128">
        <v>43781</v>
      </c>
      <c r="C1096" s="133" t="s">
        <v>259</v>
      </c>
      <c r="D1096" s="133" t="s">
        <v>1533</v>
      </c>
      <c r="E1096" s="204" t="s">
        <v>269</v>
      </c>
      <c r="F1096" s="129" t="s">
        <v>1138</v>
      </c>
      <c r="G1096" s="198">
        <v>-30000</v>
      </c>
      <c r="J1096" s="118"/>
    </row>
    <row r="1097" spans="1:10" ht="15.6" x14ac:dyDescent="0.3">
      <c r="A1097" s="127">
        <v>1091</v>
      </c>
      <c r="B1097" s="128">
        <v>43781</v>
      </c>
      <c r="C1097" s="133" t="s">
        <v>1622</v>
      </c>
      <c r="D1097" s="133" t="s">
        <v>1520</v>
      </c>
      <c r="E1097" s="204" t="s">
        <v>269</v>
      </c>
      <c r="F1097" s="133" t="s">
        <v>1148</v>
      </c>
      <c r="G1097" s="198">
        <v>100000</v>
      </c>
      <c r="J1097" s="118"/>
    </row>
    <row r="1098" spans="1:10" ht="15.6" x14ac:dyDescent="0.3">
      <c r="A1098" s="127">
        <v>1092</v>
      </c>
      <c r="B1098" s="128">
        <v>43782</v>
      </c>
      <c r="C1098" s="129" t="s">
        <v>1548</v>
      </c>
      <c r="D1098" s="129" t="s">
        <v>1526</v>
      </c>
      <c r="E1098" s="204" t="s">
        <v>269</v>
      </c>
      <c r="F1098" s="129" t="s">
        <v>1138</v>
      </c>
      <c r="G1098" s="198">
        <v>-2000</v>
      </c>
      <c r="J1098" s="118"/>
    </row>
    <row r="1099" spans="1:10" ht="15.6" x14ac:dyDescent="0.3">
      <c r="A1099" s="127">
        <v>1093</v>
      </c>
      <c r="B1099" s="128">
        <v>43782</v>
      </c>
      <c r="C1099" s="133" t="s">
        <v>42</v>
      </c>
      <c r="D1099" s="133" t="s">
        <v>1521</v>
      </c>
      <c r="E1099" s="204" t="s">
        <v>269</v>
      </c>
      <c r="F1099" s="129" t="s">
        <v>1138</v>
      </c>
      <c r="G1099" s="198">
        <v>-90</v>
      </c>
      <c r="J1099" s="118"/>
    </row>
    <row r="1100" spans="1:10" ht="15.6" x14ac:dyDescent="0.3">
      <c r="A1100" s="127">
        <v>1094</v>
      </c>
      <c r="B1100" s="128">
        <v>43782</v>
      </c>
      <c r="C1100" s="129" t="s">
        <v>1650</v>
      </c>
      <c r="D1100" s="129" t="s">
        <v>1516</v>
      </c>
      <c r="E1100" s="204" t="s">
        <v>269</v>
      </c>
      <c r="F1100" s="129" t="s">
        <v>1138</v>
      </c>
      <c r="G1100" s="141">
        <v>-1000</v>
      </c>
      <c r="J1100" s="118"/>
    </row>
    <row r="1101" spans="1:10" ht="15.6" x14ac:dyDescent="0.3">
      <c r="A1101" s="127">
        <v>1095</v>
      </c>
      <c r="B1101" s="128">
        <v>43782</v>
      </c>
      <c r="C1101" s="133" t="s">
        <v>1394</v>
      </c>
      <c r="D1101" s="133" t="s">
        <v>1516</v>
      </c>
      <c r="E1101" s="204" t="s">
        <v>269</v>
      </c>
      <c r="F1101" s="129" t="s">
        <v>1138</v>
      </c>
      <c r="G1101" s="141">
        <v>-1000</v>
      </c>
      <c r="J1101" s="118"/>
    </row>
    <row r="1102" spans="1:10" ht="15.6" x14ac:dyDescent="0.3">
      <c r="A1102" s="127">
        <v>1096</v>
      </c>
      <c r="B1102" s="128">
        <v>43782</v>
      </c>
      <c r="C1102" s="129" t="s">
        <v>136</v>
      </c>
      <c r="D1102" s="129" t="s">
        <v>1516</v>
      </c>
      <c r="E1102" s="204" t="s">
        <v>269</v>
      </c>
      <c r="F1102" s="129" t="s">
        <v>1138</v>
      </c>
      <c r="G1102" s="141">
        <v>-1000</v>
      </c>
      <c r="J1102" s="118"/>
    </row>
    <row r="1103" spans="1:10" ht="15.6" x14ac:dyDescent="0.3">
      <c r="A1103" s="127">
        <v>1097</v>
      </c>
      <c r="B1103" s="128">
        <v>43783</v>
      </c>
      <c r="C1103" s="129" t="s">
        <v>113</v>
      </c>
      <c r="D1103" s="129" t="s">
        <v>1529</v>
      </c>
      <c r="E1103" s="204" t="s">
        <v>269</v>
      </c>
      <c r="F1103" s="129" t="s">
        <v>1138</v>
      </c>
      <c r="G1103" s="141">
        <v>-50000</v>
      </c>
      <c r="J1103" s="118"/>
    </row>
    <row r="1104" spans="1:10" ht="15.6" x14ac:dyDescent="0.3">
      <c r="A1104" s="127">
        <v>1098</v>
      </c>
      <c r="B1104" s="128">
        <v>43783</v>
      </c>
      <c r="C1104" s="129" t="s">
        <v>255</v>
      </c>
      <c r="D1104" s="129" t="s">
        <v>1516</v>
      </c>
      <c r="E1104" s="204" t="s">
        <v>269</v>
      </c>
      <c r="F1104" s="129" t="s">
        <v>1138</v>
      </c>
      <c r="G1104" s="141">
        <v>-1000</v>
      </c>
      <c r="J1104" s="118"/>
    </row>
    <row r="1105" spans="1:10" ht="15.6" x14ac:dyDescent="0.3">
      <c r="A1105" s="127">
        <v>1099</v>
      </c>
      <c r="B1105" s="128">
        <v>43783</v>
      </c>
      <c r="C1105" s="133" t="s">
        <v>259</v>
      </c>
      <c r="D1105" s="133" t="s">
        <v>1533</v>
      </c>
      <c r="E1105" s="204" t="s">
        <v>269</v>
      </c>
      <c r="F1105" s="129" t="s">
        <v>1138</v>
      </c>
      <c r="G1105" s="141">
        <v>-2000</v>
      </c>
      <c r="J1105" s="118"/>
    </row>
    <row r="1106" spans="1:10" ht="15.6" x14ac:dyDescent="0.3">
      <c r="A1106" s="127">
        <v>1100</v>
      </c>
      <c r="B1106" s="128">
        <v>43783</v>
      </c>
      <c r="C1106" s="129" t="s">
        <v>42</v>
      </c>
      <c r="D1106" s="129" t="s">
        <v>1521</v>
      </c>
      <c r="E1106" s="204" t="s">
        <v>269</v>
      </c>
      <c r="F1106" s="129" t="s">
        <v>1138</v>
      </c>
      <c r="G1106" s="141">
        <v>-90</v>
      </c>
      <c r="J1106" s="118"/>
    </row>
    <row r="1107" spans="1:10" ht="15.6" x14ac:dyDescent="0.3">
      <c r="A1107" s="127">
        <v>1101</v>
      </c>
      <c r="B1107" s="128">
        <v>43783</v>
      </c>
      <c r="C1107" s="133" t="s">
        <v>1622</v>
      </c>
      <c r="D1107" s="133" t="s">
        <v>1520</v>
      </c>
      <c r="E1107" s="204" t="s">
        <v>269</v>
      </c>
      <c r="F1107" s="133" t="s">
        <v>1148</v>
      </c>
      <c r="G1107" s="198">
        <v>50000</v>
      </c>
      <c r="J1107" s="118"/>
    </row>
    <row r="1108" spans="1:10" ht="15.6" x14ac:dyDescent="0.3">
      <c r="A1108" s="127">
        <v>1102</v>
      </c>
      <c r="B1108" s="128">
        <v>43785</v>
      </c>
      <c r="C1108" s="129" t="s">
        <v>1650</v>
      </c>
      <c r="D1108" s="129" t="s">
        <v>1516</v>
      </c>
      <c r="E1108" s="204" t="s">
        <v>269</v>
      </c>
      <c r="F1108" s="129" t="s">
        <v>1138</v>
      </c>
      <c r="G1108" s="141">
        <v>-1000</v>
      </c>
      <c r="J1108" s="118"/>
    </row>
    <row r="1109" spans="1:10" ht="15.6" x14ac:dyDescent="0.3">
      <c r="A1109" s="127">
        <v>1103</v>
      </c>
      <c r="B1109" s="128">
        <v>43785</v>
      </c>
      <c r="C1109" s="129" t="s">
        <v>255</v>
      </c>
      <c r="D1109" s="129" t="s">
        <v>1516</v>
      </c>
      <c r="E1109" s="204" t="s">
        <v>269</v>
      </c>
      <c r="F1109" s="129" t="s">
        <v>1138</v>
      </c>
      <c r="G1109" s="141">
        <v>-1000</v>
      </c>
      <c r="J1109" s="118"/>
    </row>
    <row r="1110" spans="1:10" ht="15.6" x14ac:dyDescent="0.3">
      <c r="A1110" s="127">
        <v>1104</v>
      </c>
      <c r="B1110" s="128">
        <v>43785</v>
      </c>
      <c r="C1110" s="133" t="s">
        <v>1394</v>
      </c>
      <c r="D1110" s="133" t="s">
        <v>1516</v>
      </c>
      <c r="E1110" s="204" t="s">
        <v>269</v>
      </c>
      <c r="F1110" s="129" t="s">
        <v>1138</v>
      </c>
      <c r="G1110" s="141">
        <v>-5000</v>
      </c>
      <c r="J1110" s="118"/>
    </row>
    <row r="1111" spans="1:10" ht="15.6" x14ac:dyDescent="0.3">
      <c r="A1111" s="127">
        <v>1105</v>
      </c>
      <c r="B1111" s="128">
        <v>43785</v>
      </c>
      <c r="C1111" s="129" t="s">
        <v>136</v>
      </c>
      <c r="D1111" s="129" t="s">
        <v>1516</v>
      </c>
      <c r="E1111" s="204" t="s">
        <v>269</v>
      </c>
      <c r="F1111" s="129" t="s">
        <v>1138</v>
      </c>
      <c r="G1111" s="141">
        <v>-2000</v>
      </c>
      <c r="J1111" s="118"/>
    </row>
    <row r="1112" spans="1:10" ht="15.6" x14ac:dyDescent="0.3">
      <c r="A1112" s="127">
        <v>1106</v>
      </c>
      <c r="B1112" s="128">
        <v>43785</v>
      </c>
      <c r="C1112" s="129" t="s">
        <v>42</v>
      </c>
      <c r="D1112" s="129" t="s">
        <v>1521</v>
      </c>
      <c r="E1112" s="204" t="s">
        <v>269</v>
      </c>
      <c r="F1112" s="129" t="s">
        <v>1138</v>
      </c>
      <c r="G1112" s="141">
        <v>-90</v>
      </c>
      <c r="J1112" s="118"/>
    </row>
    <row r="1113" spans="1:10" ht="15.6" x14ac:dyDescent="0.3">
      <c r="A1113" s="127">
        <v>1107</v>
      </c>
      <c r="B1113" s="128">
        <v>43785</v>
      </c>
      <c r="C1113" s="129" t="s">
        <v>119</v>
      </c>
      <c r="D1113" s="129" t="s">
        <v>1521</v>
      </c>
      <c r="E1113" s="204" t="s">
        <v>269</v>
      </c>
      <c r="F1113" s="129" t="s">
        <v>1138</v>
      </c>
      <c r="G1113" s="141">
        <v>-350</v>
      </c>
      <c r="J1113" s="118"/>
    </row>
    <row r="1114" spans="1:10" ht="15.6" x14ac:dyDescent="0.3">
      <c r="A1114" s="127">
        <v>1108</v>
      </c>
      <c r="B1114" s="128">
        <v>43786</v>
      </c>
      <c r="C1114" s="129" t="s">
        <v>1548</v>
      </c>
      <c r="D1114" s="129" t="s">
        <v>1526</v>
      </c>
      <c r="E1114" s="204" t="s">
        <v>269</v>
      </c>
      <c r="F1114" s="129" t="s">
        <v>1138</v>
      </c>
      <c r="G1114" s="141">
        <v>-2000</v>
      </c>
      <c r="J1114" s="118"/>
    </row>
    <row r="1115" spans="1:10" ht="15.6" x14ac:dyDescent="0.3">
      <c r="A1115" s="127">
        <v>1109</v>
      </c>
      <c r="B1115" s="128">
        <v>43786</v>
      </c>
      <c r="C1115" s="129" t="s">
        <v>1395</v>
      </c>
      <c r="D1115" s="129" t="s">
        <v>1516</v>
      </c>
      <c r="E1115" s="204" t="s">
        <v>269</v>
      </c>
      <c r="F1115" s="129" t="s">
        <v>1138</v>
      </c>
      <c r="G1115" s="141">
        <v>-5000</v>
      </c>
      <c r="J1115" s="118"/>
    </row>
    <row r="1116" spans="1:10" ht="15.6" x14ac:dyDescent="0.3">
      <c r="A1116" s="127">
        <v>1110</v>
      </c>
      <c r="B1116" s="128">
        <v>43786</v>
      </c>
      <c r="C1116" s="129" t="s">
        <v>42</v>
      </c>
      <c r="D1116" s="129" t="s">
        <v>1521</v>
      </c>
      <c r="E1116" s="204" t="s">
        <v>269</v>
      </c>
      <c r="F1116" s="129" t="s">
        <v>1138</v>
      </c>
      <c r="G1116" s="141">
        <v>-120</v>
      </c>
      <c r="J1116" s="118"/>
    </row>
    <row r="1117" spans="1:10" ht="15.6" x14ac:dyDescent="0.3">
      <c r="A1117" s="127">
        <v>1111</v>
      </c>
      <c r="B1117" s="128">
        <v>43786</v>
      </c>
      <c r="C1117" s="129" t="s">
        <v>1396</v>
      </c>
      <c r="D1117" s="129" t="s">
        <v>1516</v>
      </c>
      <c r="E1117" s="204" t="s">
        <v>269</v>
      </c>
      <c r="F1117" s="129" t="s">
        <v>1138</v>
      </c>
      <c r="G1117" s="141">
        <v>-1000</v>
      </c>
      <c r="J1117" s="118"/>
    </row>
    <row r="1118" spans="1:10" ht="15.6" x14ac:dyDescent="0.3">
      <c r="A1118" s="127">
        <v>1112</v>
      </c>
      <c r="B1118" s="128">
        <v>43787</v>
      </c>
      <c r="C1118" s="129" t="s">
        <v>255</v>
      </c>
      <c r="D1118" s="129" t="s">
        <v>1516</v>
      </c>
      <c r="E1118" s="204" t="s">
        <v>269</v>
      </c>
      <c r="F1118" s="129" t="s">
        <v>1138</v>
      </c>
      <c r="G1118" s="141">
        <v>-2000</v>
      </c>
      <c r="J1118" s="118"/>
    </row>
    <row r="1119" spans="1:10" ht="15.6" x14ac:dyDescent="0.3">
      <c r="A1119" s="127">
        <v>1113</v>
      </c>
      <c r="B1119" s="128">
        <v>43787</v>
      </c>
      <c r="C1119" s="129" t="s">
        <v>1695</v>
      </c>
      <c r="D1119" s="129" t="s">
        <v>1523</v>
      </c>
      <c r="E1119" s="204" t="s">
        <v>269</v>
      </c>
      <c r="F1119" s="129" t="s">
        <v>1138</v>
      </c>
      <c r="G1119" s="141">
        <v>-20000</v>
      </c>
      <c r="J1119" s="118"/>
    </row>
    <row r="1120" spans="1:10" ht="15.6" x14ac:dyDescent="0.3">
      <c r="A1120" s="127">
        <v>1114</v>
      </c>
      <c r="B1120" s="128">
        <v>43787</v>
      </c>
      <c r="C1120" s="129" t="s">
        <v>42</v>
      </c>
      <c r="D1120" s="129" t="s">
        <v>1521</v>
      </c>
      <c r="E1120" s="204" t="s">
        <v>269</v>
      </c>
      <c r="F1120" s="129" t="s">
        <v>1138</v>
      </c>
      <c r="G1120" s="141">
        <v>-150</v>
      </c>
      <c r="J1120" s="118"/>
    </row>
    <row r="1121" spans="1:10" ht="15.6" x14ac:dyDescent="0.3">
      <c r="A1121" s="127">
        <v>1115</v>
      </c>
      <c r="B1121" s="128">
        <v>43787</v>
      </c>
      <c r="C1121" s="129" t="s">
        <v>50</v>
      </c>
      <c r="D1121" s="129" t="s">
        <v>1527</v>
      </c>
      <c r="E1121" s="204" t="s">
        <v>269</v>
      </c>
      <c r="F1121" s="129" t="s">
        <v>1138</v>
      </c>
      <c r="G1121" s="141">
        <v>-3420</v>
      </c>
      <c r="J1121" s="118"/>
    </row>
    <row r="1122" spans="1:10" ht="15.6" x14ac:dyDescent="0.3">
      <c r="A1122" s="127">
        <v>1116</v>
      </c>
      <c r="B1122" s="128">
        <v>43788</v>
      </c>
      <c r="C1122" s="129" t="s">
        <v>1394</v>
      </c>
      <c r="D1122" s="129" t="s">
        <v>1516</v>
      </c>
      <c r="E1122" s="204" t="s">
        <v>269</v>
      </c>
      <c r="F1122" s="129" t="s">
        <v>1138</v>
      </c>
      <c r="G1122" s="141">
        <v>-3000</v>
      </c>
      <c r="J1122" s="118"/>
    </row>
    <row r="1123" spans="1:10" ht="15.6" x14ac:dyDescent="0.3">
      <c r="A1123" s="127">
        <v>1117</v>
      </c>
      <c r="B1123" s="128">
        <v>43788</v>
      </c>
      <c r="C1123" s="129" t="s">
        <v>42</v>
      </c>
      <c r="D1123" s="129" t="s">
        <v>1521</v>
      </c>
      <c r="E1123" s="204" t="s">
        <v>269</v>
      </c>
      <c r="F1123" s="129" t="s">
        <v>1138</v>
      </c>
      <c r="G1123" s="141">
        <v>-150</v>
      </c>
      <c r="J1123" s="118"/>
    </row>
    <row r="1124" spans="1:10" ht="15.6" x14ac:dyDescent="0.3">
      <c r="A1124" s="127">
        <v>1118</v>
      </c>
      <c r="B1124" s="128">
        <v>43788</v>
      </c>
      <c r="C1124" s="129" t="s">
        <v>259</v>
      </c>
      <c r="D1124" s="129" t="s">
        <v>1533</v>
      </c>
      <c r="E1124" s="204" t="s">
        <v>269</v>
      </c>
      <c r="F1124" s="129" t="s">
        <v>1138</v>
      </c>
      <c r="G1124" s="141">
        <v>-15000</v>
      </c>
      <c r="J1124" s="118"/>
    </row>
    <row r="1125" spans="1:10" ht="15.6" x14ac:dyDescent="0.3">
      <c r="A1125" s="127">
        <v>1119</v>
      </c>
      <c r="B1125" s="128">
        <v>43788</v>
      </c>
      <c r="C1125" s="129" t="s">
        <v>50</v>
      </c>
      <c r="D1125" s="129" t="s">
        <v>1527</v>
      </c>
      <c r="E1125" s="204" t="s">
        <v>269</v>
      </c>
      <c r="F1125" s="129" t="s">
        <v>1138</v>
      </c>
      <c r="G1125" s="141">
        <v>-2700</v>
      </c>
      <c r="J1125" s="118"/>
    </row>
    <row r="1126" spans="1:10" ht="15.6" x14ac:dyDescent="0.3">
      <c r="A1126" s="127">
        <v>1120</v>
      </c>
      <c r="B1126" s="128">
        <v>43788</v>
      </c>
      <c r="C1126" s="133" t="s">
        <v>1622</v>
      </c>
      <c r="D1126" s="133" t="s">
        <v>1520</v>
      </c>
      <c r="E1126" s="204" t="s">
        <v>269</v>
      </c>
      <c r="F1126" s="133" t="s">
        <v>1148</v>
      </c>
      <c r="G1126" s="198">
        <v>60000</v>
      </c>
      <c r="J1126" s="118"/>
    </row>
    <row r="1127" spans="1:10" ht="15.6" x14ac:dyDescent="0.3">
      <c r="A1127" s="127">
        <v>1121</v>
      </c>
      <c r="B1127" s="128">
        <v>43789</v>
      </c>
      <c r="C1127" s="129" t="s">
        <v>42</v>
      </c>
      <c r="D1127" s="129" t="s">
        <v>1521</v>
      </c>
      <c r="E1127" s="204" t="s">
        <v>269</v>
      </c>
      <c r="F1127" s="129" t="s">
        <v>1138</v>
      </c>
      <c r="G1127" s="141">
        <v>-100</v>
      </c>
      <c r="J1127" s="118"/>
    </row>
    <row r="1128" spans="1:10" ht="15.6" x14ac:dyDescent="0.3">
      <c r="A1128" s="127">
        <v>1122</v>
      </c>
      <c r="B1128" s="128">
        <v>43789</v>
      </c>
      <c r="C1128" s="129" t="s">
        <v>1696</v>
      </c>
      <c r="D1128" s="129" t="s">
        <v>1516</v>
      </c>
      <c r="E1128" s="204" t="s">
        <v>269</v>
      </c>
      <c r="F1128" s="129" t="s">
        <v>1138</v>
      </c>
      <c r="G1128" s="141">
        <v>-5700</v>
      </c>
      <c r="J1128" s="118"/>
    </row>
    <row r="1129" spans="1:10" ht="15.6" x14ac:dyDescent="0.3">
      <c r="A1129" s="127">
        <v>1123</v>
      </c>
      <c r="B1129" s="128">
        <v>43790</v>
      </c>
      <c r="C1129" s="129" t="s">
        <v>1395</v>
      </c>
      <c r="D1129" s="129" t="s">
        <v>1516</v>
      </c>
      <c r="E1129" s="204" t="s">
        <v>269</v>
      </c>
      <c r="F1129" s="129" t="s">
        <v>1138</v>
      </c>
      <c r="G1129" s="141">
        <v>-5000</v>
      </c>
      <c r="J1129" s="118"/>
    </row>
    <row r="1130" spans="1:10" ht="15.6" x14ac:dyDescent="0.3">
      <c r="A1130" s="127">
        <v>1124</v>
      </c>
      <c r="B1130" s="128">
        <v>43790</v>
      </c>
      <c r="C1130" s="129" t="s">
        <v>42</v>
      </c>
      <c r="D1130" s="129" t="s">
        <v>1521</v>
      </c>
      <c r="E1130" s="204" t="s">
        <v>269</v>
      </c>
      <c r="F1130" s="129" t="s">
        <v>1138</v>
      </c>
      <c r="G1130" s="141">
        <v>-100</v>
      </c>
      <c r="J1130" s="118"/>
    </row>
    <row r="1131" spans="1:10" ht="15.6" x14ac:dyDescent="0.3">
      <c r="A1131" s="127">
        <v>1125</v>
      </c>
      <c r="B1131" s="128">
        <v>43790</v>
      </c>
      <c r="C1131" s="129" t="s">
        <v>1548</v>
      </c>
      <c r="D1131" s="129" t="s">
        <v>1526</v>
      </c>
      <c r="E1131" s="204" t="s">
        <v>269</v>
      </c>
      <c r="F1131" s="129" t="s">
        <v>1138</v>
      </c>
      <c r="G1131" s="141">
        <v>-50000</v>
      </c>
      <c r="J1131" s="118"/>
    </row>
    <row r="1132" spans="1:10" ht="15.6" x14ac:dyDescent="0.3">
      <c r="A1132" s="127">
        <v>1126</v>
      </c>
      <c r="B1132" s="128">
        <v>43790</v>
      </c>
      <c r="C1132" s="129" t="s">
        <v>1650</v>
      </c>
      <c r="D1132" s="129" t="s">
        <v>1516</v>
      </c>
      <c r="E1132" s="204" t="s">
        <v>269</v>
      </c>
      <c r="F1132" s="129" t="s">
        <v>1138</v>
      </c>
      <c r="G1132" s="141">
        <v>-2000</v>
      </c>
      <c r="J1132" s="118"/>
    </row>
    <row r="1133" spans="1:10" ht="15.6" x14ac:dyDescent="0.3">
      <c r="A1133" s="127">
        <v>1127</v>
      </c>
      <c r="B1133" s="128">
        <v>43790</v>
      </c>
      <c r="C1133" s="133" t="s">
        <v>1622</v>
      </c>
      <c r="D1133" s="133" t="s">
        <v>1520</v>
      </c>
      <c r="E1133" s="204" t="s">
        <v>269</v>
      </c>
      <c r="F1133" s="133" t="s">
        <v>1148</v>
      </c>
      <c r="G1133" s="198">
        <v>30000</v>
      </c>
      <c r="J1133" s="118"/>
    </row>
    <row r="1134" spans="1:10" ht="15.6" x14ac:dyDescent="0.3">
      <c r="A1134" s="127">
        <v>1128</v>
      </c>
      <c r="B1134" s="128">
        <v>43793</v>
      </c>
      <c r="C1134" s="129" t="s">
        <v>1548</v>
      </c>
      <c r="D1134" s="129" t="s">
        <v>1526</v>
      </c>
      <c r="E1134" s="204" t="s">
        <v>269</v>
      </c>
      <c r="F1134" s="129" t="s">
        <v>1138</v>
      </c>
      <c r="G1134" s="141">
        <v>-50000</v>
      </c>
      <c r="J1134" s="118"/>
    </row>
    <row r="1135" spans="1:10" ht="15.6" x14ac:dyDescent="0.3">
      <c r="A1135" s="127">
        <v>1129</v>
      </c>
      <c r="B1135" s="128">
        <v>43793</v>
      </c>
      <c r="C1135" s="129" t="s">
        <v>259</v>
      </c>
      <c r="D1135" s="129" t="s">
        <v>1533</v>
      </c>
      <c r="E1135" s="204" t="s">
        <v>269</v>
      </c>
      <c r="F1135" s="129" t="s">
        <v>1138</v>
      </c>
      <c r="G1135" s="141">
        <v>-10000</v>
      </c>
      <c r="J1135" s="118"/>
    </row>
    <row r="1136" spans="1:10" ht="15.6" x14ac:dyDescent="0.3">
      <c r="A1136" s="127">
        <v>1130</v>
      </c>
      <c r="B1136" s="128">
        <v>43793</v>
      </c>
      <c r="C1136" s="133" t="s">
        <v>1622</v>
      </c>
      <c r="D1136" s="133" t="s">
        <v>1520</v>
      </c>
      <c r="E1136" s="204" t="s">
        <v>269</v>
      </c>
      <c r="F1136" s="133" t="s">
        <v>1148</v>
      </c>
      <c r="G1136" s="198">
        <v>60000</v>
      </c>
      <c r="J1136" s="118"/>
    </row>
    <row r="1137" spans="1:10" ht="15.6" x14ac:dyDescent="0.3">
      <c r="A1137" s="127">
        <v>1131</v>
      </c>
      <c r="B1137" s="128">
        <v>43794</v>
      </c>
      <c r="C1137" s="129" t="s">
        <v>248</v>
      </c>
      <c r="D1137" s="129" t="s">
        <v>1471</v>
      </c>
      <c r="E1137" s="204" t="s">
        <v>269</v>
      </c>
      <c r="F1137" s="129" t="s">
        <v>1138</v>
      </c>
      <c r="G1137" s="141">
        <v>-1000</v>
      </c>
      <c r="J1137" s="118"/>
    </row>
    <row r="1138" spans="1:10" ht="15.6" x14ac:dyDescent="0.3">
      <c r="A1138" s="127">
        <v>1132</v>
      </c>
      <c r="B1138" s="128">
        <v>43794</v>
      </c>
      <c r="C1138" s="129" t="s">
        <v>113</v>
      </c>
      <c r="D1138" s="129" t="s">
        <v>1529</v>
      </c>
      <c r="E1138" s="204" t="s">
        <v>269</v>
      </c>
      <c r="F1138" s="129" t="s">
        <v>1138</v>
      </c>
      <c r="G1138" s="141">
        <v>-5000</v>
      </c>
      <c r="J1138" s="118"/>
    </row>
    <row r="1139" spans="1:10" ht="15.6" x14ac:dyDescent="0.3">
      <c r="A1139" s="127">
        <v>1133</v>
      </c>
      <c r="B1139" s="128">
        <v>43794</v>
      </c>
      <c r="C1139" s="129" t="s">
        <v>1650</v>
      </c>
      <c r="D1139" s="129" t="s">
        <v>1516</v>
      </c>
      <c r="E1139" s="204" t="s">
        <v>269</v>
      </c>
      <c r="F1139" s="129" t="s">
        <v>1138</v>
      </c>
      <c r="G1139" s="141">
        <v>-1000</v>
      </c>
      <c r="J1139" s="118"/>
    </row>
    <row r="1140" spans="1:10" ht="15.6" x14ac:dyDescent="0.3">
      <c r="A1140" s="127">
        <v>1134</v>
      </c>
      <c r="B1140" s="128">
        <v>43797</v>
      </c>
      <c r="C1140" s="129" t="s">
        <v>1457</v>
      </c>
      <c r="D1140" s="129" t="s">
        <v>1516</v>
      </c>
      <c r="E1140" s="204" t="s">
        <v>269</v>
      </c>
      <c r="F1140" s="129" t="s">
        <v>1138</v>
      </c>
      <c r="G1140" s="152">
        <v>-1000</v>
      </c>
      <c r="J1140" s="118"/>
    </row>
    <row r="1141" spans="1:10" ht="15.6" x14ac:dyDescent="0.3">
      <c r="A1141" s="127">
        <v>1135</v>
      </c>
      <c r="B1141" s="128">
        <v>43797</v>
      </c>
      <c r="C1141" s="129" t="s">
        <v>1458</v>
      </c>
      <c r="D1141" s="129" t="s">
        <v>1520</v>
      </c>
      <c r="E1141" s="204" t="s">
        <v>269</v>
      </c>
      <c r="F1141" s="129" t="s">
        <v>1148</v>
      </c>
      <c r="G1141" s="152">
        <v>20000</v>
      </c>
      <c r="J1141" s="118"/>
    </row>
    <row r="1142" spans="1:10" ht="15.6" x14ac:dyDescent="0.3">
      <c r="A1142" s="127">
        <v>1136</v>
      </c>
      <c r="B1142" s="128">
        <v>43797</v>
      </c>
      <c r="C1142" s="212" t="s">
        <v>1459</v>
      </c>
      <c r="D1142" s="129" t="s">
        <v>1526</v>
      </c>
      <c r="E1142" s="204" t="s">
        <v>269</v>
      </c>
      <c r="F1142" s="129" t="s">
        <v>1138</v>
      </c>
      <c r="G1142" s="152">
        <v>-25000</v>
      </c>
      <c r="J1142" s="118"/>
    </row>
    <row r="1143" spans="1:10" ht="15.6" x14ac:dyDescent="0.3">
      <c r="A1143" s="127">
        <v>1137</v>
      </c>
      <c r="B1143" s="128">
        <v>43799</v>
      </c>
      <c r="C1143" s="129" t="s">
        <v>1548</v>
      </c>
      <c r="D1143" s="129" t="s">
        <v>1526</v>
      </c>
      <c r="E1143" s="204" t="s">
        <v>269</v>
      </c>
      <c r="F1143" s="129" t="s">
        <v>1138</v>
      </c>
      <c r="G1143" s="141">
        <v>-100000</v>
      </c>
      <c r="H1143" s="148"/>
      <c r="J1143" s="118"/>
    </row>
    <row r="1144" spans="1:10" ht="15.6" x14ac:dyDescent="0.3">
      <c r="A1144" s="127">
        <v>1138</v>
      </c>
      <c r="B1144" s="128">
        <v>43799</v>
      </c>
      <c r="C1144" s="129" t="s">
        <v>259</v>
      </c>
      <c r="D1144" s="129" t="s">
        <v>1533</v>
      </c>
      <c r="E1144" s="204" t="s">
        <v>269</v>
      </c>
      <c r="F1144" s="129" t="s">
        <v>1138</v>
      </c>
      <c r="G1144" s="141">
        <v>-40000</v>
      </c>
      <c r="J1144" s="118"/>
    </row>
    <row r="1145" spans="1:10" ht="15.6" x14ac:dyDescent="0.3">
      <c r="A1145" s="127">
        <v>1139</v>
      </c>
      <c r="B1145" s="128">
        <v>43799</v>
      </c>
      <c r="C1145" s="133" t="s">
        <v>1622</v>
      </c>
      <c r="D1145" s="133" t="s">
        <v>1520</v>
      </c>
      <c r="E1145" s="204" t="s">
        <v>269</v>
      </c>
      <c r="F1145" s="133" t="s">
        <v>1148</v>
      </c>
      <c r="G1145" s="198">
        <v>60000</v>
      </c>
      <c r="J1145" s="118"/>
    </row>
    <row r="1146" spans="1:10" ht="15.6" x14ac:dyDescent="0.3">
      <c r="A1146" s="127">
        <v>1140</v>
      </c>
      <c r="B1146" s="128">
        <v>43799</v>
      </c>
      <c r="C1146" s="133" t="s">
        <v>1622</v>
      </c>
      <c r="D1146" s="133" t="s">
        <v>1520</v>
      </c>
      <c r="E1146" s="204" t="s">
        <v>269</v>
      </c>
      <c r="F1146" s="133" t="s">
        <v>1148</v>
      </c>
      <c r="G1146" s="198">
        <v>120000</v>
      </c>
      <c r="J1146" s="118"/>
    </row>
    <row r="1147" spans="1:10" ht="15.6" x14ac:dyDescent="0.3">
      <c r="A1147" s="127">
        <v>1141</v>
      </c>
      <c r="B1147" s="128">
        <v>43799</v>
      </c>
      <c r="C1147" s="129" t="s">
        <v>42</v>
      </c>
      <c r="D1147" s="129" t="s">
        <v>1521</v>
      </c>
      <c r="E1147" s="204" t="s">
        <v>269</v>
      </c>
      <c r="F1147" s="129" t="s">
        <v>1138</v>
      </c>
      <c r="G1147" s="198">
        <v>-30</v>
      </c>
      <c r="J1147" s="118"/>
    </row>
    <row r="1148" spans="1:10" ht="15.6" x14ac:dyDescent="0.3">
      <c r="A1148" s="127">
        <v>1142</v>
      </c>
      <c r="B1148" s="128">
        <v>43799</v>
      </c>
      <c r="C1148" s="129" t="s">
        <v>1747</v>
      </c>
      <c r="D1148" s="218" t="s">
        <v>1526</v>
      </c>
      <c r="E1148" s="217" t="s">
        <v>1137</v>
      </c>
      <c r="F1148" s="129" t="s">
        <v>1138</v>
      </c>
      <c r="G1148" s="198">
        <v>-15000</v>
      </c>
      <c r="J1148" s="118"/>
    </row>
    <row r="1149" spans="1:10" ht="15.6" x14ac:dyDescent="0.3">
      <c r="A1149" s="127" t="s">
        <v>1748</v>
      </c>
      <c r="B1149" s="128">
        <v>43801</v>
      </c>
      <c r="C1149" s="129" t="s">
        <v>1461</v>
      </c>
      <c r="D1149" s="129" t="s">
        <v>1516</v>
      </c>
      <c r="E1149" s="204" t="s">
        <v>269</v>
      </c>
      <c r="F1149" s="129" t="s">
        <v>1138</v>
      </c>
      <c r="G1149" s="152">
        <v>-17500</v>
      </c>
      <c r="J1149" s="118"/>
    </row>
    <row r="1150" spans="1:10" ht="15.6" x14ac:dyDescent="0.3">
      <c r="A1150" s="127">
        <v>1143</v>
      </c>
      <c r="B1150" s="128">
        <v>43801</v>
      </c>
      <c r="C1150" s="129" t="s">
        <v>1462</v>
      </c>
      <c r="D1150" s="129" t="s">
        <v>1516</v>
      </c>
      <c r="E1150" s="204" t="s">
        <v>269</v>
      </c>
      <c r="F1150" s="129" t="s">
        <v>1138</v>
      </c>
      <c r="G1150" s="152">
        <v>-10000</v>
      </c>
      <c r="J1150" s="118"/>
    </row>
    <row r="1151" spans="1:10" ht="15.6" x14ac:dyDescent="0.3">
      <c r="A1151" s="127">
        <v>1144</v>
      </c>
      <c r="B1151" s="128">
        <v>43803</v>
      </c>
      <c r="C1151" s="129" t="s">
        <v>1458</v>
      </c>
      <c r="D1151" s="129" t="s">
        <v>1520</v>
      </c>
      <c r="E1151" s="204" t="s">
        <v>269</v>
      </c>
      <c r="F1151" s="129" t="s">
        <v>1148</v>
      </c>
      <c r="G1151" s="152">
        <v>50000</v>
      </c>
      <c r="J1151" s="118"/>
    </row>
    <row r="1152" spans="1:10" ht="15.6" x14ac:dyDescent="0.3">
      <c r="A1152" s="127">
        <v>1145</v>
      </c>
      <c r="B1152" s="128">
        <v>43803</v>
      </c>
      <c r="C1152" s="129" t="s">
        <v>1463</v>
      </c>
      <c r="D1152" s="129" t="s">
        <v>1526</v>
      </c>
      <c r="E1152" s="204" t="s">
        <v>269</v>
      </c>
      <c r="F1152" s="129" t="s">
        <v>1138</v>
      </c>
      <c r="G1152" s="152">
        <v>-25000</v>
      </c>
      <c r="J1152" s="118"/>
    </row>
    <row r="1153" spans="1:10" ht="15.6" x14ac:dyDescent="0.3">
      <c r="A1153" s="127">
        <v>1146</v>
      </c>
      <c r="B1153" s="128">
        <v>43803</v>
      </c>
      <c r="C1153" s="129" t="s">
        <v>259</v>
      </c>
      <c r="D1153" s="129" t="s">
        <v>1533</v>
      </c>
      <c r="E1153" s="204" t="s">
        <v>269</v>
      </c>
      <c r="F1153" s="129" t="s">
        <v>1138</v>
      </c>
      <c r="G1153" s="152">
        <v>-25000</v>
      </c>
      <c r="J1153" s="118"/>
    </row>
    <row r="1154" spans="1:10" ht="15.6" x14ac:dyDescent="0.3">
      <c r="A1154" s="127">
        <v>1147</v>
      </c>
      <c r="B1154" s="128">
        <v>43804</v>
      </c>
      <c r="C1154" s="129" t="s">
        <v>1464</v>
      </c>
      <c r="D1154" s="129" t="s">
        <v>1521</v>
      </c>
      <c r="E1154" s="204" t="s">
        <v>269</v>
      </c>
      <c r="F1154" s="129" t="s">
        <v>1138</v>
      </c>
      <c r="G1154" s="152">
        <v>-240</v>
      </c>
      <c r="J1154" s="118"/>
    </row>
    <row r="1155" spans="1:10" ht="15.6" x14ac:dyDescent="0.3">
      <c r="A1155" s="127">
        <v>1148</v>
      </c>
      <c r="B1155" s="128">
        <v>43805</v>
      </c>
      <c r="C1155" s="129" t="s">
        <v>113</v>
      </c>
      <c r="D1155" s="129" t="s">
        <v>1529</v>
      </c>
      <c r="E1155" s="204" t="s">
        <v>269</v>
      </c>
      <c r="F1155" s="129" t="s">
        <v>1138</v>
      </c>
      <c r="G1155" s="152">
        <v>-10000</v>
      </c>
      <c r="J1155" s="118"/>
    </row>
    <row r="1156" spans="1:10" ht="15.6" x14ac:dyDescent="0.3">
      <c r="A1156" s="127">
        <v>1149</v>
      </c>
      <c r="B1156" s="128">
        <v>43806</v>
      </c>
      <c r="C1156" s="129" t="s">
        <v>1457</v>
      </c>
      <c r="D1156" s="129" t="s">
        <v>1516</v>
      </c>
      <c r="E1156" s="204" t="s">
        <v>269</v>
      </c>
      <c r="F1156" s="129" t="s">
        <v>1138</v>
      </c>
      <c r="G1156" s="152">
        <v>-1000</v>
      </c>
      <c r="J1156" s="118"/>
    </row>
    <row r="1157" spans="1:10" ht="15.6" x14ac:dyDescent="0.3">
      <c r="A1157" s="127">
        <v>1150</v>
      </c>
      <c r="B1157" s="128">
        <v>43810</v>
      </c>
      <c r="C1157" s="129" t="s">
        <v>1458</v>
      </c>
      <c r="D1157" s="129" t="s">
        <v>1520</v>
      </c>
      <c r="E1157" s="204" t="s">
        <v>269</v>
      </c>
      <c r="F1157" s="129" t="s">
        <v>1148</v>
      </c>
      <c r="G1157" s="152">
        <v>400000</v>
      </c>
      <c r="J1157" s="118"/>
    </row>
    <row r="1158" spans="1:10" ht="15.6" x14ac:dyDescent="0.3">
      <c r="A1158" s="127">
        <v>1152</v>
      </c>
      <c r="B1158" s="128">
        <v>43810</v>
      </c>
      <c r="C1158" s="129" t="s">
        <v>1463</v>
      </c>
      <c r="D1158" s="129" t="s">
        <v>1526</v>
      </c>
      <c r="E1158" s="204" t="s">
        <v>269</v>
      </c>
      <c r="F1158" s="129" t="s">
        <v>1138</v>
      </c>
      <c r="G1158" s="152">
        <v>-160000</v>
      </c>
      <c r="J1158" s="118"/>
    </row>
    <row r="1159" spans="1:10" ht="15.6" x14ac:dyDescent="0.3">
      <c r="A1159" s="127">
        <v>1153</v>
      </c>
      <c r="B1159" s="128">
        <v>43810</v>
      </c>
      <c r="C1159" s="129" t="s">
        <v>259</v>
      </c>
      <c r="D1159" s="129" t="s">
        <v>1533</v>
      </c>
      <c r="E1159" s="204" t="s">
        <v>269</v>
      </c>
      <c r="F1159" s="129" t="s">
        <v>1138</v>
      </c>
      <c r="G1159" s="152">
        <v>-51000</v>
      </c>
      <c r="J1159" s="118"/>
    </row>
    <row r="1160" spans="1:10" ht="15.6" x14ac:dyDescent="0.3">
      <c r="A1160" s="127">
        <v>1154</v>
      </c>
      <c r="B1160" s="128">
        <v>43810</v>
      </c>
      <c r="C1160" s="129" t="s">
        <v>1457</v>
      </c>
      <c r="D1160" s="129" t="s">
        <v>1516</v>
      </c>
      <c r="E1160" s="204" t="s">
        <v>269</v>
      </c>
      <c r="F1160" s="129" t="s">
        <v>1138</v>
      </c>
      <c r="G1160" s="152">
        <v>-20000</v>
      </c>
      <c r="J1160" s="118"/>
    </row>
    <row r="1161" spans="1:10" ht="15.6" x14ac:dyDescent="0.3">
      <c r="A1161" s="127">
        <v>1155</v>
      </c>
      <c r="B1161" s="128">
        <v>43810</v>
      </c>
      <c r="C1161" s="129" t="s">
        <v>1465</v>
      </c>
      <c r="D1161" s="129" t="s">
        <v>1517</v>
      </c>
      <c r="E1161" s="204" t="s">
        <v>269</v>
      </c>
      <c r="F1161" s="129" t="s">
        <v>1138</v>
      </c>
      <c r="G1161" s="152">
        <v>-60000</v>
      </c>
      <c r="J1161" s="118"/>
    </row>
    <row r="1162" spans="1:10" ht="15.6" x14ac:dyDescent="0.3">
      <c r="A1162" s="127">
        <v>1156</v>
      </c>
      <c r="B1162" s="128">
        <v>43810</v>
      </c>
      <c r="C1162" s="129" t="s">
        <v>1466</v>
      </c>
      <c r="D1162" s="129" t="s">
        <v>1523</v>
      </c>
      <c r="E1162" s="204" t="s">
        <v>269</v>
      </c>
      <c r="F1162" s="129" t="s">
        <v>1138</v>
      </c>
      <c r="G1162" s="152">
        <v>-50000</v>
      </c>
      <c r="J1162" s="118"/>
    </row>
    <row r="1163" spans="1:10" ht="15.6" x14ac:dyDescent="0.3">
      <c r="A1163" s="127">
        <v>1157</v>
      </c>
      <c r="B1163" s="128">
        <v>43810</v>
      </c>
      <c r="C1163" s="129" t="s">
        <v>50</v>
      </c>
      <c r="D1163" s="129" t="s">
        <v>1527</v>
      </c>
      <c r="E1163" s="204" t="s">
        <v>269</v>
      </c>
      <c r="F1163" s="129" t="s">
        <v>1138</v>
      </c>
      <c r="G1163" s="152">
        <v>-2700</v>
      </c>
      <c r="J1163" s="118"/>
    </row>
    <row r="1164" spans="1:10" ht="15.6" x14ac:dyDescent="0.3">
      <c r="A1164" s="127">
        <v>1158</v>
      </c>
      <c r="B1164" s="128">
        <v>43810</v>
      </c>
      <c r="C1164" s="129" t="s">
        <v>1451</v>
      </c>
      <c r="D1164" s="129" t="s">
        <v>1527</v>
      </c>
      <c r="E1164" s="204" t="s">
        <v>269</v>
      </c>
      <c r="F1164" s="129" t="s">
        <v>1138</v>
      </c>
      <c r="G1164" s="152">
        <v>-650</v>
      </c>
      <c r="J1164" s="118"/>
    </row>
    <row r="1165" spans="1:10" ht="15.6" x14ac:dyDescent="0.3">
      <c r="A1165" s="127">
        <v>1159</v>
      </c>
      <c r="B1165" s="128">
        <v>43810</v>
      </c>
      <c r="C1165" s="129" t="s">
        <v>113</v>
      </c>
      <c r="D1165" s="129" t="s">
        <v>1529</v>
      </c>
      <c r="E1165" s="204" t="s">
        <v>269</v>
      </c>
      <c r="F1165" s="129" t="s">
        <v>1138</v>
      </c>
      <c r="G1165" s="152">
        <v>-15000</v>
      </c>
      <c r="J1165" s="118"/>
    </row>
    <row r="1166" spans="1:10" ht="15.6" x14ac:dyDescent="0.3">
      <c r="A1166" s="127">
        <v>1160</v>
      </c>
      <c r="B1166" s="128">
        <v>43813</v>
      </c>
      <c r="C1166" s="129" t="s">
        <v>1713</v>
      </c>
      <c r="D1166" s="129" t="s">
        <v>1516</v>
      </c>
      <c r="E1166" s="204" t="s">
        <v>269</v>
      </c>
      <c r="F1166" s="129" t="s">
        <v>1138</v>
      </c>
      <c r="G1166" s="152">
        <v>-2000</v>
      </c>
      <c r="J1166" s="118"/>
    </row>
    <row r="1167" spans="1:10" ht="15.6" x14ac:dyDescent="0.3">
      <c r="A1167" s="127">
        <v>1161</v>
      </c>
      <c r="B1167" s="128">
        <v>43815</v>
      </c>
      <c r="C1167" s="129" t="s">
        <v>1741</v>
      </c>
      <c r="D1167" s="239" t="s">
        <v>1520</v>
      </c>
      <c r="E1167" s="240" t="s">
        <v>1137</v>
      </c>
      <c r="F1167" s="129" t="s">
        <v>1148</v>
      </c>
      <c r="G1167" s="195">
        <v>300000</v>
      </c>
      <c r="J1167" s="118"/>
    </row>
    <row r="1168" spans="1:10" ht="15.6" x14ac:dyDescent="0.3">
      <c r="A1168" s="127">
        <v>1162</v>
      </c>
      <c r="B1168" s="128">
        <v>43816</v>
      </c>
      <c r="C1168" s="129" t="s">
        <v>1714</v>
      </c>
      <c r="D1168" s="129" t="s">
        <v>1533</v>
      </c>
      <c r="E1168" s="204" t="s">
        <v>269</v>
      </c>
      <c r="F1168" s="129" t="s">
        <v>1138</v>
      </c>
      <c r="G1168" s="152">
        <v>-760</v>
      </c>
      <c r="J1168" s="118"/>
    </row>
    <row r="1169" spans="1:10" ht="15.6" x14ac:dyDescent="0.3">
      <c r="A1169" s="127">
        <v>1163</v>
      </c>
      <c r="B1169" s="128">
        <v>43816</v>
      </c>
      <c r="C1169" s="129" t="s">
        <v>113</v>
      </c>
      <c r="D1169" s="129" t="s">
        <v>1529</v>
      </c>
      <c r="E1169" s="204" t="s">
        <v>269</v>
      </c>
      <c r="F1169" s="129" t="s">
        <v>1138</v>
      </c>
      <c r="G1169" s="152">
        <v>-20000</v>
      </c>
      <c r="J1169" s="118"/>
    </row>
    <row r="1170" spans="1:10" ht="15.6" x14ac:dyDescent="0.3">
      <c r="A1170" s="127">
        <v>1164</v>
      </c>
      <c r="B1170" s="128">
        <v>43818</v>
      </c>
      <c r="C1170" s="129" t="s">
        <v>1742</v>
      </c>
      <c r="D1170" s="239" t="s">
        <v>1520</v>
      </c>
      <c r="E1170" s="240" t="s">
        <v>1137</v>
      </c>
      <c r="F1170" s="129" t="s">
        <v>1148</v>
      </c>
      <c r="G1170" s="195">
        <v>300000</v>
      </c>
    </row>
    <row r="1171" spans="1:10" ht="15.6" x14ac:dyDescent="0.3">
      <c r="A1171" s="127">
        <v>1165</v>
      </c>
      <c r="B1171" s="128">
        <v>43818</v>
      </c>
      <c r="C1171" s="129" t="s">
        <v>1458</v>
      </c>
      <c r="D1171" s="129" t="s">
        <v>1520</v>
      </c>
      <c r="E1171" s="204" t="s">
        <v>269</v>
      </c>
      <c r="F1171" s="129" t="s">
        <v>1148</v>
      </c>
      <c r="G1171" s="152">
        <v>100000</v>
      </c>
    </row>
    <row r="1172" spans="1:10" ht="15.6" x14ac:dyDescent="0.3">
      <c r="A1172" s="127">
        <v>1166</v>
      </c>
      <c r="B1172" s="128">
        <v>43818</v>
      </c>
      <c r="C1172" s="129" t="s">
        <v>1717</v>
      </c>
      <c r="D1172" s="129" t="s">
        <v>1526</v>
      </c>
      <c r="E1172" s="204" t="s">
        <v>269</v>
      </c>
      <c r="F1172" s="129" t="s">
        <v>1138</v>
      </c>
      <c r="G1172" s="152">
        <v>-30000</v>
      </c>
    </row>
    <row r="1173" spans="1:10" ht="15.6" x14ac:dyDescent="0.3">
      <c r="A1173" s="127">
        <v>1167</v>
      </c>
      <c r="B1173" s="128">
        <v>43818</v>
      </c>
      <c r="C1173" s="129" t="s">
        <v>1715</v>
      </c>
      <c r="D1173" s="129" t="s">
        <v>1533</v>
      </c>
      <c r="E1173" s="204" t="s">
        <v>269</v>
      </c>
      <c r="F1173" s="129" t="s">
        <v>1138</v>
      </c>
      <c r="G1173" s="152">
        <v>-25000</v>
      </c>
    </row>
    <row r="1174" spans="1:10" ht="15.6" x14ac:dyDescent="0.3">
      <c r="A1174" s="127">
        <v>1168</v>
      </c>
      <c r="B1174" s="128">
        <v>43818</v>
      </c>
      <c r="C1174" s="129" t="s">
        <v>1716</v>
      </c>
      <c r="D1174" s="129" t="s">
        <v>1516</v>
      </c>
      <c r="E1174" s="204" t="s">
        <v>269</v>
      </c>
      <c r="F1174" s="129" t="s">
        <v>1138</v>
      </c>
      <c r="G1174" s="152">
        <v>-5000</v>
      </c>
    </row>
    <row r="1175" spans="1:10" ht="15.6" x14ac:dyDescent="0.3">
      <c r="A1175" s="127">
        <v>1169</v>
      </c>
      <c r="B1175" s="128">
        <v>43820</v>
      </c>
      <c r="C1175" s="129" t="s">
        <v>1718</v>
      </c>
      <c r="D1175" s="129" t="s">
        <v>1516</v>
      </c>
      <c r="E1175" s="204" t="s">
        <v>269</v>
      </c>
      <c r="F1175" s="129" t="s">
        <v>1138</v>
      </c>
      <c r="G1175" s="152">
        <v>-10000</v>
      </c>
    </row>
    <row r="1176" spans="1:10" ht="15.6" x14ac:dyDescent="0.3">
      <c r="A1176" s="127">
        <v>1170</v>
      </c>
      <c r="B1176" s="128">
        <v>43822</v>
      </c>
      <c r="C1176" s="129" t="s">
        <v>1717</v>
      </c>
      <c r="D1176" s="129" t="s">
        <v>1526</v>
      </c>
      <c r="E1176" s="204" t="s">
        <v>269</v>
      </c>
      <c r="F1176" s="129" t="s">
        <v>1138</v>
      </c>
      <c r="G1176" s="152">
        <v>-10000</v>
      </c>
    </row>
    <row r="1177" spans="1:10" ht="15.6" x14ac:dyDescent="0.3">
      <c r="A1177" s="127">
        <v>1171</v>
      </c>
      <c r="B1177" s="128">
        <v>43822</v>
      </c>
      <c r="C1177" s="129" t="s">
        <v>1715</v>
      </c>
      <c r="D1177" s="129" t="s">
        <v>1533</v>
      </c>
      <c r="E1177" s="204" t="s">
        <v>269</v>
      </c>
      <c r="F1177" s="129" t="s">
        <v>1138</v>
      </c>
      <c r="G1177" s="152">
        <v>-2000</v>
      </c>
    </row>
    <row r="1178" spans="1:10" ht="15.6" x14ac:dyDescent="0.3">
      <c r="A1178" s="127">
        <v>1172</v>
      </c>
      <c r="B1178" s="128">
        <v>43822</v>
      </c>
      <c r="C1178" s="129" t="s">
        <v>1721</v>
      </c>
      <c r="D1178" s="129" t="s">
        <v>1521</v>
      </c>
      <c r="E1178" s="204" t="s">
        <v>269</v>
      </c>
      <c r="F1178" s="129" t="s">
        <v>1138</v>
      </c>
      <c r="G1178" s="152">
        <v>-435</v>
      </c>
    </row>
    <row r="1179" spans="1:10" ht="15.6" x14ac:dyDescent="0.3">
      <c r="A1179" s="127">
        <v>1173</v>
      </c>
      <c r="B1179" s="128">
        <v>43823</v>
      </c>
      <c r="C1179" s="129" t="s">
        <v>1719</v>
      </c>
      <c r="D1179" s="129" t="s">
        <v>1523</v>
      </c>
      <c r="E1179" s="204" t="s">
        <v>269</v>
      </c>
      <c r="F1179" s="129" t="s">
        <v>1138</v>
      </c>
      <c r="G1179" s="152">
        <v>-50000</v>
      </c>
    </row>
    <row r="1180" spans="1:10" ht="15.6" x14ac:dyDescent="0.3">
      <c r="A1180" s="127">
        <v>1174</v>
      </c>
      <c r="B1180" s="128">
        <v>43823</v>
      </c>
      <c r="C1180" s="129" t="s">
        <v>1720</v>
      </c>
      <c r="D1180" s="129" t="s">
        <v>1521</v>
      </c>
      <c r="E1180" s="204" t="s">
        <v>269</v>
      </c>
      <c r="F1180" s="129" t="s">
        <v>1138</v>
      </c>
      <c r="G1180" s="152">
        <v>-70</v>
      </c>
    </row>
    <row r="1181" spans="1:10" ht="15.6" x14ac:dyDescent="0.3">
      <c r="A1181" s="127">
        <v>1175</v>
      </c>
      <c r="B1181" s="128">
        <v>43823</v>
      </c>
      <c r="C1181" s="129" t="s">
        <v>50</v>
      </c>
      <c r="D1181" s="129" t="s">
        <v>1521</v>
      </c>
      <c r="E1181" s="204" t="s">
        <v>269</v>
      </c>
      <c r="F1181" s="129" t="s">
        <v>1138</v>
      </c>
      <c r="G1181" s="152">
        <v>-1500</v>
      </c>
    </row>
    <row r="1182" spans="1:10" ht="15.6" x14ac:dyDescent="0.3">
      <c r="A1182" s="127">
        <v>1176</v>
      </c>
      <c r="B1182" s="128">
        <v>43823</v>
      </c>
      <c r="C1182" s="129" t="s">
        <v>1722</v>
      </c>
      <c r="D1182" s="129" t="s">
        <v>1524</v>
      </c>
      <c r="E1182" s="204" t="s">
        <v>269</v>
      </c>
      <c r="F1182" s="129" t="s">
        <v>1138</v>
      </c>
      <c r="G1182" s="152">
        <v>-15000</v>
      </c>
    </row>
    <row r="1183" spans="1:10" ht="15.6" x14ac:dyDescent="0.3">
      <c r="A1183" s="127">
        <v>1177</v>
      </c>
      <c r="B1183" s="128">
        <v>43825</v>
      </c>
      <c r="C1183" s="212" t="s">
        <v>1723</v>
      </c>
      <c r="D1183" s="129" t="s">
        <v>1520</v>
      </c>
      <c r="E1183" s="204" t="s">
        <v>269</v>
      </c>
      <c r="F1183" s="129" t="s">
        <v>1148</v>
      </c>
      <c r="G1183" s="152">
        <v>50000</v>
      </c>
    </row>
    <row r="1184" spans="1:10" ht="15.6" x14ac:dyDescent="0.3">
      <c r="A1184" s="127">
        <v>1178</v>
      </c>
      <c r="B1184" s="128">
        <v>43825</v>
      </c>
      <c r="C1184" s="129" t="s">
        <v>1724</v>
      </c>
      <c r="D1184" s="129" t="s">
        <v>1526</v>
      </c>
      <c r="E1184" s="204" t="s">
        <v>269</v>
      </c>
      <c r="F1184" s="129" t="s">
        <v>1138</v>
      </c>
      <c r="G1184" s="152">
        <v>-40000</v>
      </c>
    </row>
    <row r="1185" spans="1:9" ht="15.6" x14ac:dyDescent="0.3">
      <c r="A1185" s="127">
        <v>1179</v>
      </c>
      <c r="B1185" s="128">
        <v>43825</v>
      </c>
      <c r="C1185" s="129" t="s">
        <v>1718</v>
      </c>
      <c r="D1185" s="129" t="s">
        <v>1516</v>
      </c>
      <c r="E1185" s="204" t="s">
        <v>269</v>
      </c>
      <c r="F1185" s="129" t="s">
        <v>1138</v>
      </c>
      <c r="G1185" s="152">
        <v>-18000</v>
      </c>
    </row>
    <row r="1186" spans="1:9" ht="15.6" x14ac:dyDescent="0.3">
      <c r="A1186" s="127">
        <v>1180</v>
      </c>
      <c r="B1186" s="128">
        <v>43825</v>
      </c>
      <c r="C1186" s="129" t="s">
        <v>1715</v>
      </c>
      <c r="D1186" s="129" t="s">
        <v>1533</v>
      </c>
      <c r="E1186" s="204" t="s">
        <v>269</v>
      </c>
      <c r="F1186" s="129" t="s">
        <v>1138</v>
      </c>
      <c r="G1186" s="152">
        <v>-8000</v>
      </c>
    </row>
    <row r="1187" spans="1:9" ht="15.6" x14ac:dyDescent="0.3">
      <c r="A1187" s="127">
        <v>1181</v>
      </c>
      <c r="B1187" s="128">
        <v>43825</v>
      </c>
      <c r="C1187" s="129" t="s">
        <v>1716</v>
      </c>
      <c r="D1187" s="129" t="s">
        <v>1516</v>
      </c>
      <c r="E1187" s="204" t="s">
        <v>269</v>
      </c>
      <c r="F1187" s="129" t="s">
        <v>1138</v>
      </c>
      <c r="G1187" s="152">
        <v>-1000</v>
      </c>
    </row>
    <row r="1188" spans="1:9" ht="15.6" x14ac:dyDescent="0.3">
      <c r="A1188" s="127">
        <v>1182</v>
      </c>
      <c r="B1188" s="128">
        <v>43826</v>
      </c>
      <c r="C1188" s="129" t="s">
        <v>1726</v>
      </c>
      <c r="D1188" s="129" t="s">
        <v>1521</v>
      </c>
      <c r="E1188" s="204" t="s">
        <v>269</v>
      </c>
      <c r="F1188" s="129" t="s">
        <v>1138</v>
      </c>
      <c r="G1188" s="152">
        <v>-260</v>
      </c>
    </row>
    <row r="1189" spans="1:9" ht="15.6" x14ac:dyDescent="0.3">
      <c r="A1189" s="127">
        <v>1183</v>
      </c>
      <c r="B1189" s="128">
        <v>43826</v>
      </c>
      <c r="C1189" s="129" t="s">
        <v>1725</v>
      </c>
      <c r="D1189" s="129" t="s">
        <v>1521</v>
      </c>
      <c r="E1189" s="204" t="s">
        <v>269</v>
      </c>
      <c r="F1189" s="129" t="s">
        <v>1138</v>
      </c>
      <c r="G1189" s="152">
        <v>-560</v>
      </c>
    </row>
    <row r="1190" spans="1:9" ht="15.6" x14ac:dyDescent="0.3">
      <c r="A1190" s="127">
        <v>1184</v>
      </c>
      <c r="B1190" s="128">
        <v>43830</v>
      </c>
      <c r="C1190" s="129" t="s">
        <v>1729</v>
      </c>
      <c r="D1190" s="129" t="s">
        <v>1516</v>
      </c>
      <c r="E1190" s="204" t="s">
        <v>269</v>
      </c>
      <c r="F1190" s="129" t="s">
        <v>1138</v>
      </c>
      <c r="G1190" s="152">
        <v>-1800</v>
      </c>
    </row>
    <row r="1191" spans="1:9" ht="15.6" x14ac:dyDescent="0.3">
      <c r="A1191" s="127">
        <v>1188</v>
      </c>
      <c r="B1191" s="128">
        <v>43830</v>
      </c>
      <c r="C1191" s="129" t="s">
        <v>1715</v>
      </c>
      <c r="D1191" s="129" t="s">
        <v>1533</v>
      </c>
      <c r="E1191" s="204" t="s">
        <v>269</v>
      </c>
      <c r="F1191" s="129" t="s">
        <v>1138</v>
      </c>
      <c r="G1191" s="152">
        <v>-2000</v>
      </c>
    </row>
    <row r="1192" spans="1:9" ht="15.6" hidden="1" x14ac:dyDescent="0.3">
      <c r="A1192" s="127"/>
      <c r="B1192" s="128"/>
      <c r="C1192" s="129"/>
      <c r="D1192" s="129"/>
      <c r="E1192" s="204"/>
      <c r="F1192" s="129"/>
      <c r="G1192" s="152"/>
    </row>
    <row r="1193" spans="1:9" ht="15.6" x14ac:dyDescent="0.3">
      <c r="A1193" s="127">
        <v>1189</v>
      </c>
      <c r="B1193" s="128">
        <v>43832</v>
      </c>
      <c r="C1193" s="129" t="s">
        <v>1758</v>
      </c>
      <c r="D1193" s="129" t="s">
        <v>1520</v>
      </c>
      <c r="E1193" s="204" t="s">
        <v>269</v>
      </c>
      <c r="F1193" s="129" t="s">
        <v>1148</v>
      </c>
      <c r="G1193" s="141">
        <v>80000</v>
      </c>
      <c r="I1193" s="118">
        <v>-95230</v>
      </c>
    </row>
    <row r="1194" spans="1:9" ht="15.6" x14ac:dyDescent="0.3">
      <c r="A1194" s="127">
        <v>1185</v>
      </c>
      <c r="B1194" s="128">
        <v>43834</v>
      </c>
      <c r="C1194" s="129" t="s">
        <v>1758</v>
      </c>
      <c r="D1194" s="129" t="s">
        <v>1520</v>
      </c>
      <c r="E1194" s="204" t="s">
        <v>269</v>
      </c>
      <c r="F1194" s="129" t="s">
        <v>1148</v>
      </c>
      <c r="G1194" s="152">
        <v>80000</v>
      </c>
      <c r="H1194" s="209">
        <v>80000</v>
      </c>
    </row>
    <row r="1195" spans="1:9" ht="15.6" x14ac:dyDescent="0.3">
      <c r="A1195" s="127">
        <v>1186</v>
      </c>
      <c r="B1195" s="128">
        <v>43834</v>
      </c>
      <c r="C1195" s="129" t="s">
        <v>1724</v>
      </c>
      <c r="D1195" s="129" t="s">
        <v>1526</v>
      </c>
      <c r="E1195" s="204" t="s">
        <v>269</v>
      </c>
      <c r="F1195" s="129" t="s">
        <v>1138</v>
      </c>
      <c r="G1195" s="152">
        <v>-80000</v>
      </c>
      <c r="H1195" s="210">
        <v>80000</v>
      </c>
    </row>
    <row r="1196" spans="1:9" ht="15.6" x14ac:dyDescent="0.3">
      <c r="A1196" s="127">
        <v>1187</v>
      </c>
      <c r="B1196" s="128">
        <v>43836</v>
      </c>
      <c r="C1196" s="129" t="s">
        <v>1715</v>
      </c>
      <c r="D1196" s="117" t="s">
        <v>1533</v>
      </c>
      <c r="E1196" s="204" t="s">
        <v>269</v>
      </c>
      <c r="F1196" s="129" t="s">
        <v>1138</v>
      </c>
      <c r="G1196" s="152">
        <v>-70000</v>
      </c>
      <c r="H1196" s="210">
        <v>-80000</v>
      </c>
    </row>
    <row r="1197" spans="1:9" ht="15.6" x14ac:dyDescent="0.3">
      <c r="A1197" s="127">
        <v>1190</v>
      </c>
      <c r="B1197" s="128">
        <v>43836</v>
      </c>
      <c r="C1197" s="129" t="s">
        <v>1716</v>
      </c>
      <c r="D1197" s="117" t="s">
        <v>1516</v>
      </c>
      <c r="E1197" s="204" t="s">
        <v>269</v>
      </c>
      <c r="F1197" s="129" t="s">
        <v>1138</v>
      </c>
      <c r="G1197" s="152">
        <v>-2000</v>
      </c>
      <c r="H1197" s="210">
        <v>-70000</v>
      </c>
    </row>
    <row r="1198" spans="1:9" ht="15.6" x14ac:dyDescent="0.3">
      <c r="A1198" s="127">
        <v>1191</v>
      </c>
      <c r="B1198" s="128">
        <v>43837</v>
      </c>
      <c r="C1198" s="129" t="s">
        <v>1758</v>
      </c>
      <c r="D1198" s="129" t="s">
        <v>1520</v>
      </c>
      <c r="E1198" s="204" t="s">
        <v>269</v>
      </c>
      <c r="F1198" s="129" t="s">
        <v>1148</v>
      </c>
      <c r="G1198" s="152">
        <v>50000</v>
      </c>
      <c r="H1198" s="210">
        <v>-2000</v>
      </c>
    </row>
    <row r="1199" spans="1:9" ht="15.6" x14ac:dyDescent="0.3">
      <c r="A1199" s="127">
        <v>1192</v>
      </c>
      <c r="B1199" s="128">
        <v>43837</v>
      </c>
      <c r="C1199" s="129" t="s">
        <v>1724</v>
      </c>
      <c r="D1199" s="129" t="s">
        <v>1526</v>
      </c>
      <c r="E1199" s="204" t="s">
        <v>269</v>
      </c>
      <c r="F1199" s="129" t="s">
        <v>1138</v>
      </c>
      <c r="G1199" s="152">
        <v>-10000</v>
      </c>
      <c r="H1199" s="210">
        <v>50000</v>
      </c>
    </row>
    <row r="1200" spans="1:9" ht="15.6" x14ac:dyDescent="0.3">
      <c r="A1200" s="127">
        <v>1193</v>
      </c>
      <c r="B1200" s="128">
        <v>43837</v>
      </c>
      <c r="C1200" s="129" t="s">
        <v>1759</v>
      </c>
      <c r="D1200" s="129" t="s">
        <v>1516</v>
      </c>
      <c r="E1200" s="204" t="s">
        <v>269</v>
      </c>
      <c r="F1200" s="129" t="s">
        <v>1138</v>
      </c>
      <c r="G1200" s="152">
        <v>-3000</v>
      </c>
      <c r="H1200" s="210">
        <v>-10000</v>
      </c>
    </row>
    <row r="1201" spans="1:8" ht="15.6" x14ac:dyDescent="0.3">
      <c r="A1201" s="127">
        <v>1194</v>
      </c>
      <c r="B1201" s="128">
        <v>43837</v>
      </c>
      <c r="C1201" s="129" t="s">
        <v>113</v>
      </c>
      <c r="D1201" s="129" t="s">
        <v>1529</v>
      </c>
      <c r="E1201" s="204" t="s">
        <v>269</v>
      </c>
      <c r="F1201" s="129" t="s">
        <v>1138</v>
      </c>
      <c r="G1201" s="152">
        <v>-25000</v>
      </c>
      <c r="H1201" s="210">
        <v>-3000</v>
      </c>
    </row>
    <row r="1202" spans="1:8" ht="15.6" x14ac:dyDescent="0.3">
      <c r="A1202" s="127">
        <v>1195</v>
      </c>
      <c r="B1202" s="128">
        <v>43837</v>
      </c>
      <c r="C1202" s="129" t="s">
        <v>1761</v>
      </c>
      <c r="D1202" s="129" t="s">
        <v>1516</v>
      </c>
      <c r="E1202" s="204" t="s">
        <v>269</v>
      </c>
      <c r="F1202" s="129" t="s">
        <v>1138</v>
      </c>
      <c r="G1202" s="152">
        <v>-13650</v>
      </c>
      <c r="H1202" s="142"/>
    </row>
    <row r="1203" spans="1:8" ht="15.6" x14ac:dyDescent="0.3">
      <c r="A1203" s="127">
        <v>1196</v>
      </c>
      <c r="B1203" s="128">
        <v>43837</v>
      </c>
      <c r="C1203" s="129" t="s">
        <v>1716</v>
      </c>
      <c r="D1203" s="129" t="s">
        <v>1516</v>
      </c>
      <c r="E1203" s="204" t="s">
        <v>269</v>
      </c>
      <c r="F1203" s="129" t="s">
        <v>1138</v>
      </c>
      <c r="G1203" s="152">
        <v>-450</v>
      </c>
      <c r="H1203" s="142"/>
    </row>
    <row r="1204" spans="1:8" ht="15.6" x14ac:dyDescent="0.3">
      <c r="A1204" s="127">
        <v>1197</v>
      </c>
      <c r="B1204" s="128">
        <v>43837</v>
      </c>
      <c r="C1204" s="129" t="s">
        <v>1758</v>
      </c>
      <c r="D1204" s="129" t="s">
        <v>1520</v>
      </c>
      <c r="E1204" s="204" t="s">
        <v>269</v>
      </c>
      <c r="F1204" s="129" t="s">
        <v>1148</v>
      </c>
      <c r="G1204" s="152">
        <v>150000</v>
      </c>
      <c r="H1204" s="142"/>
    </row>
    <row r="1205" spans="1:8" ht="15.6" x14ac:dyDescent="0.3">
      <c r="A1205" s="127">
        <v>1198</v>
      </c>
      <c r="B1205" s="128">
        <v>43837</v>
      </c>
      <c r="C1205" s="129" t="s">
        <v>1724</v>
      </c>
      <c r="D1205" s="129" t="s">
        <v>1526</v>
      </c>
      <c r="E1205" s="204" t="s">
        <v>269</v>
      </c>
      <c r="F1205" s="129" t="s">
        <v>1138</v>
      </c>
      <c r="G1205" s="152">
        <v>-60000</v>
      </c>
      <c r="H1205" s="142"/>
    </row>
    <row r="1206" spans="1:8" ht="15.6" x14ac:dyDescent="0.3">
      <c r="A1206" s="127">
        <v>1199</v>
      </c>
      <c r="B1206" s="128">
        <v>43837</v>
      </c>
      <c r="C1206" s="129" t="s">
        <v>1715</v>
      </c>
      <c r="D1206" s="129" t="s">
        <v>1533</v>
      </c>
      <c r="E1206" s="204" t="s">
        <v>269</v>
      </c>
      <c r="F1206" s="129" t="s">
        <v>1138</v>
      </c>
      <c r="G1206" s="152">
        <v>-30000</v>
      </c>
      <c r="H1206" s="142"/>
    </row>
    <row r="1207" spans="1:8" ht="15.6" x14ac:dyDescent="0.3">
      <c r="A1207" s="127">
        <v>1200</v>
      </c>
      <c r="B1207" s="128">
        <v>43844</v>
      </c>
      <c r="C1207" s="129" t="s">
        <v>1758</v>
      </c>
      <c r="D1207" s="129" t="s">
        <v>1520</v>
      </c>
      <c r="E1207" s="204" t="s">
        <v>269</v>
      </c>
      <c r="F1207" s="129" t="s">
        <v>1148</v>
      </c>
      <c r="G1207" s="152">
        <v>30000</v>
      </c>
      <c r="H1207" s="142"/>
    </row>
    <row r="1208" spans="1:8" ht="15.6" x14ac:dyDescent="0.3">
      <c r="A1208" s="127">
        <v>1201</v>
      </c>
      <c r="B1208" s="128">
        <v>43844</v>
      </c>
      <c r="C1208" s="129" t="s">
        <v>1724</v>
      </c>
      <c r="D1208" s="129" t="s">
        <v>1526</v>
      </c>
      <c r="E1208" s="204" t="s">
        <v>269</v>
      </c>
      <c r="F1208" s="129" t="s">
        <v>1138</v>
      </c>
      <c r="G1208" s="152">
        <v>-30000</v>
      </c>
      <c r="H1208" s="142"/>
    </row>
    <row r="1209" spans="1:8" ht="15.6" x14ac:dyDescent="0.3">
      <c r="A1209" s="127">
        <v>1202</v>
      </c>
      <c r="B1209" s="128">
        <v>43845</v>
      </c>
      <c r="C1209" s="129" t="s">
        <v>113</v>
      </c>
      <c r="D1209" s="129" t="s">
        <v>1529</v>
      </c>
      <c r="E1209" s="204" t="s">
        <v>269</v>
      </c>
      <c r="F1209" s="129" t="s">
        <v>1138</v>
      </c>
      <c r="G1209" s="152">
        <v>-25000</v>
      </c>
      <c r="H1209" s="142"/>
    </row>
    <row r="1210" spans="1:8" ht="15.6" x14ac:dyDescent="0.3">
      <c r="A1210" s="127">
        <v>1203</v>
      </c>
      <c r="B1210" s="128">
        <v>43845</v>
      </c>
      <c r="C1210" s="129" t="s">
        <v>1762</v>
      </c>
      <c r="D1210" s="129" t="s">
        <v>1517</v>
      </c>
      <c r="E1210" s="204" t="s">
        <v>269</v>
      </c>
      <c r="F1210" s="129" t="s">
        <v>1138</v>
      </c>
      <c r="G1210" s="152">
        <v>-60000</v>
      </c>
      <c r="H1210" s="142"/>
    </row>
    <row r="1211" spans="1:8" ht="15.6" x14ac:dyDescent="0.3">
      <c r="A1211" s="127">
        <v>1204</v>
      </c>
      <c r="B1211" s="128">
        <v>43845</v>
      </c>
      <c r="C1211" s="129" t="s">
        <v>1763</v>
      </c>
      <c r="D1211" s="129" t="s">
        <v>1521</v>
      </c>
      <c r="E1211" s="204" t="s">
        <v>269</v>
      </c>
      <c r="F1211" s="129" t="s">
        <v>1138</v>
      </c>
      <c r="G1211" s="152">
        <v>-100</v>
      </c>
      <c r="H1211" s="142"/>
    </row>
    <row r="1212" spans="1:8" ht="15.6" x14ac:dyDescent="0.3">
      <c r="A1212" s="127">
        <v>1205</v>
      </c>
      <c r="B1212" s="128">
        <v>43845</v>
      </c>
      <c r="C1212" s="129" t="s">
        <v>42</v>
      </c>
      <c r="D1212" s="129" t="s">
        <v>1521</v>
      </c>
      <c r="E1212" s="204" t="s">
        <v>269</v>
      </c>
      <c r="F1212" s="129" t="s">
        <v>1138</v>
      </c>
      <c r="G1212" s="152">
        <v>-50</v>
      </c>
      <c r="H1212" s="142"/>
    </row>
    <row r="1213" spans="1:8" ht="15.6" x14ac:dyDescent="0.3">
      <c r="A1213" s="127">
        <v>1206</v>
      </c>
      <c r="B1213" s="128">
        <v>43848</v>
      </c>
      <c r="C1213" s="129" t="s">
        <v>1758</v>
      </c>
      <c r="D1213" s="129" t="s">
        <v>1520</v>
      </c>
      <c r="E1213" s="204" t="s">
        <v>269</v>
      </c>
      <c r="F1213" s="129" t="s">
        <v>1148</v>
      </c>
      <c r="G1213" s="152">
        <v>70000</v>
      </c>
      <c r="H1213" s="142"/>
    </row>
    <row r="1214" spans="1:8" ht="15.6" x14ac:dyDescent="0.3">
      <c r="A1214" s="127">
        <v>1207</v>
      </c>
      <c r="B1214" s="128">
        <v>43848</v>
      </c>
      <c r="C1214" s="129" t="s">
        <v>1724</v>
      </c>
      <c r="D1214" s="129" t="s">
        <v>1526</v>
      </c>
      <c r="E1214" s="204" t="s">
        <v>269</v>
      </c>
      <c r="F1214" s="129" t="s">
        <v>1138</v>
      </c>
      <c r="G1214" s="152">
        <v>-50000</v>
      </c>
      <c r="H1214" s="142"/>
    </row>
    <row r="1215" spans="1:8" ht="15.6" x14ac:dyDescent="0.3">
      <c r="A1215" s="127">
        <v>1208</v>
      </c>
      <c r="B1215" s="128">
        <v>43848</v>
      </c>
      <c r="C1215" s="129" t="s">
        <v>1716</v>
      </c>
      <c r="D1215" s="129" t="s">
        <v>1516</v>
      </c>
      <c r="E1215" s="204" t="s">
        <v>269</v>
      </c>
      <c r="F1215" s="129" t="s">
        <v>1138</v>
      </c>
      <c r="G1215" s="152">
        <v>-5000</v>
      </c>
      <c r="H1215" s="142"/>
    </row>
    <row r="1216" spans="1:8" ht="15.6" x14ac:dyDescent="0.3">
      <c r="A1216" s="127">
        <v>1209</v>
      </c>
      <c r="B1216" s="128">
        <v>43848</v>
      </c>
      <c r="C1216" s="129" t="s">
        <v>1715</v>
      </c>
      <c r="D1216" s="129" t="s">
        <v>1533</v>
      </c>
      <c r="E1216" s="204" t="s">
        <v>269</v>
      </c>
      <c r="F1216" s="129" t="s">
        <v>1138</v>
      </c>
      <c r="G1216" s="152">
        <v>-12000</v>
      </c>
      <c r="H1216" s="142"/>
    </row>
    <row r="1217" spans="1:8" ht="15.6" x14ac:dyDescent="0.3">
      <c r="A1217" s="127">
        <v>1210</v>
      </c>
      <c r="B1217" s="128">
        <v>43850</v>
      </c>
      <c r="C1217" s="129" t="s">
        <v>1764</v>
      </c>
      <c r="D1217" s="129" t="s">
        <v>1523</v>
      </c>
      <c r="E1217" s="204" t="s">
        <v>269</v>
      </c>
      <c r="F1217" s="129" t="s">
        <v>1138</v>
      </c>
      <c r="G1217" s="152">
        <v>-60000</v>
      </c>
      <c r="H1217" s="142"/>
    </row>
    <row r="1218" spans="1:8" ht="15.6" x14ac:dyDescent="0.3">
      <c r="A1218" s="127">
        <v>1211</v>
      </c>
      <c r="B1218" s="128">
        <v>43850</v>
      </c>
      <c r="C1218" s="129" t="s">
        <v>1758</v>
      </c>
      <c r="D1218" s="129" t="s">
        <v>1520</v>
      </c>
      <c r="E1218" s="204" t="s">
        <v>269</v>
      </c>
      <c r="F1218" s="129" t="s">
        <v>1148</v>
      </c>
      <c r="G1218" s="152">
        <v>50000</v>
      </c>
      <c r="H1218" s="142"/>
    </row>
    <row r="1219" spans="1:8" ht="15.6" x14ac:dyDescent="0.3">
      <c r="A1219" s="127">
        <v>1212</v>
      </c>
      <c r="B1219" s="128">
        <v>43850</v>
      </c>
      <c r="C1219" s="129" t="s">
        <v>1724</v>
      </c>
      <c r="D1219" s="129" t="s">
        <v>1526</v>
      </c>
      <c r="E1219" s="204" t="s">
        <v>269</v>
      </c>
      <c r="F1219" s="129" t="s">
        <v>1138</v>
      </c>
      <c r="G1219" s="152">
        <v>-30000</v>
      </c>
      <c r="H1219" s="142"/>
    </row>
    <row r="1220" spans="1:8" ht="15.6" x14ac:dyDescent="0.3">
      <c r="A1220" s="127">
        <v>1213</v>
      </c>
      <c r="B1220" s="128">
        <v>43850</v>
      </c>
      <c r="C1220" s="129" t="s">
        <v>1715</v>
      </c>
      <c r="D1220" s="129" t="s">
        <v>1533</v>
      </c>
      <c r="E1220" s="204" t="s">
        <v>269</v>
      </c>
      <c r="F1220" s="129" t="s">
        <v>1138</v>
      </c>
      <c r="G1220" s="152">
        <v>-20000</v>
      </c>
      <c r="H1220" s="142"/>
    </row>
    <row r="1221" spans="1:8" ht="15.6" x14ac:dyDescent="0.3">
      <c r="A1221" s="127">
        <v>1214</v>
      </c>
      <c r="B1221" s="128">
        <v>43851</v>
      </c>
      <c r="C1221" s="129" t="s">
        <v>1758</v>
      </c>
      <c r="D1221" s="129" t="s">
        <v>1520</v>
      </c>
      <c r="E1221" s="204" t="s">
        <v>269</v>
      </c>
      <c r="F1221" s="129" t="s">
        <v>1148</v>
      </c>
      <c r="G1221" s="152">
        <v>200000</v>
      </c>
      <c r="H1221" s="142"/>
    </row>
    <row r="1222" spans="1:8" ht="15.6" x14ac:dyDescent="0.3">
      <c r="A1222" s="127">
        <v>1215</v>
      </c>
      <c r="B1222" s="128">
        <v>43851</v>
      </c>
      <c r="C1222" s="129" t="s">
        <v>1724</v>
      </c>
      <c r="D1222" s="129" t="s">
        <v>1526</v>
      </c>
      <c r="E1222" s="204" t="s">
        <v>269</v>
      </c>
      <c r="F1222" s="129" t="s">
        <v>1138</v>
      </c>
      <c r="G1222" s="152">
        <v>-50000</v>
      </c>
      <c r="H1222" s="142"/>
    </row>
    <row r="1223" spans="1:8" ht="15.6" x14ac:dyDescent="0.3">
      <c r="A1223" s="127">
        <v>1216</v>
      </c>
      <c r="B1223" s="128">
        <v>43851</v>
      </c>
      <c r="C1223" s="129" t="s">
        <v>113</v>
      </c>
      <c r="D1223" s="129" t="s">
        <v>1529</v>
      </c>
      <c r="E1223" s="204" t="s">
        <v>269</v>
      </c>
      <c r="F1223" s="129" t="s">
        <v>1138</v>
      </c>
      <c r="G1223" s="152">
        <v>-3000</v>
      </c>
      <c r="H1223" s="142"/>
    </row>
    <row r="1224" spans="1:8" ht="15.6" x14ac:dyDescent="0.3">
      <c r="A1224" s="127">
        <v>1217</v>
      </c>
      <c r="B1224" s="128">
        <v>43855</v>
      </c>
      <c r="C1224" s="129" t="s">
        <v>1715</v>
      </c>
      <c r="D1224" s="129" t="s">
        <v>1533</v>
      </c>
      <c r="E1224" s="204" t="s">
        <v>269</v>
      </c>
      <c r="F1224" s="129" t="s">
        <v>1138</v>
      </c>
      <c r="G1224" s="152">
        <v>-11000</v>
      </c>
      <c r="H1224" s="142"/>
    </row>
    <row r="1225" spans="1:8" ht="15.6" x14ac:dyDescent="0.3">
      <c r="A1225" s="127">
        <v>1218</v>
      </c>
      <c r="B1225" s="128">
        <v>43855</v>
      </c>
      <c r="C1225" s="129" t="s">
        <v>1765</v>
      </c>
      <c r="D1225" s="129" t="s">
        <v>1516</v>
      </c>
      <c r="E1225" s="204" t="s">
        <v>269</v>
      </c>
      <c r="F1225" s="129" t="s">
        <v>1138</v>
      </c>
      <c r="G1225" s="152">
        <v>-14400</v>
      </c>
      <c r="H1225" s="142"/>
    </row>
    <row r="1226" spans="1:8" ht="15.6" x14ac:dyDescent="0.3">
      <c r="A1226" s="127">
        <v>1219</v>
      </c>
      <c r="B1226" s="128">
        <v>43855</v>
      </c>
      <c r="C1226" s="129" t="s">
        <v>1716</v>
      </c>
      <c r="D1226" s="129" t="s">
        <v>1516</v>
      </c>
      <c r="E1226" s="204" t="s">
        <v>269</v>
      </c>
      <c r="F1226" s="129" t="s">
        <v>1138</v>
      </c>
      <c r="G1226" s="152">
        <v>-1000</v>
      </c>
      <c r="H1226" s="142"/>
    </row>
    <row r="1227" spans="1:8" ht="15.6" x14ac:dyDescent="0.3">
      <c r="A1227" s="127">
        <v>1220</v>
      </c>
      <c r="B1227" s="128">
        <v>43856</v>
      </c>
      <c r="C1227" s="129" t="s">
        <v>1766</v>
      </c>
      <c r="D1227" s="129" t="s">
        <v>1524</v>
      </c>
      <c r="E1227" s="204" t="s">
        <v>269</v>
      </c>
      <c r="F1227" s="129" t="s">
        <v>1138</v>
      </c>
      <c r="G1227" s="152">
        <v>-15000</v>
      </c>
      <c r="H1227" s="142"/>
    </row>
    <row r="1228" spans="1:8" ht="15.6" x14ac:dyDescent="0.3">
      <c r="A1228" s="127">
        <v>1221</v>
      </c>
      <c r="B1228" s="128">
        <v>43856</v>
      </c>
      <c r="C1228" s="129" t="s">
        <v>1715</v>
      </c>
      <c r="D1228" s="129" t="s">
        <v>1533</v>
      </c>
      <c r="E1228" s="204" t="s">
        <v>269</v>
      </c>
      <c r="F1228" s="129" t="s">
        <v>1138</v>
      </c>
      <c r="G1228" s="152">
        <v>-2000</v>
      </c>
      <c r="H1228" s="142"/>
    </row>
    <row r="1229" spans="1:8" ht="15.6" x14ac:dyDescent="0.3">
      <c r="A1229" s="127">
        <v>1222</v>
      </c>
      <c r="B1229" s="128">
        <v>43856</v>
      </c>
      <c r="C1229" s="129" t="s">
        <v>42</v>
      </c>
      <c r="D1229" s="129" t="s">
        <v>1521</v>
      </c>
      <c r="E1229" s="204" t="s">
        <v>269</v>
      </c>
      <c r="F1229" s="129" t="s">
        <v>1138</v>
      </c>
      <c r="G1229" s="152">
        <v>-100</v>
      </c>
      <c r="H1229" s="142"/>
    </row>
    <row r="1230" spans="1:8" ht="15.6" x14ac:dyDescent="0.3">
      <c r="A1230" s="127">
        <v>1223</v>
      </c>
      <c r="B1230" s="128">
        <v>43859</v>
      </c>
      <c r="C1230" s="129" t="s">
        <v>1758</v>
      </c>
      <c r="D1230" s="129" t="s">
        <v>1520</v>
      </c>
      <c r="E1230" s="204" t="s">
        <v>269</v>
      </c>
      <c r="F1230" s="129" t="s">
        <v>1148</v>
      </c>
      <c r="G1230" s="152">
        <v>50000</v>
      </c>
      <c r="H1230" s="142"/>
    </row>
    <row r="1231" spans="1:8" ht="15.6" x14ac:dyDescent="0.3">
      <c r="A1231" s="127">
        <v>1224</v>
      </c>
      <c r="B1231" s="128">
        <v>43859</v>
      </c>
      <c r="C1231" s="129" t="s">
        <v>1724</v>
      </c>
      <c r="D1231" s="129" t="s">
        <v>1526</v>
      </c>
      <c r="E1231" s="204" t="s">
        <v>269</v>
      </c>
      <c r="F1231" s="129" t="s">
        <v>1138</v>
      </c>
      <c r="G1231" s="152">
        <v>-30000</v>
      </c>
      <c r="H1231" s="142"/>
    </row>
    <row r="1232" spans="1:8" ht="15.6" x14ac:dyDescent="0.3">
      <c r="A1232" s="127">
        <v>1225</v>
      </c>
      <c r="B1232" s="128">
        <v>43859</v>
      </c>
      <c r="C1232" s="129" t="s">
        <v>42</v>
      </c>
      <c r="D1232" s="129" t="s">
        <v>1521</v>
      </c>
      <c r="E1232" s="204" t="s">
        <v>269</v>
      </c>
      <c r="F1232" s="129" t="s">
        <v>1138</v>
      </c>
      <c r="G1232" s="152">
        <v>-100</v>
      </c>
      <c r="H1232" s="142"/>
    </row>
    <row r="1233" spans="1:8" ht="15.6" x14ac:dyDescent="0.3">
      <c r="A1233" s="127">
        <v>1226</v>
      </c>
      <c r="B1233" s="128">
        <v>43859</v>
      </c>
      <c r="C1233" s="129" t="s">
        <v>1767</v>
      </c>
      <c r="D1233" s="129" t="s">
        <v>1521</v>
      </c>
      <c r="E1233" s="204" t="s">
        <v>269</v>
      </c>
      <c r="F1233" s="129" t="s">
        <v>1138</v>
      </c>
      <c r="G1233" s="152">
        <v>-30</v>
      </c>
      <c r="H1233" s="142"/>
    </row>
    <row r="1234" spans="1:8" ht="15.6" x14ac:dyDescent="0.3">
      <c r="A1234" s="127">
        <v>1227</v>
      </c>
      <c r="B1234" s="128">
        <v>43861</v>
      </c>
      <c r="C1234" s="129" t="s">
        <v>42</v>
      </c>
      <c r="D1234" s="129" t="s">
        <v>1521</v>
      </c>
      <c r="E1234" s="204" t="s">
        <v>269</v>
      </c>
      <c r="F1234" s="129" t="s">
        <v>1138</v>
      </c>
      <c r="G1234" s="152">
        <v>-100</v>
      </c>
      <c r="H1234" s="142"/>
    </row>
    <row r="1235" spans="1:8" ht="15.6" x14ac:dyDescent="0.3">
      <c r="A1235" s="127">
        <v>1228</v>
      </c>
      <c r="B1235" s="128">
        <v>43863</v>
      </c>
      <c r="C1235" s="129" t="s">
        <v>1715</v>
      </c>
      <c r="D1235" s="129" t="s">
        <v>1533</v>
      </c>
      <c r="E1235" s="204" t="s">
        <v>269</v>
      </c>
      <c r="F1235" s="129" t="s">
        <v>1138</v>
      </c>
      <c r="G1235" s="152">
        <v>-10000</v>
      </c>
      <c r="H1235" s="142"/>
    </row>
    <row r="1236" spans="1:8" ht="15.6" x14ac:dyDescent="0.3">
      <c r="A1236" s="127">
        <v>1229</v>
      </c>
      <c r="B1236" s="128">
        <v>43863</v>
      </c>
      <c r="C1236" s="129" t="s">
        <v>1769</v>
      </c>
      <c r="D1236" s="129" t="s">
        <v>1516</v>
      </c>
      <c r="E1236" s="204" t="s">
        <v>269</v>
      </c>
      <c r="F1236" s="129" t="s">
        <v>1138</v>
      </c>
      <c r="G1236" s="152">
        <v>-15050</v>
      </c>
      <c r="H1236" s="142"/>
    </row>
    <row r="1237" spans="1:8" ht="15.6" x14ac:dyDescent="0.3">
      <c r="A1237" s="127">
        <v>1230</v>
      </c>
      <c r="B1237" s="128">
        <v>43864</v>
      </c>
      <c r="C1237" s="129" t="s">
        <v>1758</v>
      </c>
      <c r="D1237" s="129" t="s">
        <v>1520</v>
      </c>
      <c r="E1237" s="204" t="s">
        <v>269</v>
      </c>
      <c r="F1237" s="129" t="s">
        <v>1148</v>
      </c>
      <c r="G1237" s="152">
        <v>150000</v>
      </c>
      <c r="H1237" s="142"/>
    </row>
    <row r="1238" spans="1:8" ht="15.6" x14ac:dyDescent="0.3">
      <c r="A1238" s="127">
        <v>1231</v>
      </c>
      <c r="B1238" s="128">
        <v>43865</v>
      </c>
      <c r="C1238" s="129" t="s">
        <v>1724</v>
      </c>
      <c r="D1238" s="129" t="s">
        <v>1526</v>
      </c>
      <c r="E1238" s="204" t="s">
        <v>269</v>
      </c>
      <c r="F1238" s="129" t="s">
        <v>1138</v>
      </c>
      <c r="G1238" s="152">
        <v>-80000</v>
      </c>
      <c r="H1238" s="142"/>
    </row>
    <row r="1239" spans="1:8" ht="15.6" x14ac:dyDescent="0.3">
      <c r="A1239" s="127">
        <v>1232</v>
      </c>
      <c r="B1239" s="128">
        <v>43865</v>
      </c>
      <c r="C1239" s="129" t="s">
        <v>1715</v>
      </c>
      <c r="D1239" s="129" t="s">
        <v>1533</v>
      </c>
      <c r="E1239" s="204" t="s">
        <v>269</v>
      </c>
      <c r="F1239" s="129" t="s">
        <v>1138</v>
      </c>
      <c r="G1239" s="152">
        <v>-90000</v>
      </c>
      <c r="H1239" s="142"/>
    </row>
    <row r="1240" spans="1:8" ht="15.6" x14ac:dyDescent="0.3">
      <c r="A1240" s="127">
        <v>1233</v>
      </c>
      <c r="B1240" s="128">
        <v>43870</v>
      </c>
      <c r="C1240" s="129" t="s">
        <v>1716</v>
      </c>
      <c r="D1240" s="129" t="s">
        <v>1516</v>
      </c>
      <c r="E1240" s="204" t="s">
        <v>269</v>
      </c>
      <c r="F1240" s="129" t="s">
        <v>1138</v>
      </c>
      <c r="G1240" s="152">
        <v>-1000</v>
      </c>
      <c r="H1240" s="142"/>
    </row>
    <row r="1241" spans="1:8" ht="15.6" x14ac:dyDescent="0.3">
      <c r="A1241" s="127">
        <v>1234</v>
      </c>
      <c r="B1241" s="128">
        <v>43862</v>
      </c>
      <c r="C1241" s="129" t="s">
        <v>113</v>
      </c>
      <c r="D1241" s="129" t="s">
        <v>1529</v>
      </c>
      <c r="E1241" s="204" t="s">
        <v>269</v>
      </c>
      <c r="F1241" s="129" t="s">
        <v>1138</v>
      </c>
      <c r="G1241" s="152">
        <v>-10000</v>
      </c>
      <c r="H1241" s="142"/>
    </row>
    <row r="1242" spans="1:8" ht="15.6" x14ac:dyDescent="0.3">
      <c r="A1242" s="127">
        <v>1235</v>
      </c>
      <c r="B1242" s="128">
        <v>43869</v>
      </c>
      <c r="C1242" s="129" t="s">
        <v>1715</v>
      </c>
      <c r="D1242" s="129" t="s">
        <v>1533</v>
      </c>
      <c r="E1242" s="204" t="s">
        <v>269</v>
      </c>
      <c r="F1242" s="129" t="s">
        <v>1138</v>
      </c>
      <c r="G1242" s="152">
        <v>-5000</v>
      </c>
      <c r="H1242" s="142"/>
    </row>
    <row r="1243" spans="1:8" ht="15.6" x14ac:dyDescent="0.3">
      <c r="A1243" s="127">
        <v>1236</v>
      </c>
      <c r="B1243" s="128">
        <v>43870</v>
      </c>
      <c r="C1243" s="129" t="s">
        <v>1758</v>
      </c>
      <c r="D1243" s="129" t="s">
        <v>1520</v>
      </c>
      <c r="E1243" s="204" t="s">
        <v>269</v>
      </c>
      <c r="F1243" s="129" t="s">
        <v>1148</v>
      </c>
      <c r="G1243" s="152">
        <v>100000</v>
      </c>
      <c r="H1243" s="142"/>
    </row>
    <row r="1244" spans="1:8" ht="15.6" x14ac:dyDescent="0.3">
      <c r="A1244" s="127">
        <v>1237</v>
      </c>
      <c r="B1244" s="128">
        <v>43870</v>
      </c>
      <c r="C1244" s="129" t="s">
        <v>1768</v>
      </c>
      <c r="D1244" s="129" t="s">
        <v>1517</v>
      </c>
      <c r="E1244" s="204" t="s">
        <v>269</v>
      </c>
      <c r="F1244" s="129" t="s">
        <v>1138</v>
      </c>
      <c r="G1244" s="152">
        <v>-60000</v>
      </c>
      <c r="H1244" s="142"/>
    </row>
    <row r="1245" spans="1:8" ht="15.6" x14ac:dyDescent="0.3">
      <c r="A1245" s="127">
        <v>1238</v>
      </c>
      <c r="B1245" s="128">
        <v>43870</v>
      </c>
      <c r="C1245" s="129" t="s">
        <v>1724</v>
      </c>
      <c r="D1245" s="129" t="s">
        <v>1526</v>
      </c>
      <c r="E1245" s="204" t="s">
        <v>269</v>
      </c>
      <c r="F1245" s="129" t="s">
        <v>1138</v>
      </c>
      <c r="G1245" s="152">
        <v>-50000</v>
      </c>
      <c r="H1245" s="142"/>
    </row>
    <row r="1246" spans="1:8" ht="15.6" x14ac:dyDescent="0.3">
      <c r="A1246" s="127">
        <v>1239</v>
      </c>
      <c r="B1246" s="128">
        <v>43870</v>
      </c>
      <c r="C1246" s="129" t="s">
        <v>1716</v>
      </c>
      <c r="D1246" s="129" t="s">
        <v>1516</v>
      </c>
      <c r="E1246" s="204" t="s">
        <v>269</v>
      </c>
      <c r="F1246" s="129" t="s">
        <v>1138</v>
      </c>
      <c r="G1246" s="152">
        <v>-5000</v>
      </c>
      <c r="H1246" s="142"/>
    </row>
    <row r="1247" spans="1:8" ht="15.6" x14ac:dyDescent="0.3">
      <c r="A1247" s="127">
        <v>1240</v>
      </c>
      <c r="B1247" s="128">
        <v>43870</v>
      </c>
      <c r="C1247" s="129" t="s">
        <v>1715</v>
      </c>
      <c r="D1247" s="129" t="s">
        <v>1533</v>
      </c>
      <c r="E1247" s="204" t="s">
        <v>269</v>
      </c>
      <c r="F1247" s="129" t="s">
        <v>1138</v>
      </c>
      <c r="G1247" s="152">
        <v>-2000</v>
      </c>
      <c r="H1247" s="142"/>
    </row>
    <row r="1248" spans="1:8" ht="15.6" x14ac:dyDescent="0.3">
      <c r="A1248" s="127">
        <v>1241</v>
      </c>
      <c r="B1248" s="128">
        <v>43872</v>
      </c>
      <c r="C1248" s="129" t="s">
        <v>1719</v>
      </c>
      <c r="D1248" s="129" t="s">
        <v>1523</v>
      </c>
      <c r="E1248" s="204" t="s">
        <v>269</v>
      </c>
      <c r="F1248" s="129" t="s">
        <v>1138</v>
      </c>
      <c r="G1248" s="152">
        <v>-18000</v>
      </c>
      <c r="H1248" s="142"/>
    </row>
    <row r="1249" spans="1:8" ht="15.6" x14ac:dyDescent="0.3">
      <c r="A1249" s="127">
        <v>1242</v>
      </c>
      <c r="B1249" s="128">
        <v>43872</v>
      </c>
      <c r="C1249" s="129" t="s">
        <v>1758</v>
      </c>
      <c r="D1249" s="129" t="s">
        <v>1520</v>
      </c>
      <c r="E1249" s="204" t="s">
        <v>269</v>
      </c>
      <c r="F1249" s="129" t="s">
        <v>1148</v>
      </c>
      <c r="G1249" s="152">
        <v>30000</v>
      </c>
      <c r="H1249" s="142"/>
    </row>
    <row r="1250" spans="1:8" ht="15.6" x14ac:dyDescent="0.3">
      <c r="A1250" s="127">
        <v>1243</v>
      </c>
      <c r="B1250" s="128">
        <v>43873</v>
      </c>
      <c r="C1250" s="129" t="s">
        <v>1724</v>
      </c>
      <c r="D1250" s="129" t="s">
        <v>1526</v>
      </c>
      <c r="E1250" s="204" t="s">
        <v>269</v>
      </c>
      <c r="F1250" s="129" t="s">
        <v>1138</v>
      </c>
      <c r="G1250" s="152">
        <v>-30000</v>
      </c>
      <c r="H1250" s="142"/>
    </row>
    <row r="1251" spans="1:8" ht="15.6" x14ac:dyDescent="0.3">
      <c r="A1251" s="127">
        <v>1244</v>
      </c>
      <c r="B1251" s="128">
        <v>43874</v>
      </c>
      <c r="C1251" s="129" t="s">
        <v>1758</v>
      </c>
      <c r="D1251" s="129" t="s">
        <v>1520</v>
      </c>
      <c r="E1251" s="204" t="s">
        <v>269</v>
      </c>
      <c r="F1251" s="129" t="s">
        <v>1148</v>
      </c>
      <c r="G1251" s="152">
        <v>30000</v>
      </c>
      <c r="H1251" s="142"/>
    </row>
    <row r="1252" spans="1:8" ht="15.6" x14ac:dyDescent="0.3">
      <c r="A1252" s="127">
        <v>1245</v>
      </c>
      <c r="B1252" s="128">
        <v>43874</v>
      </c>
      <c r="C1252" s="129" t="s">
        <v>1770</v>
      </c>
      <c r="D1252" s="129" t="s">
        <v>1516</v>
      </c>
      <c r="E1252" s="204" t="s">
        <v>269</v>
      </c>
      <c r="F1252" s="129" t="s">
        <v>1138</v>
      </c>
      <c r="G1252" s="152">
        <v>-500</v>
      </c>
      <c r="H1252" s="142"/>
    </row>
    <row r="1253" spans="1:8" ht="15.6" x14ac:dyDescent="0.3">
      <c r="A1253" s="127">
        <v>1246</v>
      </c>
      <c r="B1253" s="128">
        <v>43874</v>
      </c>
      <c r="C1253" s="129" t="s">
        <v>1715</v>
      </c>
      <c r="D1253" s="129" t="s">
        <v>1533</v>
      </c>
      <c r="E1253" s="204" t="s">
        <v>269</v>
      </c>
      <c r="F1253" s="129" t="s">
        <v>1138</v>
      </c>
      <c r="G1253" s="152">
        <v>-12000</v>
      </c>
      <c r="H1253" s="142"/>
    </row>
    <row r="1254" spans="1:8" ht="15.6" x14ac:dyDescent="0.3">
      <c r="A1254" s="127">
        <v>1247</v>
      </c>
      <c r="B1254" s="128">
        <v>43874</v>
      </c>
      <c r="C1254" s="129" t="s">
        <v>113</v>
      </c>
      <c r="D1254" s="129" t="s">
        <v>1529</v>
      </c>
      <c r="E1254" s="204" t="s">
        <v>269</v>
      </c>
      <c r="F1254" s="129" t="s">
        <v>1138</v>
      </c>
      <c r="G1254" s="152">
        <v>-20000</v>
      </c>
      <c r="H1254" s="142"/>
    </row>
    <row r="1255" spans="1:8" ht="15.6" x14ac:dyDescent="0.3">
      <c r="A1255" s="127">
        <v>1248</v>
      </c>
      <c r="B1255" s="128">
        <v>43874</v>
      </c>
      <c r="C1255" s="129" t="s">
        <v>1715</v>
      </c>
      <c r="D1255" s="129" t="s">
        <v>1533</v>
      </c>
      <c r="E1255" s="204" t="s">
        <v>269</v>
      </c>
      <c r="F1255" s="129" t="s">
        <v>1138</v>
      </c>
      <c r="G1255" s="152">
        <v>-2000</v>
      </c>
      <c r="H1255" s="142"/>
    </row>
    <row r="1256" spans="1:8" ht="15.6" x14ac:dyDescent="0.3">
      <c r="A1256" s="127">
        <v>1249</v>
      </c>
      <c r="B1256" s="128">
        <v>43877</v>
      </c>
      <c r="C1256" s="129" t="s">
        <v>42</v>
      </c>
      <c r="D1256" s="129" t="s">
        <v>1521</v>
      </c>
      <c r="E1256" s="204" t="s">
        <v>269</v>
      </c>
      <c r="F1256" s="129" t="s">
        <v>1138</v>
      </c>
      <c r="G1256" s="152">
        <v>-100</v>
      </c>
      <c r="H1256" s="142"/>
    </row>
    <row r="1257" spans="1:8" ht="15.6" x14ac:dyDescent="0.3">
      <c r="A1257" s="127">
        <v>1250</v>
      </c>
      <c r="B1257" s="128">
        <v>43877</v>
      </c>
      <c r="C1257" s="129" t="s">
        <v>1724</v>
      </c>
      <c r="D1257" s="129" t="s">
        <v>1526</v>
      </c>
      <c r="E1257" s="204" t="s">
        <v>269</v>
      </c>
      <c r="F1257" s="129" t="s">
        <v>1138</v>
      </c>
      <c r="G1257" s="152">
        <v>-5000</v>
      </c>
      <c r="H1257" s="142"/>
    </row>
    <row r="1258" spans="1:8" ht="15.6" x14ac:dyDescent="0.3">
      <c r="A1258" s="127">
        <v>1251</v>
      </c>
      <c r="B1258" s="128">
        <v>43877</v>
      </c>
      <c r="C1258" s="129" t="s">
        <v>1716</v>
      </c>
      <c r="D1258" s="129" t="s">
        <v>1516</v>
      </c>
      <c r="E1258" s="204" t="s">
        <v>269</v>
      </c>
      <c r="F1258" s="129" t="s">
        <v>1138</v>
      </c>
      <c r="G1258" s="152">
        <v>-5000</v>
      </c>
      <c r="H1258" s="142"/>
    </row>
    <row r="1259" spans="1:8" ht="15.6" x14ac:dyDescent="0.3">
      <c r="A1259" s="127">
        <v>1252</v>
      </c>
      <c r="B1259" s="128">
        <v>43879</v>
      </c>
      <c r="C1259" s="129" t="s">
        <v>1715</v>
      </c>
      <c r="D1259" s="129" t="s">
        <v>1533</v>
      </c>
      <c r="E1259" s="204" t="s">
        <v>269</v>
      </c>
      <c r="F1259" s="129" t="s">
        <v>1138</v>
      </c>
      <c r="G1259" s="152">
        <v>-2000</v>
      </c>
      <c r="H1259" s="142"/>
    </row>
    <row r="1260" spans="1:8" ht="15.6" x14ac:dyDescent="0.3">
      <c r="A1260" s="127">
        <v>1253</v>
      </c>
      <c r="B1260" s="128">
        <v>43880</v>
      </c>
      <c r="C1260" s="129" t="s">
        <v>1758</v>
      </c>
      <c r="D1260" s="129" t="s">
        <v>1520</v>
      </c>
      <c r="E1260" s="204" t="s">
        <v>269</v>
      </c>
      <c r="F1260" s="129" t="s">
        <v>1148</v>
      </c>
      <c r="G1260" s="152">
        <v>30000</v>
      </c>
      <c r="H1260" s="142"/>
    </row>
    <row r="1261" spans="1:8" ht="15.6" x14ac:dyDescent="0.3">
      <c r="A1261" s="127">
        <v>1254</v>
      </c>
      <c r="B1261" s="128">
        <v>43880</v>
      </c>
      <c r="C1261" s="129" t="s">
        <v>1724</v>
      </c>
      <c r="D1261" s="129" t="s">
        <v>1526</v>
      </c>
      <c r="E1261" s="204" t="s">
        <v>269</v>
      </c>
      <c r="F1261" s="129" t="s">
        <v>1138</v>
      </c>
      <c r="G1261" s="152">
        <v>-30000</v>
      </c>
      <c r="H1261" s="142"/>
    </row>
    <row r="1262" spans="1:8" ht="15.6" x14ac:dyDescent="0.3">
      <c r="A1262" s="127">
        <v>1255</v>
      </c>
      <c r="B1262" s="128">
        <v>43881</v>
      </c>
      <c r="C1262" s="129" t="s">
        <v>26</v>
      </c>
      <c r="D1262" s="129" t="s">
        <v>1522</v>
      </c>
      <c r="E1262" s="204" t="s">
        <v>269</v>
      </c>
      <c r="F1262" s="129" t="s">
        <v>1138</v>
      </c>
      <c r="G1262" s="152">
        <v>-5000</v>
      </c>
      <c r="H1262" s="142"/>
    </row>
    <row r="1263" spans="1:8" ht="15.6" x14ac:dyDescent="0.3">
      <c r="A1263" s="127">
        <v>1256</v>
      </c>
      <c r="B1263" s="128">
        <v>43881</v>
      </c>
      <c r="C1263" s="129" t="s">
        <v>1715</v>
      </c>
      <c r="D1263" s="129" t="s">
        <v>1533</v>
      </c>
      <c r="E1263" s="204" t="s">
        <v>269</v>
      </c>
      <c r="F1263" s="129" t="s">
        <v>1138</v>
      </c>
      <c r="G1263" s="152">
        <v>-5000</v>
      </c>
      <c r="H1263" s="142"/>
    </row>
    <row r="1264" spans="1:8" ht="15.6" x14ac:dyDescent="0.3">
      <c r="A1264" s="127">
        <v>1257</v>
      </c>
      <c r="B1264" s="128">
        <v>43881</v>
      </c>
      <c r="C1264" s="129" t="s">
        <v>42</v>
      </c>
      <c r="D1264" s="129" t="s">
        <v>1521</v>
      </c>
      <c r="E1264" s="204" t="s">
        <v>269</v>
      </c>
      <c r="F1264" s="129" t="s">
        <v>1138</v>
      </c>
      <c r="G1264" s="152">
        <v>-50</v>
      </c>
      <c r="H1264" s="142"/>
    </row>
    <row r="1265" spans="1:12" ht="15.6" x14ac:dyDescent="0.3">
      <c r="A1265" s="127">
        <v>1258</v>
      </c>
      <c r="B1265" s="128">
        <v>43881</v>
      </c>
      <c r="C1265" s="129" t="s">
        <v>1758</v>
      </c>
      <c r="D1265" s="129" t="s">
        <v>1520</v>
      </c>
      <c r="E1265" s="204" t="s">
        <v>269</v>
      </c>
      <c r="F1265" s="129" t="s">
        <v>1148</v>
      </c>
      <c r="G1265" s="152">
        <v>50000</v>
      </c>
      <c r="H1265" s="142"/>
    </row>
    <row r="1266" spans="1:12" ht="15.6" x14ac:dyDescent="0.3">
      <c r="A1266" s="127">
        <v>1259</v>
      </c>
      <c r="B1266" s="128">
        <v>43881</v>
      </c>
      <c r="C1266" s="129" t="s">
        <v>1724</v>
      </c>
      <c r="D1266" s="129" t="s">
        <v>1526</v>
      </c>
      <c r="E1266" s="204" t="s">
        <v>269</v>
      </c>
      <c r="F1266" s="129" t="s">
        <v>1138</v>
      </c>
      <c r="G1266" s="152">
        <v>-50000</v>
      </c>
      <c r="H1266" s="142"/>
    </row>
    <row r="1267" spans="1:12" ht="15.6" x14ac:dyDescent="0.3">
      <c r="A1267" s="127">
        <v>1260</v>
      </c>
      <c r="B1267" s="128">
        <v>43883</v>
      </c>
      <c r="C1267" s="129" t="s">
        <v>1766</v>
      </c>
      <c r="D1267" s="129" t="s">
        <v>1524</v>
      </c>
      <c r="E1267" s="204" t="s">
        <v>269</v>
      </c>
      <c r="F1267" s="129" t="s">
        <v>1138</v>
      </c>
      <c r="G1267" s="152">
        <v>-20000</v>
      </c>
      <c r="H1267" s="142"/>
    </row>
    <row r="1268" spans="1:12" ht="15.6" x14ac:dyDescent="0.3">
      <c r="A1268" s="127">
        <v>1261</v>
      </c>
      <c r="B1268" s="128">
        <v>43883</v>
      </c>
      <c r="C1268" s="129" t="s">
        <v>26</v>
      </c>
      <c r="D1268" s="129" t="s">
        <v>1522</v>
      </c>
      <c r="E1268" s="204" t="s">
        <v>269</v>
      </c>
      <c r="F1268" s="129" t="s">
        <v>1138</v>
      </c>
      <c r="G1268" s="152">
        <v>-5000</v>
      </c>
      <c r="H1268" s="142"/>
    </row>
    <row r="1269" spans="1:12" ht="15.6" x14ac:dyDescent="0.3">
      <c r="A1269" s="127">
        <v>1262</v>
      </c>
      <c r="B1269" s="128">
        <v>43883</v>
      </c>
      <c r="C1269" s="129" t="s">
        <v>1771</v>
      </c>
      <c r="D1269" s="129" t="s">
        <v>1516</v>
      </c>
      <c r="E1269" s="204" t="s">
        <v>269</v>
      </c>
      <c r="F1269" s="129" t="s">
        <v>1138</v>
      </c>
      <c r="G1269" s="152">
        <v>-4000</v>
      </c>
      <c r="H1269" s="142"/>
    </row>
    <row r="1270" spans="1:12" ht="15.6" x14ac:dyDescent="0.3">
      <c r="A1270" s="127">
        <v>1263</v>
      </c>
      <c r="B1270" s="128">
        <v>43883</v>
      </c>
      <c r="C1270" s="129" t="s">
        <v>1758</v>
      </c>
      <c r="D1270" s="129" t="s">
        <v>1520</v>
      </c>
      <c r="E1270" s="204" t="s">
        <v>269</v>
      </c>
      <c r="F1270" s="129" t="s">
        <v>1148</v>
      </c>
      <c r="G1270" s="152">
        <v>50000</v>
      </c>
      <c r="H1270" s="142"/>
    </row>
    <row r="1271" spans="1:12" ht="15.6" x14ac:dyDescent="0.3">
      <c r="A1271" s="127">
        <v>1264</v>
      </c>
      <c r="B1271" s="128">
        <v>43886</v>
      </c>
      <c r="C1271" s="129" t="s">
        <v>1715</v>
      </c>
      <c r="D1271" s="129" t="s">
        <v>1533</v>
      </c>
      <c r="E1271" s="204" t="s">
        <v>269</v>
      </c>
      <c r="F1271" s="129" t="s">
        <v>1138</v>
      </c>
      <c r="G1271" s="152">
        <v>-2000</v>
      </c>
      <c r="H1271" s="142"/>
    </row>
    <row r="1272" spans="1:12" ht="15.6" x14ac:dyDescent="0.3">
      <c r="A1272" s="127">
        <v>1265</v>
      </c>
      <c r="B1272" s="128">
        <v>43889</v>
      </c>
      <c r="C1272" s="129" t="s">
        <v>1724</v>
      </c>
      <c r="D1272" s="129" t="s">
        <v>1526</v>
      </c>
      <c r="E1272" s="204" t="s">
        <v>269</v>
      </c>
      <c r="F1272" s="129" t="s">
        <v>1138</v>
      </c>
      <c r="G1272" s="152">
        <v>-10000</v>
      </c>
      <c r="H1272" s="142"/>
    </row>
    <row r="1273" spans="1:12" ht="15.6" x14ac:dyDescent="0.3">
      <c r="A1273" s="127">
        <v>1266</v>
      </c>
      <c r="B1273" s="128">
        <v>43889</v>
      </c>
      <c r="C1273" s="129" t="s">
        <v>1715</v>
      </c>
      <c r="D1273" s="129" t="s">
        <v>1533</v>
      </c>
      <c r="E1273" s="204" t="s">
        <v>269</v>
      </c>
      <c r="F1273" s="129" t="s">
        <v>1138</v>
      </c>
      <c r="G1273" s="152">
        <v>-20000</v>
      </c>
      <c r="H1273" s="142"/>
    </row>
    <row r="1274" spans="1:12" ht="15.6" x14ac:dyDescent="0.3">
      <c r="A1274" s="127">
        <v>1267</v>
      </c>
      <c r="B1274" s="128">
        <v>43892</v>
      </c>
      <c r="C1274" s="129" t="s">
        <v>1758</v>
      </c>
      <c r="D1274" s="129" t="s">
        <v>1520</v>
      </c>
      <c r="E1274" s="204" t="s">
        <v>269</v>
      </c>
      <c r="F1274" s="129" t="s">
        <v>1148</v>
      </c>
      <c r="G1274" s="152">
        <v>125000</v>
      </c>
      <c r="H1274" s="142"/>
    </row>
    <row r="1275" spans="1:12" ht="15.6" x14ac:dyDescent="0.3">
      <c r="A1275" s="127">
        <v>1268</v>
      </c>
      <c r="B1275" s="128">
        <v>43892</v>
      </c>
      <c r="C1275" s="129" t="s">
        <v>1766</v>
      </c>
      <c r="D1275" s="129" t="s">
        <v>1524</v>
      </c>
      <c r="E1275" s="204" t="s">
        <v>269</v>
      </c>
      <c r="F1275" s="129" t="s">
        <v>1138</v>
      </c>
      <c r="G1275" s="152">
        <v>-50000</v>
      </c>
      <c r="H1275" s="142"/>
    </row>
    <row r="1276" spans="1:12" ht="15.6" x14ac:dyDescent="0.3">
      <c r="A1276" s="127">
        <v>1269</v>
      </c>
      <c r="B1276" s="128">
        <v>43892</v>
      </c>
      <c r="C1276" s="129" t="s">
        <v>1724</v>
      </c>
      <c r="D1276" s="129" t="s">
        <v>1526</v>
      </c>
      <c r="E1276" s="204" t="s">
        <v>269</v>
      </c>
      <c r="F1276" s="129" t="s">
        <v>1138</v>
      </c>
      <c r="G1276" s="152">
        <v>-50000</v>
      </c>
      <c r="H1276" s="142"/>
    </row>
    <row r="1277" spans="1:12" ht="15.6" x14ac:dyDescent="0.3">
      <c r="A1277" s="127">
        <v>1270</v>
      </c>
      <c r="B1277" s="128">
        <v>43894</v>
      </c>
      <c r="C1277" s="129" t="s">
        <v>1715</v>
      </c>
      <c r="D1277" s="129" t="s">
        <v>1533</v>
      </c>
      <c r="E1277" s="204" t="s">
        <v>269</v>
      </c>
      <c r="F1277" s="129" t="s">
        <v>1138</v>
      </c>
      <c r="G1277" s="152">
        <v>-2000</v>
      </c>
      <c r="H1277" s="142"/>
    </row>
    <row r="1278" spans="1:12" ht="15.6" x14ac:dyDescent="0.3">
      <c r="A1278" s="127">
        <v>1271</v>
      </c>
      <c r="B1278" s="128">
        <v>43900</v>
      </c>
      <c r="C1278" s="129" t="s">
        <v>1759</v>
      </c>
      <c r="D1278" s="129" t="s">
        <v>1516</v>
      </c>
      <c r="E1278" s="204" t="s">
        <v>269</v>
      </c>
      <c r="F1278" s="129" t="s">
        <v>1138</v>
      </c>
      <c r="G1278" s="152">
        <v>-2700</v>
      </c>
      <c r="H1278" s="142"/>
      <c r="I1278" s="119"/>
      <c r="J1278" s="119"/>
      <c r="K1278" s="119"/>
      <c r="L1278" s="119"/>
    </row>
    <row r="1279" spans="1:12" ht="15.6" x14ac:dyDescent="0.3">
      <c r="A1279" s="127">
        <v>1272</v>
      </c>
      <c r="B1279" s="128">
        <v>43901</v>
      </c>
      <c r="C1279" s="129" t="s">
        <v>1772</v>
      </c>
      <c r="D1279" s="129" t="s">
        <v>1516</v>
      </c>
      <c r="E1279" s="204" t="s">
        <v>269</v>
      </c>
      <c r="F1279" s="129" t="s">
        <v>1138</v>
      </c>
      <c r="G1279" s="152">
        <v>-300</v>
      </c>
      <c r="H1279" s="142"/>
      <c r="I1279" s="119"/>
      <c r="J1279" s="119"/>
      <c r="K1279" s="119"/>
      <c r="L1279" s="119"/>
    </row>
    <row r="1280" spans="1:12" ht="15.6" x14ac:dyDescent="0.3">
      <c r="A1280" s="127">
        <v>1273</v>
      </c>
      <c r="B1280" s="128">
        <v>43901</v>
      </c>
      <c r="C1280" s="129" t="s">
        <v>1758</v>
      </c>
      <c r="D1280" s="129" t="s">
        <v>1520</v>
      </c>
      <c r="E1280" s="204" t="s">
        <v>269</v>
      </c>
      <c r="F1280" s="129" t="s">
        <v>1148</v>
      </c>
      <c r="G1280" s="152">
        <v>50000</v>
      </c>
      <c r="H1280" s="142"/>
      <c r="I1280" s="119"/>
      <c r="J1280" s="119"/>
      <c r="K1280" s="119"/>
      <c r="L1280" s="119"/>
    </row>
    <row r="1281" spans="1:12" ht="15.6" x14ac:dyDescent="0.3">
      <c r="A1281" s="127">
        <v>1274</v>
      </c>
      <c r="B1281" s="128">
        <v>43902</v>
      </c>
      <c r="C1281" s="129" t="s">
        <v>1758</v>
      </c>
      <c r="D1281" s="129" t="s">
        <v>1520</v>
      </c>
      <c r="E1281" s="204" t="s">
        <v>269</v>
      </c>
      <c r="F1281" s="129" t="s">
        <v>1148</v>
      </c>
      <c r="G1281" s="152">
        <v>100000</v>
      </c>
      <c r="H1281" s="142"/>
      <c r="I1281" s="119"/>
      <c r="J1281" s="119"/>
      <c r="K1281" s="119"/>
      <c r="L1281" s="119"/>
    </row>
    <row r="1282" spans="1:12" ht="15.6" x14ac:dyDescent="0.3">
      <c r="A1282" s="127">
        <v>1275</v>
      </c>
      <c r="B1282" s="128">
        <v>43902</v>
      </c>
      <c r="C1282" s="129" t="s">
        <v>1766</v>
      </c>
      <c r="D1282" s="129" t="s">
        <v>1524</v>
      </c>
      <c r="E1282" s="204" t="s">
        <v>269</v>
      </c>
      <c r="F1282" s="129" t="s">
        <v>1138</v>
      </c>
      <c r="G1282" s="152">
        <v>-30000</v>
      </c>
      <c r="H1282" s="142"/>
      <c r="I1282" s="119"/>
      <c r="J1282" s="119"/>
      <c r="K1282" s="119"/>
      <c r="L1282" s="119"/>
    </row>
    <row r="1283" spans="1:12" ht="15.6" x14ac:dyDescent="0.3">
      <c r="A1283" s="127">
        <v>1276</v>
      </c>
      <c r="B1283" s="128">
        <v>43902</v>
      </c>
      <c r="C1283" s="129" t="s">
        <v>1724</v>
      </c>
      <c r="D1283" s="129" t="s">
        <v>1526</v>
      </c>
      <c r="E1283" s="204" t="s">
        <v>269</v>
      </c>
      <c r="F1283" s="129" t="s">
        <v>1138</v>
      </c>
      <c r="G1283" s="152">
        <v>-50000</v>
      </c>
      <c r="H1283" s="142"/>
      <c r="I1283" s="119"/>
      <c r="J1283" s="119"/>
      <c r="K1283" s="119"/>
      <c r="L1283" s="119"/>
    </row>
    <row r="1284" spans="1:12" ht="15.6" x14ac:dyDescent="0.3">
      <c r="A1284" s="127">
        <v>1277</v>
      </c>
      <c r="B1284" s="128">
        <v>43902</v>
      </c>
      <c r="C1284" s="129" t="s">
        <v>1777</v>
      </c>
      <c r="D1284" s="129" t="s">
        <v>1517</v>
      </c>
      <c r="E1284" s="204" t="s">
        <v>269</v>
      </c>
      <c r="F1284" s="129" t="s">
        <v>1138</v>
      </c>
      <c r="G1284" s="152">
        <v>-60000</v>
      </c>
      <c r="H1284" s="142"/>
      <c r="I1284" s="119"/>
      <c r="J1284" s="119"/>
      <c r="K1284" s="119"/>
      <c r="L1284" s="119"/>
    </row>
    <row r="1285" spans="1:12" ht="15.6" x14ac:dyDescent="0.3">
      <c r="A1285" s="127">
        <v>1278</v>
      </c>
      <c r="B1285" s="128">
        <v>43905</v>
      </c>
      <c r="C1285" s="129" t="s">
        <v>1773</v>
      </c>
      <c r="D1285" s="129" t="s">
        <v>1516</v>
      </c>
      <c r="E1285" s="204" t="s">
        <v>269</v>
      </c>
      <c r="F1285" s="129" t="s">
        <v>1138</v>
      </c>
      <c r="G1285" s="152">
        <v>-12400</v>
      </c>
      <c r="H1285" s="142"/>
      <c r="I1285" s="119"/>
      <c r="J1285" s="119"/>
      <c r="K1285" s="119"/>
      <c r="L1285" s="119"/>
    </row>
    <row r="1286" spans="1:12" ht="15.6" x14ac:dyDescent="0.3">
      <c r="A1286" s="127">
        <v>1279</v>
      </c>
      <c r="B1286" s="128">
        <v>43905</v>
      </c>
      <c r="C1286" s="129" t="s">
        <v>1715</v>
      </c>
      <c r="D1286" s="129" t="s">
        <v>1533</v>
      </c>
      <c r="E1286" s="204" t="s">
        <v>269</v>
      </c>
      <c r="F1286" s="129" t="s">
        <v>1138</v>
      </c>
      <c r="G1286" s="152">
        <v>-2000</v>
      </c>
      <c r="H1286" s="142"/>
      <c r="I1286" s="119"/>
      <c r="J1286" s="119"/>
      <c r="K1286" s="119"/>
      <c r="L1286" s="119"/>
    </row>
    <row r="1287" spans="1:12" ht="15.6" x14ac:dyDescent="0.3">
      <c r="A1287" s="127">
        <v>1280</v>
      </c>
      <c r="B1287" s="128">
        <v>43905</v>
      </c>
      <c r="C1287" s="129" t="s">
        <v>1774</v>
      </c>
      <c r="D1287" s="129" t="s">
        <v>1516</v>
      </c>
      <c r="E1287" s="204" t="s">
        <v>269</v>
      </c>
      <c r="F1287" s="129" t="s">
        <v>1138</v>
      </c>
      <c r="G1287" s="152">
        <v>-4500</v>
      </c>
      <c r="H1287" s="142"/>
      <c r="I1287" s="119"/>
      <c r="J1287" s="119"/>
      <c r="K1287" s="119"/>
      <c r="L1287" s="119"/>
    </row>
    <row r="1288" spans="1:12" ht="15.6" x14ac:dyDescent="0.3">
      <c r="A1288" s="127">
        <v>1281</v>
      </c>
      <c r="B1288" s="128">
        <v>43908</v>
      </c>
      <c r="C1288" s="129" t="s">
        <v>1758</v>
      </c>
      <c r="D1288" s="129" t="s">
        <v>1520</v>
      </c>
      <c r="E1288" s="204" t="s">
        <v>269</v>
      </c>
      <c r="F1288" s="129" t="s">
        <v>1148</v>
      </c>
      <c r="G1288" s="152">
        <v>80000</v>
      </c>
      <c r="H1288" s="142"/>
      <c r="I1288" s="119"/>
      <c r="J1288" s="119"/>
      <c r="K1288" s="119"/>
      <c r="L1288" s="119"/>
    </row>
    <row r="1289" spans="1:12" ht="15.6" x14ac:dyDescent="0.3">
      <c r="A1289" s="127">
        <v>1282</v>
      </c>
      <c r="B1289" s="128">
        <v>43908</v>
      </c>
      <c r="C1289" s="129" t="s">
        <v>1766</v>
      </c>
      <c r="D1289" s="129" t="s">
        <v>1524</v>
      </c>
      <c r="E1289" s="204" t="s">
        <v>269</v>
      </c>
      <c r="F1289" s="129" t="s">
        <v>1138</v>
      </c>
      <c r="G1289" s="152">
        <v>-20000</v>
      </c>
      <c r="H1289" s="142"/>
      <c r="I1289" s="119"/>
      <c r="J1289" s="119"/>
      <c r="K1289" s="119"/>
      <c r="L1289" s="119"/>
    </row>
    <row r="1290" spans="1:12" ht="15.6" x14ac:dyDescent="0.3">
      <c r="A1290" s="127">
        <v>1283</v>
      </c>
      <c r="B1290" s="128">
        <v>43908</v>
      </c>
      <c r="C1290" s="129" t="s">
        <v>1715</v>
      </c>
      <c r="D1290" s="129" t="s">
        <v>1533</v>
      </c>
      <c r="E1290" s="204" t="s">
        <v>269</v>
      </c>
      <c r="F1290" s="129" t="s">
        <v>1138</v>
      </c>
      <c r="G1290" s="152">
        <v>-10000</v>
      </c>
      <c r="H1290" s="142"/>
      <c r="I1290" s="119"/>
      <c r="J1290" s="119"/>
      <c r="K1290" s="119"/>
      <c r="L1290" s="119"/>
    </row>
    <row r="1291" spans="1:12" ht="15.6" x14ac:dyDescent="0.3">
      <c r="A1291" s="127">
        <v>1284</v>
      </c>
      <c r="B1291" s="128">
        <v>43908</v>
      </c>
      <c r="C1291" s="129" t="s">
        <v>1724</v>
      </c>
      <c r="D1291" s="129" t="s">
        <v>1526</v>
      </c>
      <c r="E1291" s="204" t="s">
        <v>269</v>
      </c>
      <c r="F1291" s="129" t="s">
        <v>1138</v>
      </c>
      <c r="G1291" s="152">
        <v>-13000</v>
      </c>
      <c r="H1291" s="142"/>
      <c r="I1291" s="119"/>
      <c r="J1291" s="119"/>
      <c r="K1291" s="119"/>
      <c r="L1291" s="119"/>
    </row>
    <row r="1292" spans="1:12" ht="15.6" x14ac:dyDescent="0.3">
      <c r="A1292" s="127">
        <v>1285</v>
      </c>
      <c r="B1292" s="128">
        <v>43919</v>
      </c>
      <c r="C1292" s="129" t="s">
        <v>1758</v>
      </c>
      <c r="D1292" s="129" t="s">
        <v>1520</v>
      </c>
      <c r="E1292" s="204" t="s">
        <v>269</v>
      </c>
      <c r="F1292" s="129" t="s">
        <v>1148</v>
      </c>
      <c r="G1292" s="152">
        <v>50000</v>
      </c>
      <c r="H1292" s="142"/>
      <c r="I1292" s="119"/>
      <c r="J1292" s="119"/>
      <c r="K1292" s="119"/>
      <c r="L1292" s="119"/>
    </row>
    <row r="1293" spans="1:12" ht="15.6" x14ac:dyDescent="0.3">
      <c r="A1293" s="127">
        <v>1286</v>
      </c>
      <c r="B1293" s="128">
        <v>43919</v>
      </c>
      <c r="C1293" s="129" t="s">
        <v>1724</v>
      </c>
      <c r="D1293" s="129" t="s">
        <v>1526</v>
      </c>
      <c r="E1293" s="204" t="s">
        <v>269</v>
      </c>
      <c r="F1293" s="129" t="s">
        <v>1138</v>
      </c>
      <c r="G1293" s="152">
        <v>-50000</v>
      </c>
      <c r="H1293" s="142"/>
      <c r="I1293" s="119"/>
      <c r="J1293" s="119"/>
      <c r="K1293" s="119"/>
      <c r="L1293" s="119"/>
    </row>
    <row r="1294" spans="1:12" ht="15.6" x14ac:dyDescent="0.3">
      <c r="A1294" s="127">
        <v>1287</v>
      </c>
      <c r="B1294" s="128">
        <v>43923</v>
      </c>
      <c r="C1294" s="129" t="s">
        <v>1775</v>
      </c>
      <c r="D1294" s="129" t="s">
        <v>1516</v>
      </c>
      <c r="E1294" s="204" t="s">
        <v>269</v>
      </c>
      <c r="F1294" s="129" t="s">
        <v>1138</v>
      </c>
      <c r="G1294" s="152">
        <v>-6650</v>
      </c>
      <c r="H1294" s="142"/>
      <c r="I1294" s="119"/>
      <c r="J1294" s="119"/>
      <c r="K1294" s="119"/>
      <c r="L1294" s="119"/>
    </row>
    <row r="1295" spans="1:12" ht="15.6" x14ac:dyDescent="0.3">
      <c r="A1295" s="127">
        <v>1288</v>
      </c>
      <c r="B1295" s="128">
        <v>43928</v>
      </c>
      <c r="C1295" s="129" t="s">
        <v>1715</v>
      </c>
      <c r="D1295" s="129" t="s">
        <v>1533</v>
      </c>
      <c r="E1295" s="204" t="s">
        <v>269</v>
      </c>
      <c r="F1295" s="129" t="s">
        <v>1138</v>
      </c>
      <c r="G1295" s="152">
        <v>-10000</v>
      </c>
      <c r="H1295" s="142"/>
      <c r="I1295" s="119"/>
      <c r="J1295" s="119"/>
      <c r="K1295" s="119"/>
      <c r="L1295" s="119"/>
    </row>
    <row r="1296" spans="1:12" ht="15.6" x14ac:dyDescent="0.3">
      <c r="A1296" s="127">
        <v>1289</v>
      </c>
      <c r="B1296" s="128">
        <v>43939</v>
      </c>
      <c r="C1296" s="129" t="s">
        <v>1776</v>
      </c>
      <c r="D1296" s="129" t="s">
        <v>1517</v>
      </c>
      <c r="E1296" s="204" t="s">
        <v>269</v>
      </c>
      <c r="F1296" s="129" t="s">
        <v>1138</v>
      </c>
      <c r="G1296" s="152">
        <v>-60000</v>
      </c>
      <c r="H1296" s="142"/>
      <c r="I1296" s="119"/>
      <c r="J1296" s="119"/>
      <c r="K1296" s="119"/>
      <c r="L1296" s="119"/>
    </row>
    <row r="1297" spans="1:8" ht="15.6" x14ac:dyDescent="0.3">
      <c r="A1297" s="127">
        <v>1290</v>
      </c>
      <c r="B1297" s="128">
        <v>43948</v>
      </c>
      <c r="C1297" s="129" t="s">
        <v>1716</v>
      </c>
      <c r="D1297" s="129" t="s">
        <v>1516</v>
      </c>
      <c r="E1297" s="204" t="s">
        <v>269</v>
      </c>
      <c r="F1297" s="129" t="s">
        <v>1138</v>
      </c>
      <c r="G1297" s="152">
        <v>-1000</v>
      </c>
      <c r="H1297" s="142"/>
    </row>
    <row r="1298" spans="1:8" ht="15.6" x14ac:dyDescent="0.3">
      <c r="A1298" s="127">
        <v>1291</v>
      </c>
      <c r="B1298" s="128">
        <v>43948</v>
      </c>
      <c r="C1298" s="129" t="s">
        <v>1716</v>
      </c>
      <c r="D1298" s="129" t="s">
        <v>1516</v>
      </c>
      <c r="E1298" s="204" t="s">
        <v>269</v>
      </c>
      <c r="F1298" s="129" t="s">
        <v>1138</v>
      </c>
      <c r="G1298" s="152">
        <v>-2000</v>
      </c>
      <c r="H1298" s="142"/>
    </row>
    <row r="1299" spans="1:8" ht="15.6" x14ac:dyDescent="0.3">
      <c r="A1299" s="127">
        <v>1292</v>
      </c>
      <c r="B1299" s="128">
        <v>43948</v>
      </c>
      <c r="C1299" s="129" t="s">
        <v>1779</v>
      </c>
      <c r="D1299" s="129" t="s">
        <v>1516</v>
      </c>
      <c r="E1299" s="204" t="s">
        <v>269</v>
      </c>
      <c r="F1299" s="129" t="s">
        <v>1138</v>
      </c>
      <c r="G1299" s="152">
        <v>-6500</v>
      </c>
      <c r="H1299" s="142"/>
    </row>
    <row r="1300" spans="1:8" ht="15.6" x14ac:dyDescent="0.3">
      <c r="A1300" s="127">
        <v>1293</v>
      </c>
      <c r="B1300" s="128">
        <v>43950</v>
      </c>
      <c r="C1300" s="129" t="s">
        <v>1758</v>
      </c>
      <c r="D1300" s="129" t="s">
        <v>1520</v>
      </c>
      <c r="E1300" s="204" t="s">
        <v>269</v>
      </c>
      <c r="F1300" s="129" t="s">
        <v>1148</v>
      </c>
      <c r="G1300" s="152">
        <v>80000</v>
      </c>
      <c r="H1300" s="142"/>
    </row>
    <row r="1301" spans="1:8" ht="15.6" x14ac:dyDescent="0.3">
      <c r="A1301" s="127">
        <v>1294</v>
      </c>
      <c r="B1301" s="128">
        <v>43950</v>
      </c>
      <c r="C1301" s="129" t="s">
        <v>1780</v>
      </c>
      <c r="D1301" s="129" t="s">
        <v>1516</v>
      </c>
      <c r="E1301" s="204" t="s">
        <v>269</v>
      </c>
      <c r="F1301" s="129" t="s">
        <v>1138</v>
      </c>
      <c r="G1301" s="152">
        <v>-2600</v>
      </c>
      <c r="H1301" s="142"/>
    </row>
    <row r="1302" spans="1:8" ht="15.6" x14ac:dyDescent="0.3">
      <c r="A1302" s="127">
        <v>1295</v>
      </c>
      <c r="B1302" s="128">
        <v>43950</v>
      </c>
      <c r="C1302" s="129" t="s">
        <v>1715</v>
      </c>
      <c r="D1302" s="129" t="s">
        <v>1533</v>
      </c>
      <c r="E1302" s="204" t="s">
        <v>269</v>
      </c>
      <c r="F1302" s="129" t="s">
        <v>1138</v>
      </c>
      <c r="G1302" s="152">
        <v>-5000</v>
      </c>
      <c r="H1302" s="142"/>
    </row>
    <row r="1303" spans="1:8" ht="15.6" x14ac:dyDescent="0.3">
      <c r="A1303" s="127">
        <v>1296</v>
      </c>
      <c r="B1303" s="128">
        <v>43952</v>
      </c>
      <c r="C1303" s="129" t="s">
        <v>1716</v>
      </c>
      <c r="D1303" s="129" t="s">
        <v>1516</v>
      </c>
      <c r="E1303" s="204" t="s">
        <v>269</v>
      </c>
      <c r="F1303" s="129" t="s">
        <v>1138</v>
      </c>
      <c r="G1303" s="152">
        <v>-1000</v>
      </c>
      <c r="H1303" s="142"/>
    </row>
    <row r="1304" spans="1:8" ht="15.6" x14ac:dyDescent="0.3">
      <c r="A1304" s="127">
        <v>1297</v>
      </c>
      <c r="B1304" s="128">
        <v>43953</v>
      </c>
      <c r="C1304" s="129" t="s">
        <v>1716</v>
      </c>
      <c r="D1304" s="129" t="s">
        <v>1516</v>
      </c>
      <c r="E1304" s="204" t="s">
        <v>269</v>
      </c>
      <c r="F1304" s="129" t="s">
        <v>1138</v>
      </c>
      <c r="G1304" s="152">
        <v>-1000</v>
      </c>
      <c r="H1304" s="142"/>
    </row>
    <row r="1305" spans="1:8" ht="15.6" x14ac:dyDescent="0.3">
      <c r="A1305" s="127">
        <v>1298</v>
      </c>
      <c r="B1305" s="128">
        <v>43954</v>
      </c>
      <c r="C1305" s="129" t="s">
        <v>1758</v>
      </c>
      <c r="D1305" s="129" t="s">
        <v>1520</v>
      </c>
      <c r="E1305" s="204" t="s">
        <v>269</v>
      </c>
      <c r="F1305" s="129" t="s">
        <v>1148</v>
      </c>
      <c r="G1305" s="152">
        <v>100000</v>
      </c>
      <c r="H1305" s="142"/>
    </row>
    <row r="1306" spans="1:8" ht="15.6" x14ac:dyDescent="0.3">
      <c r="A1306" s="127">
        <v>1299</v>
      </c>
      <c r="B1306" s="128">
        <v>43955</v>
      </c>
      <c r="C1306" s="130" t="s">
        <v>1781</v>
      </c>
      <c r="D1306" s="130" t="s">
        <v>1530</v>
      </c>
      <c r="E1306" s="206" t="s">
        <v>269</v>
      </c>
      <c r="F1306" s="129" t="s">
        <v>1138</v>
      </c>
      <c r="G1306" s="152">
        <v>-55000</v>
      </c>
      <c r="H1306" s="142"/>
    </row>
    <row r="1307" spans="1:8" ht="15.6" x14ac:dyDescent="0.3">
      <c r="A1307" s="127">
        <v>1300</v>
      </c>
      <c r="B1307" s="128">
        <v>43955</v>
      </c>
      <c r="C1307" s="129" t="s">
        <v>1782</v>
      </c>
      <c r="D1307" s="129" t="s">
        <v>1516</v>
      </c>
      <c r="E1307" s="204" t="s">
        <v>269</v>
      </c>
      <c r="F1307" s="129" t="s">
        <v>1138</v>
      </c>
      <c r="G1307" s="152">
        <v>-26500</v>
      </c>
      <c r="H1307" s="142"/>
    </row>
    <row r="1308" spans="1:8" ht="15.6" x14ac:dyDescent="0.3">
      <c r="A1308" s="127">
        <v>1301</v>
      </c>
      <c r="B1308" s="128">
        <v>43955</v>
      </c>
      <c r="C1308" s="129" t="s">
        <v>1783</v>
      </c>
      <c r="D1308" s="129" t="s">
        <v>1521</v>
      </c>
      <c r="E1308" s="204" t="s">
        <v>269</v>
      </c>
      <c r="F1308" s="129" t="s">
        <v>1138</v>
      </c>
      <c r="G1308" s="152">
        <v>-450</v>
      </c>
      <c r="H1308" s="142"/>
    </row>
    <row r="1309" spans="1:8" ht="15.6" x14ac:dyDescent="0.3">
      <c r="A1309" s="127">
        <v>1302</v>
      </c>
      <c r="B1309" s="128">
        <v>43955</v>
      </c>
      <c r="C1309" s="129" t="s">
        <v>1784</v>
      </c>
      <c r="D1309" s="129" t="s">
        <v>1516</v>
      </c>
      <c r="E1309" s="204" t="s">
        <v>269</v>
      </c>
      <c r="F1309" s="129" t="s">
        <v>1138</v>
      </c>
      <c r="G1309" s="152">
        <v>-4600</v>
      </c>
      <c r="H1309" s="142"/>
    </row>
    <row r="1310" spans="1:8" ht="15.6" x14ac:dyDescent="0.3">
      <c r="A1310" s="127">
        <v>1303</v>
      </c>
      <c r="B1310" s="128">
        <v>43955</v>
      </c>
      <c r="C1310" s="129" t="s">
        <v>1715</v>
      </c>
      <c r="D1310" s="129" t="s">
        <v>1533</v>
      </c>
      <c r="E1310" s="204" t="s">
        <v>269</v>
      </c>
      <c r="F1310" s="129" t="s">
        <v>1138</v>
      </c>
      <c r="G1310" s="152">
        <v>-2000</v>
      </c>
      <c r="H1310" s="142"/>
    </row>
    <row r="1311" spans="1:8" ht="15.6" x14ac:dyDescent="0.3">
      <c r="A1311" s="127">
        <v>1304</v>
      </c>
      <c r="B1311" s="128">
        <v>43964</v>
      </c>
      <c r="C1311" s="129" t="s">
        <v>1785</v>
      </c>
      <c r="D1311" s="129" t="s">
        <v>1516</v>
      </c>
      <c r="E1311" s="204" t="s">
        <v>269</v>
      </c>
      <c r="F1311" s="129" t="s">
        <v>1138</v>
      </c>
      <c r="G1311" s="152">
        <v>-3000</v>
      </c>
      <c r="H1311" s="142"/>
    </row>
    <row r="1312" spans="1:8" ht="15.6" x14ac:dyDescent="0.3">
      <c r="A1312" s="127">
        <v>1305</v>
      </c>
      <c r="B1312" s="128">
        <v>43964</v>
      </c>
      <c r="C1312" s="129" t="s">
        <v>1715</v>
      </c>
      <c r="D1312" s="129" t="s">
        <v>1533</v>
      </c>
      <c r="E1312" s="204" t="s">
        <v>269</v>
      </c>
      <c r="F1312" s="129" t="s">
        <v>1138</v>
      </c>
      <c r="G1312" s="152">
        <v>-2000</v>
      </c>
      <c r="H1312" s="142"/>
    </row>
    <row r="1313" spans="1:8" ht="15.6" x14ac:dyDescent="0.3">
      <c r="A1313" s="127">
        <v>1306</v>
      </c>
      <c r="B1313" s="128">
        <v>43965</v>
      </c>
      <c r="C1313" s="129" t="s">
        <v>1786</v>
      </c>
      <c r="D1313" s="129" t="s">
        <v>1521</v>
      </c>
      <c r="E1313" s="204" t="s">
        <v>269</v>
      </c>
      <c r="F1313" s="129" t="s">
        <v>1138</v>
      </c>
      <c r="G1313" s="152">
        <v>-410</v>
      </c>
      <c r="H1313" s="142"/>
    </row>
    <row r="1314" spans="1:8" ht="15.6" x14ac:dyDescent="0.3">
      <c r="A1314" s="127">
        <v>1307</v>
      </c>
      <c r="B1314" s="128">
        <v>43965</v>
      </c>
      <c r="C1314" s="129" t="s">
        <v>1758</v>
      </c>
      <c r="D1314" s="129" t="s">
        <v>1520</v>
      </c>
      <c r="E1314" s="204" t="s">
        <v>269</v>
      </c>
      <c r="F1314" s="129" t="s">
        <v>1148</v>
      </c>
      <c r="G1314" s="152">
        <v>90000</v>
      </c>
      <c r="H1314" s="142"/>
    </row>
    <row r="1315" spans="1:8" ht="15.6" x14ac:dyDescent="0.3">
      <c r="A1315" s="127">
        <v>1308</v>
      </c>
      <c r="B1315" s="128">
        <v>43965</v>
      </c>
      <c r="C1315" s="129" t="s">
        <v>113</v>
      </c>
      <c r="D1315" s="129" t="s">
        <v>1529</v>
      </c>
      <c r="E1315" s="204" t="s">
        <v>269</v>
      </c>
      <c r="F1315" s="129" t="s">
        <v>1138</v>
      </c>
      <c r="G1315" s="152">
        <v>-10000</v>
      </c>
      <c r="H1315" s="142"/>
    </row>
    <row r="1316" spans="1:8" ht="15.6" x14ac:dyDescent="0.3">
      <c r="A1316" s="127">
        <v>1309</v>
      </c>
      <c r="B1316" s="128">
        <v>43967</v>
      </c>
      <c r="C1316" s="129" t="s">
        <v>1787</v>
      </c>
      <c r="D1316" s="129" t="s">
        <v>1516</v>
      </c>
      <c r="E1316" s="204" t="s">
        <v>269</v>
      </c>
      <c r="F1316" s="129" t="s">
        <v>1138</v>
      </c>
      <c r="G1316" s="152">
        <v>-12300</v>
      </c>
      <c r="H1316" s="142"/>
    </row>
    <row r="1317" spans="1:8" ht="15.6" x14ac:dyDescent="0.3">
      <c r="A1317" s="127">
        <v>1310</v>
      </c>
      <c r="B1317" s="128">
        <v>43967</v>
      </c>
      <c r="C1317" s="129" t="s">
        <v>1716</v>
      </c>
      <c r="D1317" s="129" t="s">
        <v>1516</v>
      </c>
      <c r="E1317" s="204" t="s">
        <v>269</v>
      </c>
      <c r="F1317" s="129" t="s">
        <v>1138</v>
      </c>
      <c r="G1317" s="152">
        <v>-2000</v>
      </c>
      <c r="H1317" s="142"/>
    </row>
    <row r="1318" spans="1:8" ht="15.6" x14ac:dyDescent="0.3">
      <c r="A1318" s="127">
        <v>1311</v>
      </c>
      <c r="B1318" s="128">
        <v>43968</v>
      </c>
      <c r="C1318" s="129" t="s">
        <v>1716</v>
      </c>
      <c r="D1318" s="129" t="s">
        <v>1516</v>
      </c>
      <c r="E1318" s="204" t="s">
        <v>269</v>
      </c>
      <c r="F1318" s="129" t="s">
        <v>1138</v>
      </c>
      <c r="G1318" s="152">
        <v>-1000</v>
      </c>
      <c r="H1318" s="142"/>
    </row>
    <row r="1319" spans="1:8" ht="15.6" x14ac:dyDescent="0.3">
      <c r="A1319" s="127">
        <v>1312</v>
      </c>
      <c r="B1319" s="128">
        <v>43969</v>
      </c>
      <c r="C1319" s="129" t="s">
        <v>1758</v>
      </c>
      <c r="D1319" s="129" t="s">
        <v>1520</v>
      </c>
      <c r="E1319" s="204" t="s">
        <v>269</v>
      </c>
      <c r="F1319" s="129" t="s">
        <v>1148</v>
      </c>
      <c r="G1319" s="152">
        <v>180000</v>
      </c>
      <c r="H1319" s="142"/>
    </row>
    <row r="1320" spans="1:8" ht="15.6" x14ac:dyDescent="0.3">
      <c r="A1320" s="127">
        <v>1313</v>
      </c>
      <c r="B1320" s="128">
        <v>43970</v>
      </c>
      <c r="C1320" s="129" t="s">
        <v>1724</v>
      </c>
      <c r="D1320" s="129" t="s">
        <v>1526</v>
      </c>
      <c r="E1320" s="204" t="s">
        <v>269</v>
      </c>
      <c r="F1320" s="129" t="s">
        <v>1138</v>
      </c>
      <c r="G1320" s="152">
        <v>-100000</v>
      </c>
      <c r="H1320" s="142"/>
    </row>
    <row r="1321" spans="1:8" ht="15.6" x14ac:dyDescent="0.3">
      <c r="A1321" s="127">
        <v>1314</v>
      </c>
      <c r="B1321" s="128">
        <v>43970</v>
      </c>
      <c r="C1321" s="129" t="s">
        <v>113</v>
      </c>
      <c r="D1321" s="129" t="s">
        <v>1529</v>
      </c>
      <c r="E1321" s="204" t="s">
        <v>269</v>
      </c>
      <c r="F1321" s="129" t="s">
        <v>1138</v>
      </c>
      <c r="G1321" s="152">
        <v>-10000</v>
      </c>
      <c r="H1321" s="142"/>
    </row>
    <row r="1322" spans="1:8" ht="15.6" x14ac:dyDescent="0.3">
      <c r="A1322" s="127">
        <v>1315</v>
      </c>
      <c r="B1322" s="128">
        <v>43971</v>
      </c>
      <c r="C1322" s="129" t="s">
        <v>1715</v>
      </c>
      <c r="D1322" s="129" t="s">
        <v>1533</v>
      </c>
      <c r="E1322" s="204" t="s">
        <v>269</v>
      </c>
      <c r="F1322" s="129" t="s">
        <v>1138</v>
      </c>
      <c r="G1322" s="152">
        <v>-25000</v>
      </c>
      <c r="H1322" s="142"/>
    </row>
    <row r="1323" spans="1:8" ht="15.6" x14ac:dyDescent="0.3">
      <c r="A1323" s="127">
        <v>1316</v>
      </c>
      <c r="B1323" s="128">
        <v>43971</v>
      </c>
      <c r="C1323" s="129" t="s">
        <v>1716</v>
      </c>
      <c r="D1323" s="129" t="s">
        <v>1516</v>
      </c>
      <c r="E1323" s="204" t="s">
        <v>269</v>
      </c>
      <c r="F1323" s="129" t="s">
        <v>1138</v>
      </c>
      <c r="G1323" s="152">
        <v>-10000</v>
      </c>
      <c r="H1323" s="142"/>
    </row>
    <row r="1324" spans="1:8" ht="15.6" x14ac:dyDescent="0.3">
      <c r="A1324" s="127">
        <v>1317</v>
      </c>
      <c r="B1324" s="128">
        <v>43971</v>
      </c>
      <c r="C1324" s="129" t="s">
        <v>1788</v>
      </c>
      <c r="D1324" s="129" t="s">
        <v>1517</v>
      </c>
      <c r="E1324" s="204" t="s">
        <v>269</v>
      </c>
      <c r="F1324" s="129" t="s">
        <v>1138</v>
      </c>
      <c r="G1324" s="152">
        <v>-10000</v>
      </c>
      <c r="H1324" s="142"/>
    </row>
    <row r="1325" spans="1:8" ht="15.6" x14ac:dyDescent="0.3">
      <c r="A1325" s="127">
        <v>1318</v>
      </c>
      <c r="B1325" s="128">
        <v>43984</v>
      </c>
      <c r="C1325" s="129" t="s">
        <v>1789</v>
      </c>
      <c r="D1325" s="129" t="s">
        <v>1516</v>
      </c>
      <c r="E1325" s="204" t="s">
        <v>269</v>
      </c>
      <c r="F1325" s="129" t="s">
        <v>1138</v>
      </c>
      <c r="G1325" s="152">
        <v>-2000</v>
      </c>
      <c r="H1325" s="142"/>
    </row>
    <row r="1326" spans="1:8" ht="15.6" x14ac:dyDescent="0.3">
      <c r="A1326" s="127">
        <v>1319</v>
      </c>
      <c r="B1326" s="128">
        <v>43984</v>
      </c>
      <c r="C1326" s="129" t="s">
        <v>1715</v>
      </c>
      <c r="D1326" s="129" t="s">
        <v>1533</v>
      </c>
      <c r="E1326" s="204" t="s">
        <v>269</v>
      </c>
      <c r="F1326" s="129" t="s">
        <v>1138</v>
      </c>
      <c r="G1326" s="152">
        <v>-1000</v>
      </c>
      <c r="H1326" s="142"/>
    </row>
    <row r="1327" spans="1:8" ht="15.6" x14ac:dyDescent="0.3">
      <c r="A1327" s="127">
        <v>1320</v>
      </c>
      <c r="B1327" s="128">
        <v>43984</v>
      </c>
      <c r="C1327" s="129" t="s">
        <v>1790</v>
      </c>
      <c r="D1327" s="129" t="s">
        <v>1516</v>
      </c>
      <c r="E1327" s="204" t="s">
        <v>269</v>
      </c>
      <c r="F1327" s="129" t="s">
        <v>1138</v>
      </c>
      <c r="G1327" s="152">
        <v>-4000</v>
      </c>
      <c r="H1327" s="142"/>
    </row>
    <row r="1328" spans="1:8" ht="15.6" x14ac:dyDescent="0.3">
      <c r="A1328" s="127">
        <v>1321</v>
      </c>
      <c r="B1328" s="128">
        <v>43986</v>
      </c>
      <c r="C1328" s="129" t="s">
        <v>1791</v>
      </c>
      <c r="D1328" s="129" t="s">
        <v>1516</v>
      </c>
      <c r="E1328" s="204" t="s">
        <v>269</v>
      </c>
      <c r="F1328" s="129" t="s">
        <v>1138</v>
      </c>
      <c r="G1328" s="152">
        <v>-8000</v>
      </c>
      <c r="H1328" s="142"/>
    </row>
    <row r="1329" spans="1:8" ht="15.6" x14ac:dyDescent="0.3">
      <c r="A1329" s="127">
        <v>1322</v>
      </c>
      <c r="B1329" s="128">
        <v>43986</v>
      </c>
      <c r="C1329" s="129" t="s">
        <v>1793</v>
      </c>
      <c r="D1329" s="129" t="s">
        <v>1520</v>
      </c>
      <c r="E1329" s="204" t="s">
        <v>269</v>
      </c>
      <c r="F1329" s="129" t="s">
        <v>1148</v>
      </c>
      <c r="G1329" s="152">
        <v>200000</v>
      </c>
      <c r="H1329" s="142"/>
    </row>
    <row r="1330" spans="1:8" ht="15.6" x14ac:dyDescent="0.3">
      <c r="A1330" s="127">
        <v>1323</v>
      </c>
      <c r="B1330" s="128">
        <v>43989</v>
      </c>
      <c r="C1330" s="129" t="s">
        <v>1716</v>
      </c>
      <c r="D1330" s="129" t="s">
        <v>1516</v>
      </c>
      <c r="E1330" s="204" t="s">
        <v>269</v>
      </c>
      <c r="F1330" s="129" t="s">
        <v>1138</v>
      </c>
      <c r="G1330" s="152">
        <v>-5000</v>
      </c>
      <c r="H1330" s="142"/>
    </row>
    <row r="1331" spans="1:8" ht="15.6" x14ac:dyDescent="0.3">
      <c r="A1331" s="127">
        <v>1324</v>
      </c>
      <c r="B1331" s="128">
        <v>43989</v>
      </c>
      <c r="C1331" s="129" t="s">
        <v>1792</v>
      </c>
      <c r="D1331" s="129" t="s">
        <v>1516</v>
      </c>
      <c r="E1331" s="204" t="s">
        <v>269</v>
      </c>
      <c r="F1331" s="129" t="s">
        <v>1138</v>
      </c>
      <c r="G1331" s="152">
        <v>-1800</v>
      </c>
      <c r="H1331" s="142"/>
    </row>
    <row r="1332" spans="1:8" ht="15.6" x14ac:dyDescent="0.3">
      <c r="A1332" s="127">
        <v>1325</v>
      </c>
      <c r="B1332" s="128">
        <v>43990</v>
      </c>
      <c r="C1332" s="129" t="s">
        <v>1724</v>
      </c>
      <c r="D1332" s="129" t="s">
        <v>1526</v>
      </c>
      <c r="E1332" s="204" t="s">
        <v>269</v>
      </c>
      <c r="F1332" s="129" t="s">
        <v>1138</v>
      </c>
      <c r="G1332" s="152">
        <v>-50000</v>
      </c>
      <c r="H1332" s="142"/>
    </row>
    <row r="1333" spans="1:8" ht="15.6" x14ac:dyDescent="0.3">
      <c r="A1333" s="127">
        <v>1326</v>
      </c>
      <c r="B1333" s="128">
        <v>43997</v>
      </c>
      <c r="C1333" s="129" t="s">
        <v>1791</v>
      </c>
      <c r="D1333" s="129" t="s">
        <v>1516</v>
      </c>
      <c r="E1333" s="204" t="s">
        <v>269</v>
      </c>
      <c r="F1333" s="129" t="s">
        <v>1138</v>
      </c>
      <c r="G1333" s="152">
        <v>-2000</v>
      </c>
      <c r="H1333" s="142"/>
    </row>
    <row r="1334" spans="1:8" ht="15.6" x14ac:dyDescent="0.3">
      <c r="A1334" s="127">
        <v>1327</v>
      </c>
      <c r="B1334" s="128">
        <v>43997</v>
      </c>
      <c r="C1334" s="129" t="s">
        <v>1716</v>
      </c>
      <c r="D1334" s="129" t="s">
        <v>1516</v>
      </c>
      <c r="E1334" s="204" t="s">
        <v>269</v>
      </c>
      <c r="F1334" s="129" t="s">
        <v>1138</v>
      </c>
      <c r="G1334" s="152">
        <v>-1000</v>
      </c>
      <c r="H1334" s="142"/>
    </row>
    <row r="1335" spans="1:8" ht="15.6" x14ac:dyDescent="0.3">
      <c r="A1335" s="127">
        <v>1328</v>
      </c>
      <c r="B1335" s="128">
        <v>43997</v>
      </c>
      <c r="C1335" s="129" t="s">
        <v>1794</v>
      </c>
      <c r="D1335" s="129" t="s">
        <v>1521</v>
      </c>
      <c r="E1335" s="204" t="s">
        <v>269</v>
      </c>
      <c r="F1335" s="129" t="s">
        <v>1138</v>
      </c>
      <c r="G1335" s="152">
        <v>-200</v>
      </c>
      <c r="H1335" s="142"/>
    </row>
    <row r="1336" spans="1:8" ht="15.6" x14ac:dyDescent="0.3">
      <c r="A1336" s="127">
        <v>1329</v>
      </c>
      <c r="B1336" s="128">
        <v>43997</v>
      </c>
      <c r="C1336" s="129" t="s">
        <v>1716</v>
      </c>
      <c r="D1336" s="129" t="s">
        <v>1516</v>
      </c>
      <c r="E1336" s="204" t="s">
        <v>269</v>
      </c>
      <c r="F1336" s="129" t="s">
        <v>1138</v>
      </c>
      <c r="G1336" s="152">
        <v>-3000</v>
      </c>
      <c r="H1336" s="142"/>
    </row>
    <row r="1337" spans="1:8" ht="15.6" x14ac:dyDescent="0.3">
      <c r="A1337" s="127">
        <v>1330</v>
      </c>
      <c r="B1337" s="128">
        <v>43997</v>
      </c>
      <c r="C1337" s="129" t="s">
        <v>1794</v>
      </c>
      <c r="D1337" s="129" t="s">
        <v>1521</v>
      </c>
      <c r="E1337" s="204" t="s">
        <v>269</v>
      </c>
      <c r="F1337" s="129" t="s">
        <v>1138</v>
      </c>
      <c r="G1337" s="152">
        <v>-200</v>
      </c>
      <c r="H1337" s="142"/>
    </row>
    <row r="1338" spans="1:8" ht="15.6" x14ac:dyDescent="0.3">
      <c r="A1338" s="127">
        <v>1331</v>
      </c>
      <c r="B1338" s="128">
        <v>43997</v>
      </c>
      <c r="C1338" s="129" t="s">
        <v>42</v>
      </c>
      <c r="D1338" s="129" t="s">
        <v>1521</v>
      </c>
      <c r="E1338" s="204" t="s">
        <v>269</v>
      </c>
      <c r="F1338" s="129" t="s">
        <v>1138</v>
      </c>
      <c r="G1338" s="152">
        <v>-100</v>
      </c>
      <c r="H1338" s="142"/>
    </row>
    <row r="1339" spans="1:8" ht="15.6" x14ac:dyDescent="0.3">
      <c r="A1339" s="127">
        <v>1332</v>
      </c>
      <c r="B1339" s="128">
        <v>44003</v>
      </c>
      <c r="C1339" s="129" t="s">
        <v>1795</v>
      </c>
      <c r="D1339" s="129" t="s">
        <v>1521</v>
      </c>
      <c r="E1339" s="204" t="s">
        <v>269</v>
      </c>
      <c r="F1339" s="129" t="s">
        <v>1138</v>
      </c>
      <c r="G1339" s="152">
        <v>-7000</v>
      </c>
      <c r="H1339" s="142"/>
    </row>
    <row r="1340" spans="1:8" ht="15.6" x14ac:dyDescent="0.3">
      <c r="A1340" s="127">
        <v>1333</v>
      </c>
      <c r="B1340" s="128">
        <v>44003</v>
      </c>
      <c r="C1340" s="129" t="s">
        <v>26</v>
      </c>
      <c r="D1340" s="129" t="s">
        <v>1522</v>
      </c>
      <c r="E1340" s="204" t="s">
        <v>269</v>
      </c>
      <c r="F1340" s="129" t="s">
        <v>1138</v>
      </c>
      <c r="G1340" s="152">
        <v>-2500</v>
      </c>
      <c r="H1340" s="142"/>
    </row>
    <row r="1341" spans="1:8" ht="15.6" x14ac:dyDescent="0.3">
      <c r="A1341" s="127">
        <v>1334</v>
      </c>
      <c r="B1341" s="128">
        <v>44003</v>
      </c>
      <c r="C1341" s="129" t="s">
        <v>1796</v>
      </c>
      <c r="D1341" s="129" t="s">
        <v>1517</v>
      </c>
      <c r="E1341" s="204" t="s">
        <v>269</v>
      </c>
      <c r="F1341" s="129" t="s">
        <v>1138</v>
      </c>
      <c r="G1341" s="152">
        <v>-60000</v>
      </c>
      <c r="H1341" s="142"/>
    </row>
    <row r="1342" spans="1:8" ht="15.6" x14ac:dyDescent="0.3">
      <c r="A1342" s="127">
        <v>1335</v>
      </c>
      <c r="B1342" s="128">
        <v>44004</v>
      </c>
      <c r="C1342" s="129" t="s">
        <v>1797</v>
      </c>
      <c r="D1342" s="129" t="s">
        <v>1520</v>
      </c>
      <c r="E1342" s="204" t="s">
        <v>269</v>
      </c>
      <c r="F1342" s="129" t="s">
        <v>1148</v>
      </c>
      <c r="G1342" s="152">
        <v>150000</v>
      </c>
      <c r="H1342" s="142"/>
    </row>
    <row r="1343" spans="1:8" ht="15.6" x14ac:dyDescent="0.3">
      <c r="A1343" s="127">
        <v>1336</v>
      </c>
      <c r="B1343" s="128">
        <v>44004</v>
      </c>
      <c r="C1343" s="129" t="s">
        <v>1798</v>
      </c>
      <c r="D1343" s="129" t="s">
        <v>1523</v>
      </c>
      <c r="E1343" s="204" t="s">
        <v>269</v>
      </c>
      <c r="F1343" s="129" t="s">
        <v>1138</v>
      </c>
      <c r="G1343" s="152">
        <v>-50000</v>
      </c>
      <c r="H1343" s="142"/>
    </row>
    <row r="1344" spans="1:8" ht="15.6" x14ac:dyDescent="0.3">
      <c r="A1344" s="127">
        <v>1337</v>
      </c>
      <c r="B1344" s="128">
        <v>44005</v>
      </c>
      <c r="C1344" s="129" t="s">
        <v>1724</v>
      </c>
      <c r="D1344" s="129" t="s">
        <v>1526</v>
      </c>
      <c r="E1344" s="204" t="s">
        <v>269</v>
      </c>
      <c r="F1344" s="129" t="s">
        <v>1138</v>
      </c>
      <c r="G1344" s="152">
        <v>-35000</v>
      </c>
      <c r="H1344" s="142"/>
    </row>
    <row r="1345" spans="1:8" ht="15.6" x14ac:dyDescent="0.3">
      <c r="A1345" s="127">
        <v>1338</v>
      </c>
      <c r="B1345" s="128">
        <v>44005</v>
      </c>
      <c r="C1345" s="129" t="s">
        <v>1759</v>
      </c>
      <c r="D1345" s="129" t="s">
        <v>1516</v>
      </c>
      <c r="E1345" s="204" t="s">
        <v>269</v>
      </c>
      <c r="F1345" s="129" t="s">
        <v>1138</v>
      </c>
      <c r="G1345" s="152">
        <v>-900</v>
      </c>
      <c r="H1345" s="142"/>
    </row>
    <row r="1346" spans="1:8" ht="15.6" x14ac:dyDescent="0.3">
      <c r="A1346" s="127">
        <v>1339</v>
      </c>
      <c r="B1346" s="128">
        <v>44005</v>
      </c>
      <c r="C1346" s="129" t="s">
        <v>42</v>
      </c>
      <c r="D1346" s="129" t="s">
        <v>1521</v>
      </c>
      <c r="E1346" s="204" t="s">
        <v>269</v>
      </c>
      <c r="F1346" s="129" t="s">
        <v>1138</v>
      </c>
      <c r="G1346" s="152">
        <v>-100</v>
      </c>
      <c r="H1346" s="142"/>
    </row>
    <row r="1347" spans="1:8" ht="15.6" x14ac:dyDescent="0.3">
      <c r="A1347" s="127">
        <v>1340</v>
      </c>
      <c r="B1347" s="128">
        <v>44005</v>
      </c>
      <c r="C1347" s="129" t="s">
        <v>1799</v>
      </c>
      <c r="D1347" s="129" t="s">
        <v>1471</v>
      </c>
      <c r="E1347" s="204" t="s">
        <v>269</v>
      </c>
      <c r="F1347" s="129" t="s">
        <v>1138</v>
      </c>
      <c r="G1347" s="152">
        <v>-10000</v>
      </c>
      <c r="H1347" s="142"/>
    </row>
    <row r="1348" spans="1:8" ht="15.6" x14ac:dyDescent="0.3">
      <c r="A1348" s="127">
        <v>1341</v>
      </c>
      <c r="B1348" s="128">
        <v>44005</v>
      </c>
      <c r="C1348" s="129" t="s">
        <v>1716</v>
      </c>
      <c r="D1348" s="129" t="s">
        <v>1516</v>
      </c>
      <c r="E1348" s="204" t="s">
        <v>269</v>
      </c>
      <c r="F1348" s="129" t="s">
        <v>1138</v>
      </c>
      <c r="G1348" s="152">
        <v>-1000</v>
      </c>
      <c r="H1348" s="142"/>
    </row>
    <row r="1349" spans="1:8" ht="15.6" x14ac:dyDescent="0.3">
      <c r="A1349" s="127">
        <v>1342</v>
      </c>
      <c r="B1349" s="128">
        <v>44005</v>
      </c>
      <c r="C1349" s="129" t="s">
        <v>1800</v>
      </c>
      <c r="D1349" s="129" t="s">
        <v>1521</v>
      </c>
      <c r="E1349" s="204" t="s">
        <v>269</v>
      </c>
      <c r="F1349" s="129" t="s">
        <v>1138</v>
      </c>
      <c r="G1349" s="152">
        <v>-250</v>
      </c>
      <c r="H1349" s="142"/>
    </row>
    <row r="1350" spans="1:8" ht="15.6" x14ac:dyDescent="0.3">
      <c r="A1350" s="127">
        <v>1343</v>
      </c>
      <c r="B1350" s="128">
        <v>44005</v>
      </c>
      <c r="C1350" s="129" t="s">
        <v>1801</v>
      </c>
      <c r="D1350" s="129" t="s">
        <v>1521</v>
      </c>
      <c r="E1350" s="204" t="s">
        <v>269</v>
      </c>
      <c r="F1350" s="129" t="s">
        <v>1138</v>
      </c>
      <c r="G1350" s="152">
        <v>-90</v>
      </c>
      <c r="H1350" s="142"/>
    </row>
    <row r="1351" spans="1:8" ht="15.6" x14ac:dyDescent="0.3">
      <c r="A1351" s="127">
        <v>1344</v>
      </c>
      <c r="B1351" s="128">
        <v>44005</v>
      </c>
      <c r="C1351" s="129" t="s">
        <v>1759</v>
      </c>
      <c r="D1351" s="129" t="s">
        <v>1516</v>
      </c>
      <c r="E1351" s="204" t="s">
        <v>269</v>
      </c>
      <c r="F1351" s="129" t="s">
        <v>1138</v>
      </c>
      <c r="G1351" s="152">
        <v>-900</v>
      </c>
      <c r="H1351" s="142"/>
    </row>
    <row r="1352" spans="1:8" ht="15.6" x14ac:dyDescent="0.3">
      <c r="A1352" s="127">
        <v>1345</v>
      </c>
      <c r="B1352" s="128">
        <v>44005</v>
      </c>
      <c r="C1352" s="129" t="s">
        <v>1794</v>
      </c>
      <c r="D1352" s="129" t="s">
        <v>1521</v>
      </c>
      <c r="E1352" s="204" t="s">
        <v>269</v>
      </c>
      <c r="F1352" s="129" t="s">
        <v>1138</v>
      </c>
      <c r="G1352" s="152">
        <v>-100</v>
      </c>
      <c r="H1352" s="142"/>
    </row>
    <row r="1353" spans="1:8" ht="15.6" x14ac:dyDescent="0.3">
      <c r="A1353" s="127">
        <v>1346</v>
      </c>
      <c r="B1353" s="128">
        <v>44013</v>
      </c>
      <c r="C1353" s="129" t="s">
        <v>1716</v>
      </c>
      <c r="D1353" s="129" t="s">
        <v>1516</v>
      </c>
      <c r="E1353" s="204" t="s">
        <v>269</v>
      </c>
      <c r="F1353" s="129" t="s">
        <v>1138</v>
      </c>
      <c r="G1353" s="152">
        <v>-1000</v>
      </c>
      <c r="H1353" s="142"/>
    </row>
    <row r="1354" spans="1:8" ht="15.6" x14ac:dyDescent="0.3">
      <c r="A1354" s="127">
        <v>1347</v>
      </c>
      <c r="B1354" s="128">
        <v>44015</v>
      </c>
      <c r="C1354" s="129" t="s">
        <v>1716</v>
      </c>
      <c r="D1354" s="129" t="s">
        <v>1516</v>
      </c>
      <c r="E1354" s="204" t="s">
        <v>269</v>
      </c>
      <c r="F1354" s="129" t="s">
        <v>1138</v>
      </c>
      <c r="G1354" s="152">
        <v>-1000</v>
      </c>
      <c r="H1354" s="142"/>
    </row>
    <row r="1355" spans="1:8" ht="15.6" x14ac:dyDescent="0.3">
      <c r="A1355" s="127">
        <v>1348</v>
      </c>
      <c r="B1355" s="128">
        <v>44019</v>
      </c>
      <c r="C1355" s="129" t="s">
        <v>1716</v>
      </c>
      <c r="D1355" s="129" t="s">
        <v>1516</v>
      </c>
      <c r="E1355" s="204" t="s">
        <v>269</v>
      </c>
      <c r="F1355" s="129" t="s">
        <v>1138</v>
      </c>
      <c r="G1355" s="152">
        <v>-1000</v>
      </c>
      <c r="H1355" s="142"/>
    </row>
    <row r="1356" spans="1:8" ht="15.6" x14ac:dyDescent="0.3">
      <c r="A1356" s="127">
        <v>1349</v>
      </c>
      <c r="B1356" s="128">
        <v>44021</v>
      </c>
      <c r="C1356" s="129" t="s">
        <v>1802</v>
      </c>
      <c r="D1356" s="129" t="s">
        <v>1516</v>
      </c>
      <c r="E1356" s="204" t="s">
        <v>269</v>
      </c>
      <c r="F1356" s="129" t="s">
        <v>1138</v>
      </c>
      <c r="G1356" s="152">
        <v>-7950</v>
      </c>
      <c r="H1356" s="142"/>
    </row>
    <row r="1357" spans="1:8" ht="15.6" x14ac:dyDescent="0.3">
      <c r="A1357" s="127">
        <v>1350</v>
      </c>
      <c r="B1357" s="128">
        <v>44023</v>
      </c>
      <c r="C1357" s="129" t="s">
        <v>1799</v>
      </c>
      <c r="D1357" s="129" t="s">
        <v>1471</v>
      </c>
      <c r="E1357" s="204" t="s">
        <v>269</v>
      </c>
      <c r="F1357" s="129" t="s">
        <v>1138</v>
      </c>
      <c r="G1357" s="152">
        <v>-3000</v>
      </c>
      <c r="H1357" s="142"/>
    </row>
    <row r="1358" spans="1:8" ht="15.6" x14ac:dyDescent="0.3">
      <c r="A1358" s="127">
        <v>1351</v>
      </c>
      <c r="B1358" s="128">
        <v>44026</v>
      </c>
      <c r="C1358" s="129" t="s">
        <v>1716</v>
      </c>
      <c r="D1358" s="129" t="s">
        <v>1516</v>
      </c>
      <c r="E1358" s="204" t="s">
        <v>269</v>
      </c>
      <c r="F1358" s="129" t="s">
        <v>1138</v>
      </c>
      <c r="G1358" s="152">
        <v>-2000</v>
      </c>
      <c r="H1358" s="142"/>
    </row>
    <row r="1359" spans="1:8" ht="15.6" x14ac:dyDescent="0.3">
      <c r="A1359" s="127">
        <v>1352</v>
      </c>
      <c r="B1359" s="128">
        <v>44031</v>
      </c>
      <c r="C1359" s="129" t="s">
        <v>1803</v>
      </c>
      <c r="D1359" s="129" t="s">
        <v>1520</v>
      </c>
      <c r="E1359" s="204" t="s">
        <v>269</v>
      </c>
      <c r="F1359" s="129" t="s">
        <v>1148</v>
      </c>
      <c r="G1359" s="152">
        <v>50000</v>
      </c>
      <c r="H1359" s="142"/>
    </row>
    <row r="1360" spans="1:8" ht="15.6" x14ac:dyDescent="0.3">
      <c r="A1360" s="127">
        <v>1353</v>
      </c>
      <c r="B1360" s="128">
        <v>44029</v>
      </c>
      <c r="C1360" s="129" t="s">
        <v>1716</v>
      </c>
      <c r="D1360" s="129" t="s">
        <v>1516</v>
      </c>
      <c r="E1360" s="204" t="s">
        <v>269</v>
      </c>
      <c r="F1360" s="129" t="s">
        <v>1138</v>
      </c>
      <c r="G1360" s="152">
        <v>-1000</v>
      </c>
      <c r="H1360" s="142"/>
    </row>
    <row r="1361" spans="1:8" ht="15.6" x14ac:dyDescent="0.3">
      <c r="A1361" s="127">
        <v>1354</v>
      </c>
      <c r="B1361" s="128">
        <v>44033</v>
      </c>
      <c r="C1361" s="129" t="s">
        <v>1716</v>
      </c>
      <c r="D1361" s="129" t="s">
        <v>1516</v>
      </c>
      <c r="E1361" s="204" t="s">
        <v>269</v>
      </c>
      <c r="F1361" s="129" t="s">
        <v>1138</v>
      </c>
      <c r="G1361" s="152">
        <v>-1000</v>
      </c>
      <c r="H1361" s="142"/>
    </row>
    <row r="1362" spans="1:8" ht="15.6" x14ac:dyDescent="0.3">
      <c r="A1362" s="127">
        <v>1355</v>
      </c>
      <c r="B1362" s="128">
        <v>44033</v>
      </c>
      <c r="C1362" s="129" t="s">
        <v>1804</v>
      </c>
      <c r="D1362" s="129" t="s">
        <v>1517</v>
      </c>
      <c r="E1362" s="204" t="s">
        <v>269</v>
      </c>
      <c r="F1362" s="129" t="s">
        <v>1138</v>
      </c>
      <c r="G1362" s="152">
        <v>-60000</v>
      </c>
      <c r="H1362" s="142"/>
    </row>
    <row r="1363" spans="1:8" ht="15.6" x14ac:dyDescent="0.3">
      <c r="A1363" s="127">
        <v>1356</v>
      </c>
      <c r="B1363" s="128">
        <v>44033</v>
      </c>
      <c r="C1363" s="129" t="s">
        <v>1805</v>
      </c>
      <c r="D1363" s="129" t="s">
        <v>1516</v>
      </c>
      <c r="E1363" s="204" t="s">
        <v>269</v>
      </c>
      <c r="F1363" s="129" t="s">
        <v>1138</v>
      </c>
      <c r="G1363" s="152">
        <v>-2000</v>
      </c>
      <c r="H1363" s="142"/>
    </row>
    <row r="1364" spans="1:8" ht="15.6" x14ac:dyDescent="0.3">
      <c r="A1364" s="127">
        <v>1357</v>
      </c>
      <c r="B1364" s="128">
        <v>44034</v>
      </c>
      <c r="C1364" s="129" t="s">
        <v>1806</v>
      </c>
      <c r="D1364" s="129" t="s">
        <v>1807</v>
      </c>
      <c r="E1364" s="204" t="s">
        <v>269</v>
      </c>
      <c r="F1364" s="129" t="s">
        <v>1138</v>
      </c>
      <c r="G1364" s="152">
        <v>-5000</v>
      </c>
      <c r="H1364" s="142"/>
    </row>
    <row r="1365" spans="1:8" ht="15.6" x14ac:dyDescent="0.3">
      <c r="A1365" s="127">
        <v>1358</v>
      </c>
      <c r="B1365" s="128">
        <v>44034</v>
      </c>
      <c r="C1365" s="129" t="s">
        <v>1808</v>
      </c>
      <c r="D1365" s="129" t="s">
        <v>1516</v>
      </c>
      <c r="E1365" s="204" t="s">
        <v>269</v>
      </c>
      <c r="F1365" s="129" t="s">
        <v>1138</v>
      </c>
      <c r="G1365" s="152">
        <v>-1800</v>
      </c>
      <c r="H1365" s="142"/>
    </row>
    <row r="1366" spans="1:8" ht="15.6" x14ac:dyDescent="0.3">
      <c r="A1366" s="127">
        <v>1359</v>
      </c>
      <c r="B1366" s="128">
        <v>44037</v>
      </c>
      <c r="C1366" s="129" t="s">
        <v>1806</v>
      </c>
      <c r="D1366" s="129" t="s">
        <v>1807</v>
      </c>
      <c r="E1366" s="204" t="s">
        <v>269</v>
      </c>
      <c r="F1366" s="129" t="s">
        <v>1138</v>
      </c>
      <c r="G1366" s="152">
        <v>-5000</v>
      </c>
      <c r="H1366" s="142"/>
    </row>
    <row r="1367" spans="1:8" ht="15.6" x14ac:dyDescent="0.3">
      <c r="A1367" s="127">
        <v>1360</v>
      </c>
      <c r="B1367" s="128">
        <v>44037</v>
      </c>
      <c r="C1367" s="129" t="s">
        <v>42</v>
      </c>
      <c r="D1367" s="129" t="s">
        <v>1521</v>
      </c>
      <c r="E1367" s="204" t="s">
        <v>269</v>
      </c>
      <c r="F1367" s="129" t="s">
        <v>1138</v>
      </c>
      <c r="G1367" s="152">
        <v>-100</v>
      </c>
      <c r="H1367" s="142"/>
    </row>
    <row r="1368" spans="1:8" ht="15.6" x14ac:dyDescent="0.3">
      <c r="A1368" s="127">
        <v>1361</v>
      </c>
      <c r="B1368" s="128">
        <v>44037</v>
      </c>
      <c r="C1368" s="129" t="s">
        <v>1810</v>
      </c>
      <c r="D1368" s="129" t="s">
        <v>1521</v>
      </c>
      <c r="E1368" s="204" t="s">
        <v>269</v>
      </c>
      <c r="F1368" s="129" t="s">
        <v>1138</v>
      </c>
      <c r="G1368" s="152">
        <v>-450</v>
      </c>
      <c r="H1368" s="142"/>
    </row>
    <row r="1369" spans="1:8" ht="15.6" x14ac:dyDescent="0.3">
      <c r="A1369" s="127">
        <v>1362</v>
      </c>
      <c r="B1369" s="128">
        <v>44037</v>
      </c>
      <c r="C1369" s="129" t="s">
        <v>1809</v>
      </c>
      <c r="D1369" s="129" t="s">
        <v>1521</v>
      </c>
      <c r="E1369" s="204" t="s">
        <v>269</v>
      </c>
      <c r="F1369" s="129" t="s">
        <v>1138</v>
      </c>
      <c r="G1369" s="152">
        <v>-40</v>
      </c>
      <c r="H1369" s="142"/>
    </row>
    <row r="1370" spans="1:8" ht="15.6" x14ac:dyDescent="0.3">
      <c r="A1370" s="127">
        <v>1363</v>
      </c>
      <c r="B1370" s="128">
        <v>44037</v>
      </c>
      <c r="C1370" s="129" t="s">
        <v>1716</v>
      </c>
      <c r="D1370" s="129" t="s">
        <v>1516</v>
      </c>
      <c r="E1370" s="204" t="s">
        <v>269</v>
      </c>
      <c r="F1370" s="129" t="s">
        <v>1138</v>
      </c>
      <c r="G1370" s="152">
        <v>-1800</v>
      </c>
      <c r="H1370" s="142"/>
    </row>
    <row r="1371" spans="1:8" ht="15.6" x14ac:dyDescent="0.3">
      <c r="A1371" s="127">
        <v>1364</v>
      </c>
      <c r="B1371" s="128">
        <v>44037</v>
      </c>
      <c r="C1371" s="129" t="s">
        <v>1806</v>
      </c>
      <c r="D1371" s="129" t="s">
        <v>1807</v>
      </c>
      <c r="E1371" s="204" t="s">
        <v>269</v>
      </c>
      <c r="F1371" s="129" t="s">
        <v>1138</v>
      </c>
      <c r="G1371" s="152">
        <v>-1000</v>
      </c>
      <c r="H1371" s="142"/>
    </row>
    <row r="1372" spans="1:8" ht="15.6" x14ac:dyDescent="0.3">
      <c r="A1372" s="127">
        <v>1365</v>
      </c>
      <c r="B1372" s="128">
        <v>44040</v>
      </c>
      <c r="C1372" s="129" t="s">
        <v>1803</v>
      </c>
      <c r="D1372" s="129" t="s">
        <v>1520</v>
      </c>
      <c r="E1372" s="204" t="s">
        <v>269</v>
      </c>
      <c r="F1372" s="129" t="s">
        <v>1148</v>
      </c>
      <c r="G1372" s="152">
        <v>140000</v>
      </c>
      <c r="H1372" s="142"/>
    </row>
    <row r="1373" spans="1:8" ht="15.6" x14ac:dyDescent="0.3">
      <c r="A1373" s="127">
        <v>1366</v>
      </c>
      <c r="B1373" s="128">
        <v>44040</v>
      </c>
      <c r="C1373" s="129" t="s">
        <v>1811</v>
      </c>
      <c r="D1373" s="129" t="s">
        <v>1521</v>
      </c>
      <c r="E1373" s="204" t="s">
        <v>269</v>
      </c>
      <c r="F1373" s="129" t="s">
        <v>1138</v>
      </c>
      <c r="G1373" s="152">
        <v>-1200</v>
      </c>
      <c r="H1373" s="142"/>
    </row>
    <row r="1374" spans="1:8" ht="15.6" x14ac:dyDescent="0.3">
      <c r="A1374" s="127">
        <v>1367</v>
      </c>
      <c r="B1374" s="128">
        <v>44040</v>
      </c>
      <c r="C1374" s="129" t="s">
        <v>113</v>
      </c>
      <c r="D1374" s="129" t="s">
        <v>1529</v>
      </c>
      <c r="E1374" s="204" t="s">
        <v>269</v>
      </c>
      <c r="F1374" s="129" t="s">
        <v>1138</v>
      </c>
      <c r="G1374" s="152">
        <v>-30000</v>
      </c>
      <c r="H1374" s="142"/>
    </row>
    <row r="1375" spans="1:8" ht="15.6" x14ac:dyDescent="0.3">
      <c r="A1375" s="127">
        <v>1368</v>
      </c>
      <c r="B1375" s="128">
        <v>44040</v>
      </c>
      <c r="C1375" s="129" t="s">
        <v>42</v>
      </c>
      <c r="D1375" s="129" t="s">
        <v>1521</v>
      </c>
      <c r="E1375" s="204" t="s">
        <v>269</v>
      </c>
      <c r="F1375" s="129" t="s">
        <v>1138</v>
      </c>
      <c r="G1375" s="152">
        <v>-100</v>
      </c>
      <c r="H1375" s="142"/>
    </row>
    <row r="1376" spans="1:8" ht="15.6" x14ac:dyDescent="0.3">
      <c r="A1376" s="127">
        <v>1369</v>
      </c>
      <c r="B1376" s="128">
        <v>44041</v>
      </c>
      <c r="C1376" s="129" t="s">
        <v>1799</v>
      </c>
      <c r="D1376" s="129" t="s">
        <v>1471</v>
      </c>
      <c r="E1376" s="204" t="s">
        <v>269</v>
      </c>
      <c r="F1376" s="129" t="s">
        <v>1138</v>
      </c>
      <c r="G1376" s="152">
        <v>-10000</v>
      </c>
      <c r="H1376" s="142"/>
    </row>
    <row r="1377" spans="1:8" ht="15.6" x14ac:dyDescent="0.3">
      <c r="A1377" s="127">
        <v>1370</v>
      </c>
      <c r="B1377" s="128">
        <v>44041</v>
      </c>
      <c r="C1377" s="129" t="s">
        <v>1766</v>
      </c>
      <c r="D1377" s="129" t="s">
        <v>1524</v>
      </c>
      <c r="E1377" s="204" t="s">
        <v>269</v>
      </c>
      <c r="F1377" s="129" t="s">
        <v>1138</v>
      </c>
      <c r="G1377" s="152">
        <v>-30000</v>
      </c>
      <c r="H1377" s="142"/>
    </row>
    <row r="1378" spans="1:8" ht="15.6" x14ac:dyDescent="0.3">
      <c r="A1378" s="127">
        <v>1371</v>
      </c>
      <c r="B1378" s="128">
        <v>44041</v>
      </c>
      <c r="C1378" s="129" t="s">
        <v>42</v>
      </c>
      <c r="D1378" s="129" t="s">
        <v>1521</v>
      </c>
      <c r="E1378" s="204" t="s">
        <v>269</v>
      </c>
      <c r="F1378" s="129" t="s">
        <v>1138</v>
      </c>
      <c r="G1378" s="152">
        <v>-100</v>
      </c>
      <c r="H1378" s="142"/>
    </row>
    <row r="1379" spans="1:8" ht="15.6" x14ac:dyDescent="0.3">
      <c r="A1379" s="127">
        <v>1372</v>
      </c>
      <c r="B1379" s="128">
        <v>44041</v>
      </c>
      <c r="C1379" s="129" t="s">
        <v>1724</v>
      </c>
      <c r="D1379" s="129" t="s">
        <v>1526</v>
      </c>
      <c r="E1379" s="204" t="s">
        <v>269</v>
      </c>
      <c r="F1379" s="129" t="s">
        <v>1138</v>
      </c>
      <c r="G1379" s="152">
        <v>-30000</v>
      </c>
      <c r="H1379" s="142"/>
    </row>
    <row r="1380" spans="1:8" ht="15.6" x14ac:dyDescent="0.3">
      <c r="A1380" s="127">
        <v>1373</v>
      </c>
      <c r="B1380" s="128">
        <v>44041</v>
      </c>
      <c r="C1380" s="129" t="s">
        <v>1812</v>
      </c>
      <c r="D1380" s="129" t="s">
        <v>1516</v>
      </c>
      <c r="E1380" s="204" t="s">
        <v>269</v>
      </c>
      <c r="F1380" s="129" t="s">
        <v>1138</v>
      </c>
      <c r="G1380" s="152">
        <v>-900</v>
      </c>
      <c r="H1380" s="142"/>
    </row>
    <row r="1381" spans="1:8" ht="15.6" x14ac:dyDescent="0.3">
      <c r="A1381" s="127">
        <v>1374</v>
      </c>
      <c r="B1381" s="128">
        <v>44041</v>
      </c>
      <c r="C1381" s="129" t="s">
        <v>1806</v>
      </c>
      <c r="D1381" s="129" t="s">
        <v>1807</v>
      </c>
      <c r="E1381" s="204" t="s">
        <v>269</v>
      </c>
      <c r="F1381" s="129" t="s">
        <v>1138</v>
      </c>
      <c r="G1381" s="152">
        <v>-5000</v>
      </c>
      <c r="H1381" s="142"/>
    </row>
    <row r="1382" spans="1:8" ht="15.6" x14ac:dyDescent="0.3">
      <c r="A1382" s="127">
        <v>1375</v>
      </c>
      <c r="B1382" s="128">
        <v>44041</v>
      </c>
      <c r="C1382" s="129" t="s">
        <v>1716</v>
      </c>
      <c r="D1382" s="129" t="s">
        <v>1516</v>
      </c>
      <c r="E1382" s="204" t="s">
        <v>269</v>
      </c>
      <c r="F1382" s="129" t="s">
        <v>1138</v>
      </c>
      <c r="G1382" s="152">
        <v>-11000</v>
      </c>
      <c r="H1382" s="142"/>
    </row>
    <row r="1383" spans="1:8" ht="15.6" x14ac:dyDescent="0.3">
      <c r="A1383" s="127">
        <v>1376</v>
      </c>
      <c r="B1383" s="128">
        <v>44043</v>
      </c>
      <c r="C1383" s="129" t="s">
        <v>1806</v>
      </c>
      <c r="D1383" s="129" t="s">
        <v>1807</v>
      </c>
      <c r="E1383" s="204" t="s">
        <v>269</v>
      </c>
      <c r="F1383" s="129" t="s">
        <v>1138</v>
      </c>
      <c r="G1383" s="152">
        <v>-7000</v>
      </c>
      <c r="H1383" s="142"/>
    </row>
    <row r="1384" spans="1:8" ht="15.6" x14ac:dyDescent="0.3">
      <c r="A1384" s="127">
        <v>1377</v>
      </c>
      <c r="B1384" s="128">
        <v>44043</v>
      </c>
      <c r="C1384" s="129" t="s">
        <v>1809</v>
      </c>
      <c r="D1384" s="129" t="s">
        <v>1521</v>
      </c>
      <c r="E1384" s="204" t="s">
        <v>269</v>
      </c>
      <c r="F1384" s="129" t="s">
        <v>1138</v>
      </c>
      <c r="G1384" s="152">
        <v>-40</v>
      </c>
      <c r="H1384" s="142"/>
    </row>
    <row r="1385" spans="1:8" ht="15.6" x14ac:dyDescent="0.3">
      <c r="A1385" s="127">
        <v>1378</v>
      </c>
      <c r="B1385" s="128">
        <v>44053</v>
      </c>
      <c r="C1385" s="129" t="s">
        <v>1715</v>
      </c>
      <c r="D1385" s="129" t="s">
        <v>1533</v>
      </c>
      <c r="E1385" s="204" t="s">
        <v>269</v>
      </c>
      <c r="F1385" s="129" t="s">
        <v>1138</v>
      </c>
      <c r="G1385" s="152">
        <v>-5000</v>
      </c>
      <c r="H1385" s="142"/>
    </row>
    <row r="1386" spans="1:8" ht="15.6" x14ac:dyDescent="0.3">
      <c r="A1386" s="127">
        <v>1379</v>
      </c>
      <c r="B1386" s="128">
        <v>44054</v>
      </c>
      <c r="C1386" s="129" t="s">
        <v>1715</v>
      </c>
      <c r="D1386" s="129" t="s">
        <v>1533</v>
      </c>
      <c r="E1386" s="204" t="s">
        <v>269</v>
      </c>
      <c r="F1386" s="129" t="s">
        <v>1138</v>
      </c>
      <c r="G1386" s="152">
        <v>-1000</v>
      </c>
      <c r="H1386" s="142"/>
    </row>
    <row r="1387" spans="1:8" ht="15.6" x14ac:dyDescent="0.3">
      <c r="A1387" s="127">
        <v>1380</v>
      </c>
      <c r="B1387" s="128">
        <v>44054</v>
      </c>
      <c r="C1387" s="129" t="s">
        <v>1813</v>
      </c>
      <c r="D1387" s="129" t="s">
        <v>1516</v>
      </c>
      <c r="E1387" s="204" t="s">
        <v>269</v>
      </c>
      <c r="F1387" s="129" t="s">
        <v>1138</v>
      </c>
      <c r="G1387" s="152">
        <v>-1100</v>
      </c>
      <c r="H1387" s="142"/>
    </row>
    <row r="1388" spans="1:8" ht="15.6" x14ac:dyDescent="0.3">
      <c r="A1388" s="127">
        <v>1381</v>
      </c>
      <c r="B1388" s="128">
        <v>44054</v>
      </c>
      <c r="C1388" s="129" t="s">
        <v>1803</v>
      </c>
      <c r="D1388" s="129" t="s">
        <v>1520</v>
      </c>
      <c r="E1388" s="204" t="s">
        <v>269</v>
      </c>
      <c r="F1388" s="129" t="s">
        <v>1148</v>
      </c>
      <c r="G1388" s="152">
        <v>100000</v>
      </c>
      <c r="H1388" s="142"/>
    </row>
    <row r="1389" spans="1:8" ht="15.6" x14ac:dyDescent="0.3">
      <c r="A1389" s="127">
        <v>1382</v>
      </c>
      <c r="B1389" s="128">
        <v>44054</v>
      </c>
      <c r="C1389" s="129" t="s">
        <v>1724</v>
      </c>
      <c r="D1389" s="129" t="s">
        <v>1526</v>
      </c>
      <c r="E1389" s="204" t="s">
        <v>269</v>
      </c>
      <c r="F1389" s="129" t="s">
        <v>1138</v>
      </c>
      <c r="G1389" s="152">
        <v>-20000</v>
      </c>
      <c r="H1389" s="142"/>
    </row>
    <row r="1390" spans="1:8" ht="15.6" x14ac:dyDescent="0.3">
      <c r="A1390" s="127">
        <v>1383</v>
      </c>
      <c r="B1390" s="128">
        <v>44056</v>
      </c>
      <c r="C1390" s="129" t="s">
        <v>1724</v>
      </c>
      <c r="D1390" s="129" t="s">
        <v>1526</v>
      </c>
      <c r="E1390" s="204" t="s">
        <v>269</v>
      </c>
      <c r="F1390" s="129" t="s">
        <v>1138</v>
      </c>
      <c r="G1390" s="152">
        <v>-10000</v>
      </c>
      <c r="H1390" s="142"/>
    </row>
    <row r="1391" spans="1:8" ht="15.6" x14ac:dyDescent="0.3">
      <c r="A1391" s="127">
        <v>1384</v>
      </c>
      <c r="B1391" s="128">
        <v>44056</v>
      </c>
      <c r="C1391" s="129" t="s">
        <v>1715</v>
      </c>
      <c r="D1391" s="129" t="s">
        <v>1533</v>
      </c>
      <c r="E1391" s="204" t="s">
        <v>269</v>
      </c>
      <c r="F1391" s="129" t="s">
        <v>1138</v>
      </c>
      <c r="G1391" s="152">
        <v>-2000</v>
      </c>
      <c r="H1391" s="142"/>
    </row>
    <row r="1392" spans="1:8" ht="15.6" x14ac:dyDescent="0.3">
      <c r="A1392" s="127">
        <v>1385</v>
      </c>
      <c r="B1392" s="128">
        <v>44058</v>
      </c>
      <c r="C1392" s="129" t="s">
        <v>1716</v>
      </c>
      <c r="D1392" s="129" t="s">
        <v>1516</v>
      </c>
      <c r="E1392" s="204" t="s">
        <v>269</v>
      </c>
      <c r="F1392" s="129" t="s">
        <v>1138</v>
      </c>
      <c r="G1392" s="152">
        <v>-1000</v>
      </c>
      <c r="H1392" s="142"/>
    </row>
    <row r="1393" spans="1:8" ht="15.6" x14ac:dyDescent="0.3">
      <c r="A1393" s="127">
        <v>1386</v>
      </c>
      <c r="B1393" s="128">
        <v>44059</v>
      </c>
      <c r="C1393" s="129" t="s">
        <v>1715</v>
      </c>
      <c r="D1393" s="129" t="s">
        <v>1533</v>
      </c>
      <c r="E1393" s="204" t="s">
        <v>269</v>
      </c>
      <c r="F1393" s="129" t="s">
        <v>1138</v>
      </c>
      <c r="G1393" s="152">
        <v>-5000</v>
      </c>
      <c r="H1393" s="142"/>
    </row>
    <row r="1394" spans="1:8" ht="15.6" x14ac:dyDescent="0.3">
      <c r="A1394" s="127">
        <v>1387</v>
      </c>
      <c r="B1394" s="128">
        <v>44059</v>
      </c>
      <c r="C1394" s="129" t="s">
        <v>1814</v>
      </c>
      <c r="D1394" s="129" t="s">
        <v>1516</v>
      </c>
      <c r="E1394" s="204" t="s">
        <v>269</v>
      </c>
      <c r="F1394" s="129" t="s">
        <v>1138</v>
      </c>
      <c r="G1394" s="152">
        <v>-6500</v>
      </c>
      <c r="H1394" s="142"/>
    </row>
    <row r="1395" spans="1:8" ht="15.6" x14ac:dyDescent="0.3">
      <c r="A1395" s="127">
        <v>1388</v>
      </c>
      <c r="B1395" s="128">
        <v>44059</v>
      </c>
      <c r="C1395" s="129" t="s">
        <v>1816</v>
      </c>
      <c r="D1395" s="129" t="s">
        <v>1517</v>
      </c>
      <c r="E1395" s="204" t="s">
        <v>269</v>
      </c>
      <c r="F1395" s="129" t="s">
        <v>1138</v>
      </c>
      <c r="G1395" s="152">
        <v>-60000</v>
      </c>
      <c r="H1395" s="142"/>
    </row>
    <row r="1396" spans="1:8" ht="15.6" x14ac:dyDescent="0.3">
      <c r="A1396" s="127">
        <v>1389</v>
      </c>
      <c r="B1396" s="128">
        <v>44060</v>
      </c>
      <c r="C1396" s="129" t="s">
        <v>1766</v>
      </c>
      <c r="D1396" s="129" t="s">
        <v>1524</v>
      </c>
      <c r="E1396" s="204" t="s">
        <v>269</v>
      </c>
      <c r="F1396" s="129" t="s">
        <v>1138</v>
      </c>
      <c r="G1396" s="152">
        <v>-10000</v>
      </c>
      <c r="H1396" s="142"/>
    </row>
    <row r="1397" spans="1:8" ht="15.6" x14ac:dyDescent="0.3">
      <c r="A1397" s="127">
        <v>1390</v>
      </c>
      <c r="B1397" s="128">
        <v>44062</v>
      </c>
      <c r="C1397" s="129" t="s">
        <v>113</v>
      </c>
      <c r="D1397" s="129" t="s">
        <v>1529</v>
      </c>
      <c r="E1397" s="204" t="s">
        <v>269</v>
      </c>
      <c r="F1397" s="129" t="s">
        <v>1138</v>
      </c>
      <c r="G1397" s="152">
        <v>-10000</v>
      </c>
      <c r="H1397" s="142"/>
    </row>
    <row r="1398" spans="1:8" ht="15.6" x14ac:dyDescent="0.3">
      <c r="A1398" s="127">
        <v>1391</v>
      </c>
      <c r="B1398" s="128">
        <v>44064</v>
      </c>
      <c r="C1398" s="129" t="s">
        <v>1716</v>
      </c>
      <c r="D1398" s="129" t="s">
        <v>1516</v>
      </c>
      <c r="E1398" s="204" t="s">
        <v>269</v>
      </c>
      <c r="F1398" s="129" t="s">
        <v>1138</v>
      </c>
      <c r="G1398" s="152">
        <v>-5000</v>
      </c>
      <c r="H1398" s="142"/>
    </row>
    <row r="1399" spans="1:8" ht="15.6" x14ac:dyDescent="0.3">
      <c r="A1399" s="127">
        <v>1392</v>
      </c>
      <c r="B1399" s="128">
        <v>44065</v>
      </c>
      <c r="C1399" s="129" t="s">
        <v>1724</v>
      </c>
      <c r="D1399" s="129" t="s">
        <v>1526</v>
      </c>
      <c r="E1399" s="204" t="s">
        <v>269</v>
      </c>
      <c r="F1399" s="129" t="s">
        <v>1138</v>
      </c>
      <c r="G1399" s="152">
        <v>-10000</v>
      </c>
      <c r="H1399" s="142"/>
    </row>
    <row r="1400" spans="1:8" ht="15.6" x14ac:dyDescent="0.3">
      <c r="A1400" s="127">
        <v>1393</v>
      </c>
      <c r="B1400" s="128">
        <v>44065</v>
      </c>
      <c r="C1400" s="129" t="s">
        <v>1715</v>
      </c>
      <c r="D1400" s="129" t="s">
        <v>1533</v>
      </c>
      <c r="E1400" s="204" t="s">
        <v>269</v>
      </c>
      <c r="F1400" s="129" t="s">
        <v>1138</v>
      </c>
      <c r="G1400" s="152">
        <v>-2000</v>
      </c>
      <c r="H1400" s="142"/>
    </row>
    <row r="1401" spans="1:8" ht="15.6" x14ac:dyDescent="0.3">
      <c r="A1401" s="127">
        <v>1394</v>
      </c>
      <c r="B1401" s="128">
        <v>44066</v>
      </c>
      <c r="C1401" s="129" t="s">
        <v>1715</v>
      </c>
      <c r="D1401" s="129" t="s">
        <v>1533</v>
      </c>
      <c r="E1401" s="204" t="s">
        <v>269</v>
      </c>
      <c r="F1401" s="129" t="s">
        <v>1138</v>
      </c>
      <c r="G1401" s="152">
        <v>-2000</v>
      </c>
      <c r="H1401" s="142"/>
    </row>
    <row r="1402" spans="1:8" ht="15.6" x14ac:dyDescent="0.3">
      <c r="A1402" s="127">
        <v>1395</v>
      </c>
      <c r="B1402" s="128">
        <v>44066</v>
      </c>
      <c r="C1402" s="129" t="s">
        <v>215</v>
      </c>
      <c r="D1402" s="129" t="s">
        <v>1521</v>
      </c>
      <c r="E1402" s="204" t="s">
        <v>269</v>
      </c>
      <c r="F1402" s="129" t="s">
        <v>1138</v>
      </c>
      <c r="G1402" s="152">
        <v>-7000</v>
      </c>
      <c r="H1402" s="142"/>
    </row>
    <row r="1403" spans="1:8" ht="15.6" x14ac:dyDescent="0.3">
      <c r="A1403" s="127">
        <v>1396</v>
      </c>
      <c r="B1403" s="128">
        <v>44067</v>
      </c>
      <c r="C1403" s="129" t="s">
        <v>1803</v>
      </c>
      <c r="D1403" s="129" t="s">
        <v>1520</v>
      </c>
      <c r="E1403" s="204" t="s">
        <v>269</v>
      </c>
      <c r="F1403" s="129" t="s">
        <v>1148</v>
      </c>
      <c r="G1403" s="152">
        <v>50000</v>
      </c>
      <c r="H1403" s="142"/>
    </row>
    <row r="1404" spans="1:8" ht="15.6" x14ac:dyDescent="0.3">
      <c r="A1404" s="127">
        <v>1397</v>
      </c>
      <c r="B1404" s="128">
        <v>44067</v>
      </c>
      <c r="C1404" s="129" t="s">
        <v>1724</v>
      </c>
      <c r="D1404" s="129" t="s">
        <v>1526</v>
      </c>
      <c r="E1404" s="204" t="s">
        <v>269</v>
      </c>
      <c r="F1404" s="129" t="s">
        <v>1138</v>
      </c>
      <c r="G1404" s="152">
        <v>-20000</v>
      </c>
      <c r="H1404" s="142"/>
    </row>
    <row r="1405" spans="1:8" ht="15.6" x14ac:dyDescent="0.3">
      <c r="A1405" s="127">
        <v>1398</v>
      </c>
      <c r="B1405" s="128">
        <v>44068</v>
      </c>
      <c r="C1405" s="129" t="s">
        <v>42</v>
      </c>
      <c r="D1405" s="129" t="s">
        <v>1521</v>
      </c>
      <c r="E1405" s="204" t="s">
        <v>269</v>
      </c>
      <c r="F1405" s="129" t="s">
        <v>1138</v>
      </c>
      <c r="G1405" s="152">
        <v>-100</v>
      </c>
      <c r="H1405" s="142"/>
    </row>
    <row r="1406" spans="1:8" ht="15.6" x14ac:dyDescent="0.3">
      <c r="A1406" s="127">
        <v>1399</v>
      </c>
      <c r="B1406" s="128">
        <v>44068</v>
      </c>
      <c r="C1406" s="129" t="s">
        <v>1815</v>
      </c>
      <c r="D1406" s="129" t="s">
        <v>1521</v>
      </c>
      <c r="E1406" s="204" t="s">
        <v>269</v>
      </c>
      <c r="F1406" s="129" t="s">
        <v>1138</v>
      </c>
      <c r="G1406" s="152">
        <v>-2000</v>
      </c>
      <c r="H1406" s="142"/>
    </row>
    <row r="1407" spans="1:8" ht="15.6" x14ac:dyDescent="0.3">
      <c r="A1407" s="127">
        <v>1400</v>
      </c>
      <c r="B1407" s="128">
        <v>44069</v>
      </c>
      <c r="C1407" s="129" t="s">
        <v>113</v>
      </c>
      <c r="D1407" s="129" t="s">
        <v>1529</v>
      </c>
      <c r="E1407" s="204" t="s">
        <v>269</v>
      </c>
      <c r="F1407" s="129" t="s">
        <v>1138</v>
      </c>
      <c r="G1407" s="152">
        <v>-10000</v>
      </c>
      <c r="H1407" s="142"/>
    </row>
    <row r="1408" spans="1:8" ht="15.6" x14ac:dyDescent="0.3">
      <c r="A1408" s="127">
        <v>1401</v>
      </c>
      <c r="B1408" s="128">
        <v>44072</v>
      </c>
      <c r="C1408" s="129" t="s">
        <v>1716</v>
      </c>
      <c r="D1408" s="129" t="s">
        <v>1516</v>
      </c>
      <c r="E1408" s="204" t="s">
        <v>269</v>
      </c>
      <c r="F1408" s="129" t="s">
        <v>1138</v>
      </c>
      <c r="G1408" s="152">
        <v>-1000</v>
      </c>
      <c r="H1408" s="142"/>
    </row>
    <row r="1409" spans="1:8" ht="15.6" x14ac:dyDescent="0.3">
      <c r="A1409" s="127">
        <v>1402</v>
      </c>
      <c r="B1409" s="128">
        <v>44074</v>
      </c>
      <c r="C1409" s="129" t="s">
        <v>1716</v>
      </c>
      <c r="D1409" s="129" t="s">
        <v>1516</v>
      </c>
      <c r="E1409" s="204" t="s">
        <v>269</v>
      </c>
      <c r="F1409" s="129" t="s">
        <v>1138</v>
      </c>
      <c r="G1409" s="152">
        <v>-1000</v>
      </c>
      <c r="H1409" s="142"/>
    </row>
    <row r="1410" spans="1:8" ht="15.6" x14ac:dyDescent="0.3">
      <c r="A1410" s="127">
        <v>1403</v>
      </c>
      <c r="B1410" s="128">
        <v>44074</v>
      </c>
      <c r="C1410" s="129" t="s">
        <v>1724</v>
      </c>
      <c r="D1410" s="129" t="s">
        <v>1526</v>
      </c>
      <c r="E1410" s="204" t="s">
        <v>269</v>
      </c>
      <c r="F1410" s="129" t="s">
        <v>1138</v>
      </c>
      <c r="G1410" s="152">
        <v>-10000</v>
      </c>
      <c r="H1410" s="142"/>
    </row>
    <row r="1411" spans="1:8" ht="15.6" x14ac:dyDescent="0.3">
      <c r="A1411" s="127">
        <v>1404</v>
      </c>
      <c r="B1411" s="128">
        <v>44075</v>
      </c>
      <c r="C1411" s="129" t="s">
        <v>1806</v>
      </c>
      <c r="D1411" s="129" t="s">
        <v>1807</v>
      </c>
      <c r="E1411" s="204" t="s">
        <v>269</v>
      </c>
      <c r="F1411" s="129" t="s">
        <v>1138</v>
      </c>
      <c r="G1411" s="152">
        <v>-30000</v>
      </c>
      <c r="H1411" s="142"/>
    </row>
    <row r="1412" spans="1:8" ht="15.6" x14ac:dyDescent="0.3">
      <c r="A1412" s="127">
        <v>1405</v>
      </c>
      <c r="B1412" s="128">
        <v>44075</v>
      </c>
      <c r="C1412" s="129" t="s">
        <v>1766</v>
      </c>
      <c r="D1412" s="129" t="s">
        <v>1524</v>
      </c>
      <c r="E1412" s="204" t="s">
        <v>269</v>
      </c>
      <c r="F1412" s="129" t="s">
        <v>1138</v>
      </c>
      <c r="G1412" s="152">
        <v>-15000</v>
      </c>
      <c r="H1412" s="142"/>
    </row>
    <row r="1413" spans="1:8" ht="15.6" x14ac:dyDescent="0.3">
      <c r="A1413" s="127">
        <v>1406</v>
      </c>
      <c r="B1413" s="128">
        <v>44075</v>
      </c>
      <c r="C1413" s="129" t="s">
        <v>1815</v>
      </c>
      <c r="D1413" s="129" t="s">
        <v>1521</v>
      </c>
      <c r="E1413" s="204" t="s">
        <v>269</v>
      </c>
      <c r="F1413" s="129" t="s">
        <v>1138</v>
      </c>
      <c r="G1413" s="152">
        <v>-2000</v>
      </c>
      <c r="H1413" s="142"/>
    </row>
    <row r="1414" spans="1:8" ht="15.6" x14ac:dyDescent="0.3">
      <c r="A1414" s="127">
        <v>1407</v>
      </c>
      <c r="B1414" s="128">
        <v>44075</v>
      </c>
      <c r="C1414" s="129" t="s">
        <v>1724</v>
      </c>
      <c r="D1414" s="129" t="s">
        <v>1526</v>
      </c>
      <c r="E1414" s="204" t="s">
        <v>269</v>
      </c>
      <c r="F1414" s="129" t="s">
        <v>1138</v>
      </c>
      <c r="G1414" s="152">
        <v>-20000</v>
      </c>
      <c r="H1414" s="142"/>
    </row>
    <row r="1415" spans="1:8" ht="15.6" x14ac:dyDescent="0.3">
      <c r="A1415" s="127">
        <v>1408</v>
      </c>
      <c r="B1415" s="128">
        <v>44075</v>
      </c>
      <c r="C1415" s="129" t="s">
        <v>1803</v>
      </c>
      <c r="D1415" s="129" t="s">
        <v>1520</v>
      </c>
      <c r="E1415" s="204" t="s">
        <v>269</v>
      </c>
      <c r="F1415" s="129" t="s">
        <v>1148</v>
      </c>
      <c r="G1415" s="152">
        <v>70000</v>
      </c>
      <c r="H1415" s="142"/>
    </row>
    <row r="1416" spans="1:8" ht="15.6" x14ac:dyDescent="0.3">
      <c r="A1416" s="127">
        <v>1409</v>
      </c>
      <c r="B1416" s="128">
        <v>44076</v>
      </c>
      <c r="C1416" s="129" t="s">
        <v>1766</v>
      </c>
      <c r="D1416" s="129" t="s">
        <v>1524</v>
      </c>
      <c r="E1416" s="204" t="s">
        <v>269</v>
      </c>
      <c r="F1416" s="129" t="s">
        <v>1138</v>
      </c>
      <c r="G1416" s="152">
        <v>-1200</v>
      </c>
      <c r="H1416" s="142"/>
    </row>
    <row r="1417" spans="1:8" ht="15.6" x14ac:dyDescent="0.3">
      <c r="A1417" s="127">
        <v>1410</v>
      </c>
      <c r="B1417" s="128">
        <v>44076</v>
      </c>
      <c r="C1417" s="129" t="s">
        <v>1716</v>
      </c>
      <c r="D1417" s="129" t="s">
        <v>1516</v>
      </c>
      <c r="E1417" s="204" t="s">
        <v>269</v>
      </c>
      <c r="F1417" s="129" t="s">
        <v>1138</v>
      </c>
      <c r="G1417" s="152">
        <v>-2000</v>
      </c>
      <c r="H1417" s="142"/>
    </row>
    <row r="1418" spans="1:8" ht="15.6" x14ac:dyDescent="0.3">
      <c r="A1418" s="127">
        <v>1411</v>
      </c>
      <c r="B1418" s="128">
        <v>44076</v>
      </c>
      <c r="C1418" s="129" t="s">
        <v>1715</v>
      </c>
      <c r="D1418" s="129" t="s">
        <v>1533</v>
      </c>
      <c r="E1418" s="204" t="s">
        <v>269</v>
      </c>
      <c r="F1418" s="129" t="s">
        <v>1138</v>
      </c>
      <c r="G1418" s="152">
        <v>-1000</v>
      </c>
      <c r="H1418" s="142"/>
    </row>
    <row r="1419" spans="1:8" ht="15.6" x14ac:dyDescent="0.3">
      <c r="A1419" s="127">
        <v>1412</v>
      </c>
      <c r="B1419" s="128">
        <v>44077</v>
      </c>
      <c r="C1419" s="129" t="s">
        <v>1810</v>
      </c>
      <c r="D1419" s="129" t="s">
        <v>1521</v>
      </c>
      <c r="E1419" s="204" t="s">
        <v>269</v>
      </c>
      <c r="F1419" s="129" t="s">
        <v>1138</v>
      </c>
      <c r="G1419" s="152">
        <v>-200</v>
      </c>
      <c r="H1419" s="142"/>
    </row>
    <row r="1420" spans="1:8" ht="15.6" x14ac:dyDescent="0.3">
      <c r="A1420" s="127">
        <v>1413</v>
      </c>
      <c r="B1420" s="128">
        <v>44077</v>
      </c>
      <c r="C1420" s="129" t="s">
        <v>1715</v>
      </c>
      <c r="D1420" s="129" t="s">
        <v>1533</v>
      </c>
      <c r="E1420" s="204" t="s">
        <v>269</v>
      </c>
      <c r="F1420" s="129" t="s">
        <v>1138</v>
      </c>
      <c r="G1420" s="152">
        <v>-2000</v>
      </c>
      <c r="H1420" s="142"/>
    </row>
    <row r="1421" spans="1:8" ht="15.6" x14ac:dyDescent="0.3">
      <c r="A1421" s="127">
        <v>1414</v>
      </c>
      <c r="B1421" s="128">
        <v>44077</v>
      </c>
      <c r="C1421" s="129" t="s">
        <v>1809</v>
      </c>
      <c r="D1421" s="129" t="s">
        <v>1521</v>
      </c>
      <c r="E1421" s="204" t="s">
        <v>269</v>
      </c>
      <c r="F1421" s="129" t="s">
        <v>1138</v>
      </c>
      <c r="G1421" s="152">
        <v>-100</v>
      </c>
      <c r="H1421" s="142"/>
    </row>
    <row r="1422" spans="1:8" ht="15.6" x14ac:dyDescent="0.3">
      <c r="A1422" s="127">
        <v>1415</v>
      </c>
      <c r="B1422" s="128">
        <v>44078</v>
      </c>
      <c r="C1422" s="129" t="s">
        <v>1715</v>
      </c>
      <c r="D1422" s="129" t="s">
        <v>1533</v>
      </c>
      <c r="E1422" s="204" t="s">
        <v>269</v>
      </c>
      <c r="F1422" s="129" t="s">
        <v>1138</v>
      </c>
      <c r="G1422" s="152">
        <v>-10000</v>
      </c>
      <c r="H1422" s="142"/>
    </row>
    <row r="1423" spans="1:8" ht="15.6" x14ac:dyDescent="0.3">
      <c r="A1423" s="127">
        <v>1416</v>
      </c>
      <c r="B1423" s="128">
        <v>44078</v>
      </c>
      <c r="C1423" s="129" t="s">
        <v>1814</v>
      </c>
      <c r="D1423" s="129" t="s">
        <v>1516</v>
      </c>
      <c r="E1423" s="204" t="s">
        <v>269</v>
      </c>
      <c r="F1423" s="129" t="s">
        <v>1138</v>
      </c>
      <c r="G1423" s="152">
        <v>-3600</v>
      </c>
      <c r="H1423" s="142"/>
    </row>
    <row r="1424" spans="1:8" ht="15.6" x14ac:dyDescent="0.3">
      <c r="A1424" s="127">
        <v>1417</v>
      </c>
      <c r="B1424" s="128">
        <v>44079</v>
      </c>
      <c r="C1424" s="129" t="s">
        <v>1716</v>
      </c>
      <c r="D1424" s="129" t="s">
        <v>1516</v>
      </c>
      <c r="E1424" s="204" t="s">
        <v>269</v>
      </c>
      <c r="F1424" s="129" t="s">
        <v>1138</v>
      </c>
      <c r="G1424" s="152">
        <v>-2000</v>
      </c>
      <c r="H1424" s="142"/>
    </row>
    <row r="1425" spans="1:8" ht="15.6" x14ac:dyDescent="0.3">
      <c r="A1425" s="127">
        <v>1418</v>
      </c>
      <c r="B1425" s="128">
        <v>44079</v>
      </c>
      <c r="C1425" s="129" t="s">
        <v>1766</v>
      </c>
      <c r="D1425" s="129" t="s">
        <v>1524</v>
      </c>
      <c r="E1425" s="204" t="s">
        <v>269</v>
      </c>
      <c r="F1425" s="129" t="s">
        <v>1138</v>
      </c>
      <c r="G1425" s="152">
        <v>-500</v>
      </c>
      <c r="H1425" s="142"/>
    </row>
    <row r="1426" spans="1:8" ht="15.6" x14ac:dyDescent="0.3">
      <c r="A1426" s="127">
        <v>1419</v>
      </c>
      <c r="B1426" s="128">
        <v>44083</v>
      </c>
      <c r="C1426" s="129" t="s">
        <v>1716</v>
      </c>
      <c r="D1426" s="129" t="s">
        <v>1516</v>
      </c>
      <c r="E1426" s="204" t="s">
        <v>269</v>
      </c>
      <c r="F1426" s="129" t="s">
        <v>1138</v>
      </c>
      <c r="G1426" s="152">
        <v>-2000</v>
      </c>
      <c r="H1426" s="142"/>
    </row>
    <row r="1427" spans="1:8" ht="15.6" x14ac:dyDescent="0.3">
      <c r="A1427" s="127">
        <v>1420</v>
      </c>
      <c r="B1427" s="128">
        <v>44083</v>
      </c>
      <c r="C1427" s="129" t="s">
        <v>42</v>
      </c>
      <c r="D1427" s="129" t="s">
        <v>1521</v>
      </c>
      <c r="E1427" s="204" t="s">
        <v>269</v>
      </c>
      <c r="F1427" s="129" t="s">
        <v>1138</v>
      </c>
      <c r="G1427" s="152">
        <v>-100</v>
      </c>
      <c r="H1427" s="142"/>
    </row>
    <row r="1428" spans="1:8" ht="15.6" x14ac:dyDescent="0.3">
      <c r="A1428" s="127">
        <v>1421</v>
      </c>
      <c r="B1428" s="128">
        <v>44083</v>
      </c>
      <c r="C1428" s="129" t="s">
        <v>1803</v>
      </c>
      <c r="D1428" s="129" t="s">
        <v>1520</v>
      </c>
      <c r="E1428" s="204" t="s">
        <v>269</v>
      </c>
      <c r="F1428" s="129" t="s">
        <v>1148</v>
      </c>
      <c r="G1428" s="152">
        <v>150000</v>
      </c>
      <c r="H1428" s="142"/>
    </row>
    <row r="1429" spans="1:8" ht="15.6" x14ac:dyDescent="0.3">
      <c r="A1429" s="127">
        <v>1422</v>
      </c>
      <c r="B1429" s="128">
        <v>44083</v>
      </c>
      <c r="C1429" s="129" t="s">
        <v>1724</v>
      </c>
      <c r="D1429" s="129" t="s">
        <v>1526</v>
      </c>
      <c r="E1429" s="204" t="s">
        <v>269</v>
      </c>
      <c r="F1429" s="129" t="s">
        <v>1138</v>
      </c>
      <c r="G1429" s="152">
        <v>-25000</v>
      </c>
      <c r="H1429" s="142"/>
    </row>
    <row r="1430" spans="1:8" ht="15.6" x14ac:dyDescent="0.3">
      <c r="A1430" s="127">
        <v>1423</v>
      </c>
      <c r="B1430" s="128">
        <v>44083</v>
      </c>
      <c r="C1430" s="129" t="s">
        <v>1766</v>
      </c>
      <c r="D1430" s="129" t="s">
        <v>1524</v>
      </c>
      <c r="E1430" s="204" t="s">
        <v>269</v>
      </c>
      <c r="F1430" s="129" t="s">
        <v>1138</v>
      </c>
      <c r="G1430" s="152">
        <v>-20000</v>
      </c>
      <c r="H1430" s="142"/>
    </row>
    <row r="1431" spans="1:8" ht="15.6" x14ac:dyDescent="0.3">
      <c r="A1431" s="127">
        <v>1424</v>
      </c>
      <c r="B1431" s="128">
        <v>44083</v>
      </c>
      <c r="C1431" s="129" t="s">
        <v>1817</v>
      </c>
      <c r="D1431" s="129" t="s">
        <v>1516</v>
      </c>
      <c r="E1431" s="204" t="s">
        <v>269</v>
      </c>
      <c r="F1431" s="129" t="s">
        <v>1138</v>
      </c>
      <c r="G1431" s="152">
        <v>-8050</v>
      </c>
      <c r="H1431" s="142"/>
    </row>
    <row r="1432" spans="1:8" ht="15.6" x14ac:dyDescent="0.3">
      <c r="A1432" s="127">
        <v>1425</v>
      </c>
      <c r="B1432" s="128">
        <v>44083</v>
      </c>
      <c r="C1432" s="129" t="s">
        <v>1716</v>
      </c>
      <c r="D1432" s="129" t="s">
        <v>1516</v>
      </c>
      <c r="E1432" s="204" t="s">
        <v>269</v>
      </c>
      <c r="F1432" s="129" t="s">
        <v>1138</v>
      </c>
      <c r="G1432" s="152">
        <v>-3000</v>
      </c>
      <c r="H1432" s="142"/>
    </row>
    <row r="1433" spans="1:8" ht="15.6" x14ac:dyDescent="0.3">
      <c r="A1433" s="127">
        <v>1426</v>
      </c>
      <c r="B1433" s="128">
        <v>44083</v>
      </c>
      <c r="C1433" s="129" t="s">
        <v>1715</v>
      </c>
      <c r="D1433" s="129" t="s">
        <v>1533</v>
      </c>
      <c r="E1433" s="204" t="s">
        <v>269</v>
      </c>
      <c r="F1433" s="129" t="s">
        <v>1138</v>
      </c>
      <c r="G1433" s="152">
        <v>-2000</v>
      </c>
      <c r="H1433" s="142"/>
    </row>
    <row r="1434" spans="1:8" ht="15.6" x14ac:dyDescent="0.3">
      <c r="A1434" s="127">
        <v>1427</v>
      </c>
      <c r="B1434" s="128">
        <v>44086</v>
      </c>
      <c r="C1434" s="129" t="s">
        <v>1715</v>
      </c>
      <c r="D1434" s="129" t="s">
        <v>1533</v>
      </c>
      <c r="E1434" s="204" t="s">
        <v>269</v>
      </c>
      <c r="F1434" s="129" t="s">
        <v>1138</v>
      </c>
      <c r="G1434" s="152">
        <v>-3000</v>
      </c>
      <c r="H1434" s="142"/>
    </row>
    <row r="1435" spans="1:8" ht="15.6" x14ac:dyDescent="0.3">
      <c r="A1435" s="127">
        <v>1428</v>
      </c>
      <c r="B1435" s="128">
        <v>44088</v>
      </c>
      <c r="C1435" s="129" t="s">
        <v>113</v>
      </c>
      <c r="D1435" s="129" t="s">
        <v>1529</v>
      </c>
      <c r="E1435" s="204" t="s">
        <v>269</v>
      </c>
      <c r="F1435" s="129" t="s">
        <v>1138</v>
      </c>
      <c r="G1435" s="152">
        <v>-2000</v>
      </c>
      <c r="H1435" s="142"/>
    </row>
    <row r="1436" spans="1:8" ht="15.6" x14ac:dyDescent="0.3">
      <c r="A1436" s="127">
        <v>1429</v>
      </c>
      <c r="B1436" s="128">
        <v>44088</v>
      </c>
      <c r="C1436" s="129" t="s">
        <v>1803</v>
      </c>
      <c r="D1436" s="129" t="s">
        <v>1520</v>
      </c>
      <c r="E1436" s="204" t="s">
        <v>269</v>
      </c>
      <c r="F1436" s="129" t="s">
        <v>1148</v>
      </c>
      <c r="G1436" s="152">
        <v>50000</v>
      </c>
      <c r="H1436" s="142"/>
    </row>
    <row r="1437" spans="1:8" ht="15.6" x14ac:dyDescent="0.3">
      <c r="A1437" s="127">
        <v>1430</v>
      </c>
      <c r="B1437" s="128">
        <v>44089</v>
      </c>
      <c r="C1437" s="129" t="s">
        <v>1806</v>
      </c>
      <c r="D1437" s="129" t="s">
        <v>1807</v>
      </c>
      <c r="E1437" s="204" t="s">
        <v>269</v>
      </c>
      <c r="F1437" s="129" t="s">
        <v>1138</v>
      </c>
      <c r="G1437" s="152">
        <v>-25000</v>
      </c>
      <c r="H1437" s="142"/>
    </row>
    <row r="1438" spans="1:8" ht="15.6" x14ac:dyDescent="0.3">
      <c r="A1438" s="127">
        <v>1431</v>
      </c>
      <c r="B1438" s="128">
        <v>44089</v>
      </c>
      <c r="C1438" s="129" t="s">
        <v>1715</v>
      </c>
      <c r="D1438" s="129" t="s">
        <v>1533</v>
      </c>
      <c r="E1438" s="204" t="s">
        <v>269</v>
      </c>
      <c r="F1438" s="129" t="s">
        <v>1138</v>
      </c>
      <c r="G1438" s="152">
        <v>-2000</v>
      </c>
      <c r="H1438" s="142"/>
    </row>
    <row r="1439" spans="1:8" ht="15.6" x14ac:dyDescent="0.3">
      <c r="A1439" s="127">
        <v>1432</v>
      </c>
      <c r="B1439" s="128">
        <v>44089</v>
      </c>
      <c r="C1439" s="129" t="s">
        <v>1724</v>
      </c>
      <c r="D1439" s="129" t="s">
        <v>1526</v>
      </c>
      <c r="E1439" s="204" t="s">
        <v>269</v>
      </c>
      <c r="F1439" s="129" t="s">
        <v>1138</v>
      </c>
      <c r="G1439" s="152">
        <v>-15000</v>
      </c>
      <c r="H1439" s="142"/>
    </row>
    <row r="1440" spans="1:8" ht="15.6" x14ac:dyDescent="0.3">
      <c r="A1440" s="127">
        <v>1433</v>
      </c>
      <c r="B1440" s="128">
        <v>44090</v>
      </c>
      <c r="C1440" s="129" t="s">
        <v>1715</v>
      </c>
      <c r="D1440" s="129" t="s">
        <v>1533</v>
      </c>
      <c r="E1440" s="204" t="s">
        <v>269</v>
      </c>
      <c r="F1440" s="129" t="s">
        <v>1138</v>
      </c>
      <c r="G1440" s="152">
        <v>-10000</v>
      </c>
      <c r="H1440" s="142"/>
    </row>
    <row r="1441" spans="1:8" ht="15.6" x14ac:dyDescent="0.3">
      <c r="A1441" s="127">
        <v>1434</v>
      </c>
      <c r="B1441" s="128">
        <v>44090</v>
      </c>
      <c r="C1441" s="129" t="s">
        <v>1716</v>
      </c>
      <c r="D1441" s="129" t="s">
        <v>1516</v>
      </c>
      <c r="E1441" s="204" t="s">
        <v>269</v>
      </c>
      <c r="F1441" s="129" t="s">
        <v>1138</v>
      </c>
      <c r="G1441" s="152">
        <v>-1000</v>
      </c>
      <c r="H1441" s="142"/>
    </row>
    <row r="1442" spans="1:8" ht="15.6" x14ac:dyDescent="0.3">
      <c r="A1442" s="127">
        <v>1435</v>
      </c>
      <c r="B1442" s="128">
        <v>44093</v>
      </c>
      <c r="C1442" s="129" t="s">
        <v>1715</v>
      </c>
      <c r="D1442" s="129" t="s">
        <v>1533</v>
      </c>
      <c r="E1442" s="204" t="s">
        <v>269</v>
      </c>
      <c r="F1442" s="129" t="s">
        <v>1138</v>
      </c>
      <c r="G1442" s="152">
        <v>-17000</v>
      </c>
      <c r="H1442" s="142"/>
    </row>
    <row r="1443" spans="1:8" ht="15.6" x14ac:dyDescent="0.3">
      <c r="A1443" s="127">
        <v>1436</v>
      </c>
      <c r="B1443" s="128">
        <v>44093</v>
      </c>
      <c r="C1443" s="129" t="s">
        <v>1803</v>
      </c>
      <c r="D1443" s="129" t="s">
        <v>1520</v>
      </c>
      <c r="E1443" s="204" t="s">
        <v>269</v>
      </c>
      <c r="F1443" s="129" t="s">
        <v>1148</v>
      </c>
      <c r="G1443" s="152">
        <v>125000</v>
      </c>
      <c r="H1443" s="142"/>
    </row>
    <row r="1444" spans="1:8" ht="15.6" x14ac:dyDescent="0.3">
      <c r="A1444" s="127">
        <v>1437</v>
      </c>
      <c r="B1444" s="128">
        <v>44093</v>
      </c>
      <c r="C1444" s="129" t="s">
        <v>1803</v>
      </c>
      <c r="D1444" s="129" t="s">
        <v>1520</v>
      </c>
      <c r="E1444" s="204" t="s">
        <v>269</v>
      </c>
      <c r="F1444" s="129" t="s">
        <v>1148</v>
      </c>
      <c r="G1444" s="152">
        <v>50000</v>
      </c>
      <c r="H1444" s="142"/>
    </row>
    <row r="1445" spans="1:8" ht="15.6" x14ac:dyDescent="0.3">
      <c r="A1445" s="127">
        <v>1438</v>
      </c>
      <c r="B1445" s="128">
        <v>44093</v>
      </c>
      <c r="C1445" s="129" t="s">
        <v>1766</v>
      </c>
      <c r="D1445" s="129" t="s">
        <v>1524</v>
      </c>
      <c r="E1445" s="204" t="s">
        <v>269</v>
      </c>
      <c r="F1445" s="129" t="s">
        <v>1138</v>
      </c>
      <c r="G1445" s="152">
        <v>-50000</v>
      </c>
      <c r="H1445" s="142"/>
    </row>
    <row r="1446" spans="1:8" ht="15.6" x14ac:dyDescent="0.3">
      <c r="A1446" s="127">
        <v>1439</v>
      </c>
      <c r="B1446" s="128">
        <v>44093</v>
      </c>
      <c r="C1446" s="129" t="s">
        <v>1724</v>
      </c>
      <c r="D1446" s="129" t="s">
        <v>1526</v>
      </c>
      <c r="E1446" s="204" t="s">
        <v>269</v>
      </c>
      <c r="F1446" s="129" t="s">
        <v>1138</v>
      </c>
      <c r="G1446" s="152">
        <v>-35000</v>
      </c>
      <c r="H1446" s="142"/>
    </row>
    <row r="1447" spans="1:8" ht="15.6" x14ac:dyDescent="0.3">
      <c r="A1447" s="127">
        <v>1440</v>
      </c>
      <c r="B1447" s="128">
        <v>44093</v>
      </c>
      <c r="C1447" s="129" t="s">
        <v>1818</v>
      </c>
      <c r="D1447" s="129" t="s">
        <v>1516</v>
      </c>
      <c r="E1447" s="204" t="s">
        <v>269</v>
      </c>
      <c r="F1447" s="129" t="s">
        <v>1138</v>
      </c>
      <c r="G1447" s="152">
        <v>-1800</v>
      </c>
      <c r="H1447" s="142"/>
    </row>
    <row r="1448" spans="1:8" ht="15.6" x14ac:dyDescent="0.3">
      <c r="A1448" s="127">
        <v>1441</v>
      </c>
      <c r="B1448" s="128">
        <v>44095</v>
      </c>
      <c r="C1448" s="129" t="s">
        <v>42</v>
      </c>
      <c r="D1448" s="129" t="s">
        <v>1521</v>
      </c>
      <c r="E1448" s="204" t="s">
        <v>269</v>
      </c>
      <c r="F1448" s="129" t="s">
        <v>1138</v>
      </c>
      <c r="G1448" s="152">
        <v>-100</v>
      </c>
      <c r="H1448" s="142"/>
    </row>
    <row r="1449" spans="1:8" ht="15.6" x14ac:dyDescent="0.3">
      <c r="A1449" s="127">
        <v>1442</v>
      </c>
      <c r="B1449" s="128">
        <v>44095</v>
      </c>
      <c r="C1449" s="129" t="s">
        <v>1801</v>
      </c>
      <c r="D1449" s="129" t="s">
        <v>1521</v>
      </c>
      <c r="E1449" s="204" t="s">
        <v>269</v>
      </c>
      <c r="F1449" s="129" t="s">
        <v>1138</v>
      </c>
      <c r="G1449" s="152">
        <v>-100</v>
      </c>
      <c r="H1449" s="142"/>
    </row>
    <row r="1450" spans="1:8" ht="15.6" x14ac:dyDescent="0.3">
      <c r="A1450" s="127">
        <v>1443</v>
      </c>
      <c r="B1450" s="128">
        <v>44097</v>
      </c>
      <c r="C1450" s="129" t="s">
        <v>1715</v>
      </c>
      <c r="D1450" s="129" t="s">
        <v>1533</v>
      </c>
      <c r="E1450" s="204" t="s">
        <v>269</v>
      </c>
      <c r="F1450" s="129" t="s">
        <v>1138</v>
      </c>
      <c r="G1450" s="152">
        <v>-3000</v>
      </c>
      <c r="H1450" s="142"/>
    </row>
    <row r="1451" spans="1:8" ht="15.6" x14ac:dyDescent="0.3">
      <c r="A1451" s="127">
        <v>1444</v>
      </c>
      <c r="B1451" s="128">
        <v>44098</v>
      </c>
      <c r="C1451" s="129" t="s">
        <v>113</v>
      </c>
      <c r="D1451" s="129" t="s">
        <v>1529</v>
      </c>
      <c r="E1451" s="204" t="s">
        <v>269</v>
      </c>
      <c r="F1451" s="129" t="s">
        <v>1138</v>
      </c>
      <c r="G1451" s="152">
        <v>-15000</v>
      </c>
      <c r="H1451" s="142"/>
    </row>
    <row r="1452" spans="1:8" ht="15.6" x14ac:dyDescent="0.3">
      <c r="A1452" s="127">
        <v>1445</v>
      </c>
      <c r="B1452" s="128">
        <v>44099</v>
      </c>
      <c r="C1452" s="129" t="s">
        <v>1819</v>
      </c>
      <c r="D1452" s="129" t="s">
        <v>1517</v>
      </c>
      <c r="E1452" s="204" t="s">
        <v>269</v>
      </c>
      <c r="F1452" s="129" t="s">
        <v>1138</v>
      </c>
      <c r="G1452" s="152">
        <v>-60000</v>
      </c>
      <c r="H1452" s="142"/>
    </row>
    <row r="1453" spans="1:8" ht="15.6" x14ac:dyDescent="0.3">
      <c r="A1453" s="127">
        <v>1446</v>
      </c>
      <c r="B1453" s="128">
        <v>44100</v>
      </c>
      <c r="C1453" s="129" t="s">
        <v>1803</v>
      </c>
      <c r="D1453" s="129" t="s">
        <v>1520</v>
      </c>
      <c r="E1453" s="204" t="s">
        <v>269</v>
      </c>
      <c r="F1453" s="129" t="s">
        <v>1148</v>
      </c>
      <c r="G1453" s="152">
        <v>50000</v>
      </c>
      <c r="H1453" s="142"/>
    </row>
    <row r="1454" spans="1:8" ht="15.6" x14ac:dyDescent="0.3">
      <c r="A1454" s="127">
        <v>1447</v>
      </c>
      <c r="B1454" s="128">
        <v>44100</v>
      </c>
      <c r="C1454" s="129" t="s">
        <v>1724</v>
      </c>
      <c r="D1454" s="129" t="s">
        <v>1526</v>
      </c>
      <c r="E1454" s="204" t="s">
        <v>269</v>
      </c>
      <c r="F1454" s="129" t="s">
        <v>1138</v>
      </c>
      <c r="G1454" s="152">
        <v>-20000</v>
      </c>
      <c r="H1454" s="142"/>
    </row>
    <row r="1455" spans="1:8" ht="15.6" x14ac:dyDescent="0.3">
      <c r="A1455" s="127">
        <v>1448</v>
      </c>
      <c r="B1455" s="128">
        <v>44100</v>
      </c>
      <c r="C1455" s="129" t="s">
        <v>1715</v>
      </c>
      <c r="D1455" s="129" t="s">
        <v>1533</v>
      </c>
      <c r="E1455" s="204" t="s">
        <v>269</v>
      </c>
      <c r="F1455" s="129" t="s">
        <v>1138</v>
      </c>
      <c r="G1455" s="152">
        <v>-2000</v>
      </c>
      <c r="H1455" s="142"/>
    </row>
    <row r="1456" spans="1:8" ht="15.6" x14ac:dyDescent="0.3">
      <c r="A1456" s="127">
        <v>1449</v>
      </c>
      <c r="B1456" s="128">
        <v>44101</v>
      </c>
      <c r="C1456" s="129" t="s">
        <v>1806</v>
      </c>
      <c r="D1456" s="129" t="s">
        <v>1807</v>
      </c>
      <c r="E1456" s="204" t="s">
        <v>269</v>
      </c>
      <c r="F1456" s="129" t="s">
        <v>1138</v>
      </c>
      <c r="G1456" s="152">
        <v>-20000</v>
      </c>
      <c r="H1456" s="142"/>
    </row>
    <row r="1457" spans="1:8" ht="15.6" x14ac:dyDescent="0.3">
      <c r="A1457" s="127">
        <v>1450</v>
      </c>
      <c r="B1457" s="128">
        <v>44101</v>
      </c>
      <c r="C1457" s="129" t="s">
        <v>1715</v>
      </c>
      <c r="D1457" s="129" t="s">
        <v>1533</v>
      </c>
      <c r="E1457" s="204" t="s">
        <v>269</v>
      </c>
      <c r="F1457" s="129" t="s">
        <v>1138</v>
      </c>
      <c r="G1457" s="152">
        <v>-1000</v>
      </c>
      <c r="H1457" s="142"/>
    </row>
    <row r="1458" spans="1:8" ht="15.6" x14ac:dyDescent="0.3">
      <c r="A1458" s="127">
        <v>1451</v>
      </c>
      <c r="B1458" s="128">
        <v>44103</v>
      </c>
      <c r="C1458" s="129" t="s">
        <v>1724</v>
      </c>
      <c r="D1458" s="129" t="s">
        <v>1526</v>
      </c>
      <c r="E1458" s="204" t="s">
        <v>269</v>
      </c>
      <c r="F1458" s="129" t="s">
        <v>1138</v>
      </c>
      <c r="G1458" s="152">
        <v>-12000</v>
      </c>
      <c r="H1458" s="142"/>
    </row>
    <row r="1459" spans="1:8" ht="15.6" x14ac:dyDescent="0.3">
      <c r="A1459" s="127">
        <v>1452</v>
      </c>
      <c r="B1459" s="128">
        <v>44103</v>
      </c>
      <c r="C1459" s="129" t="s">
        <v>1715</v>
      </c>
      <c r="D1459" s="129" t="s">
        <v>1533</v>
      </c>
      <c r="E1459" s="204" t="s">
        <v>269</v>
      </c>
      <c r="F1459" s="129" t="s">
        <v>1138</v>
      </c>
      <c r="G1459" s="152">
        <v>-2000</v>
      </c>
      <c r="H1459" s="142"/>
    </row>
    <row r="1460" spans="1:8" ht="15.6" x14ac:dyDescent="0.3">
      <c r="A1460" s="127">
        <v>1453</v>
      </c>
      <c r="B1460" s="128">
        <v>44103</v>
      </c>
      <c r="C1460" s="129" t="s">
        <v>1814</v>
      </c>
      <c r="D1460" s="129" t="s">
        <v>1516</v>
      </c>
      <c r="E1460" s="204" t="s">
        <v>269</v>
      </c>
      <c r="F1460" s="129" t="s">
        <v>1138</v>
      </c>
      <c r="G1460" s="152">
        <v>-3600</v>
      </c>
      <c r="H1460" s="142"/>
    </row>
    <row r="1461" spans="1:8" ht="15.6" x14ac:dyDescent="0.3">
      <c r="A1461" s="127">
        <v>1454</v>
      </c>
      <c r="B1461" s="128">
        <v>44103</v>
      </c>
      <c r="C1461" s="129" t="s">
        <v>1801</v>
      </c>
      <c r="D1461" s="129" t="s">
        <v>1521</v>
      </c>
      <c r="E1461" s="204" t="s">
        <v>269</v>
      </c>
      <c r="F1461" s="129" t="s">
        <v>1138</v>
      </c>
      <c r="G1461" s="152">
        <v>-120</v>
      </c>
      <c r="H1461" s="142"/>
    </row>
    <row r="1462" spans="1:8" ht="15.6" x14ac:dyDescent="0.3">
      <c r="A1462" s="127">
        <v>1455</v>
      </c>
      <c r="B1462" s="128">
        <v>44103</v>
      </c>
      <c r="C1462" s="129" t="s">
        <v>42</v>
      </c>
      <c r="D1462" s="129" t="s">
        <v>1521</v>
      </c>
      <c r="E1462" s="204" t="s">
        <v>269</v>
      </c>
      <c r="F1462" s="129" t="s">
        <v>1138</v>
      </c>
      <c r="G1462" s="152">
        <v>-100</v>
      </c>
      <c r="H1462" s="142"/>
    </row>
    <row r="1463" spans="1:8" ht="15.6" x14ac:dyDescent="0.3">
      <c r="A1463" s="127">
        <v>1456</v>
      </c>
      <c r="B1463" s="128">
        <v>44104</v>
      </c>
      <c r="C1463" s="129" t="s">
        <v>1824</v>
      </c>
      <c r="D1463" s="129" t="s">
        <v>1516</v>
      </c>
      <c r="E1463" s="204" t="s">
        <v>269</v>
      </c>
      <c r="F1463" s="129" t="s">
        <v>1138</v>
      </c>
      <c r="G1463" s="152">
        <v>-9850</v>
      </c>
      <c r="H1463" s="142"/>
    </row>
    <row r="1464" spans="1:8" ht="15.6" x14ac:dyDescent="0.3">
      <c r="A1464" s="127">
        <v>1458</v>
      </c>
      <c r="B1464" s="128">
        <v>44104</v>
      </c>
      <c r="C1464" s="129" t="s">
        <v>1803</v>
      </c>
      <c r="D1464" s="129" t="s">
        <v>1520</v>
      </c>
      <c r="E1464" s="204" t="s">
        <v>269</v>
      </c>
      <c r="F1464" s="129" t="s">
        <v>1148</v>
      </c>
      <c r="G1464" s="152">
        <v>16000</v>
      </c>
      <c r="H1464" s="142"/>
    </row>
    <row r="1465" spans="1:8" ht="15.6" x14ac:dyDescent="0.3">
      <c r="A1465" s="127">
        <v>1459</v>
      </c>
      <c r="B1465" s="128">
        <v>44104</v>
      </c>
      <c r="C1465" s="129" t="s">
        <v>42</v>
      </c>
      <c r="D1465" s="129" t="s">
        <v>1521</v>
      </c>
      <c r="E1465" s="204" t="s">
        <v>269</v>
      </c>
      <c r="F1465" s="129" t="s">
        <v>1138</v>
      </c>
      <c r="G1465" s="152">
        <v>-100</v>
      </c>
      <c r="H1465" s="142"/>
    </row>
    <row r="1466" spans="1:8" ht="15.6" x14ac:dyDescent="0.3">
      <c r="A1466" s="127">
        <v>1460</v>
      </c>
      <c r="B1466" s="128">
        <v>44105</v>
      </c>
      <c r="C1466" s="129" t="s">
        <v>1803</v>
      </c>
      <c r="D1466" s="129" t="s">
        <v>1520</v>
      </c>
      <c r="E1466" s="204" t="s">
        <v>269</v>
      </c>
      <c r="F1466" s="129" t="s">
        <v>1148</v>
      </c>
      <c r="G1466" s="152">
        <v>50000</v>
      </c>
      <c r="H1466" s="142"/>
    </row>
    <row r="1467" spans="1:8" ht="15.6" x14ac:dyDescent="0.3">
      <c r="A1467" s="127">
        <v>1461</v>
      </c>
      <c r="B1467" s="128">
        <v>44105</v>
      </c>
      <c r="C1467" s="129" t="s">
        <v>1724</v>
      </c>
      <c r="D1467" s="129" t="s">
        <v>1526</v>
      </c>
      <c r="E1467" s="204" t="s">
        <v>269</v>
      </c>
      <c r="F1467" s="129" t="s">
        <v>1138</v>
      </c>
      <c r="G1467" s="152">
        <v>-10000</v>
      </c>
      <c r="H1467" s="142"/>
    </row>
    <row r="1468" spans="1:8" ht="15.6" x14ac:dyDescent="0.3">
      <c r="A1468" s="127">
        <v>1462</v>
      </c>
      <c r="B1468" s="128">
        <v>44106</v>
      </c>
      <c r="C1468" s="129" t="s">
        <v>1715</v>
      </c>
      <c r="D1468" s="129" t="s">
        <v>1533</v>
      </c>
      <c r="E1468" s="204" t="s">
        <v>269</v>
      </c>
      <c r="F1468" s="129" t="s">
        <v>1138</v>
      </c>
      <c r="G1468" s="152">
        <v>-2000</v>
      </c>
      <c r="H1468" s="142"/>
    </row>
    <row r="1469" spans="1:8" ht="15.6" x14ac:dyDescent="0.3">
      <c r="A1469" s="127">
        <v>1463</v>
      </c>
      <c r="B1469" s="128">
        <v>44109</v>
      </c>
      <c r="C1469" s="129" t="s">
        <v>1715</v>
      </c>
      <c r="D1469" s="129" t="s">
        <v>1533</v>
      </c>
      <c r="E1469" s="204" t="s">
        <v>269</v>
      </c>
      <c r="F1469" s="129" t="s">
        <v>1138</v>
      </c>
      <c r="G1469" s="152">
        <v>-2000</v>
      </c>
      <c r="H1469" s="142"/>
    </row>
    <row r="1470" spans="1:8" ht="15.6" x14ac:dyDescent="0.3">
      <c r="A1470" s="127">
        <v>1464</v>
      </c>
      <c r="B1470" s="128">
        <v>44109</v>
      </c>
      <c r="C1470" s="129" t="s">
        <v>1724</v>
      </c>
      <c r="D1470" s="129" t="s">
        <v>1526</v>
      </c>
      <c r="E1470" s="204" t="s">
        <v>269</v>
      </c>
      <c r="F1470" s="129" t="s">
        <v>1138</v>
      </c>
      <c r="G1470" s="152">
        <v>-5000</v>
      </c>
      <c r="H1470" s="142"/>
    </row>
    <row r="1471" spans="1:8" ht="15.6" x14ac:dyDescent="0.3">
      <c r="A1471" s="127">
        <v>1465</v>
      </c>
      <c r="B1471" s="128">
        <v>44111</v>
      </c>
      <c r="C1471" s="129" t="s">
        <v>1715</v>
      </c>
      <c r="D1471" s="129" t="s">
        <v>1533</v>
      </c>
      <c r="E1471" s="204" t="s">
        <v>269</v>
      </c>
      <c r="F1471" s="129" t="s">
        <v>1138</v>
      </c>
      <c r="G1471" s="152">
        <v>-22000</v>
      </c>
      <c r="H1471" s="142"/>
    </row>
    <row r="1472" spans="1:8" ht="15.6" x14ac:dyDescent="0.3">
      <c r="A1472" s="127">
        <v>1468</v>
      </c>
      <c r="B1472" s="128">
        <v>44113</v>
      </c>
      <c r="C1472" s="129" t="s">
        <v>1724</v>
      </c>
      <c r="D1472" s="129" t="s">
        <v>1526</v>
      </c>
      <c r="E1472" s="204" t="s">
        <v>269</v>
      </c>
      <c r="F1472" s="129" t="s">
        <v>1138</v>
      </c>
      <c r="G1472" s="152">
        <v>-10000</v>
      </c>
      <c r="H1472" s="142"/>
    </row>
    <row r="1473" spans="1:8" ht="15.6" x14ac:dyDescent="0.3">
      <c r="A1473" s="127">
        <v>1469</v>
      </c>
      <c r="B1473" s="128">
        <v>44114</v>
      </c>
      <c r="C1473" s="129" t="s">
        <v>1715</v>
      </c>
      <c r="D1473" s="129" t="s">
        <v>1533</v>
      </c>
      <c r="E1473" s="204" t="s">
        <v>269</v>
      </c>
      <c r="F1473" s="129" t="s">
        <v>1138</v>
      </c>
      <c r="G1473" s="152">
        <v>-6000</v>
      </c>
      <c r="H1473" s="142"/>
    </row>
    <row r="1474" spans="1:8" ht="15.6" x14ac:dyDescent="0.3">
      <c r="A1474" s="127">
        <v>1470</v>
      </c>
      <c r="B1474" s="128">
        <v>44114</v>
      </c>
      <c r="C1474" s="129" t="s">
        <v>1820</v>
      </c>
      <c r="D1474" s="129" t="s">
        <v>1521</v>
      </c>
      <c r="E1474" s="204" t="s">
        <v>269</v>
      </c>
      <c r="F1474" s="129" t="s">
        <v>1138</v>
      </c>
      <c r="G1474" s="152">
        <v>-1700</v>
      </c>
      <c r="H1474" s="142"/>
    </row>
    <row r="1475" spans="1:8" ht="15.6" x14ac:dyDescent="0.3">
      <c r="A1475" s="127">
        <v>1471</v>
      </c>
      <c r="B1475" s="128">
        <v>44115</v>
      </c>
      <c r="C1475" s="129" t="s">
        <v>1803</v>
      </c>
      <c r="D1475" s="129" t="s">
        <v>1520</v>
      </c>
      <c r="E1475" s="204" t="s">
        <v>269</v>
      </c>
      <c r="F1475" s="129" t="s">
        <v>1148</v>
      </c>
      <c r="G1475" s="152">
        <v>200000</v>
      </c>
      <c r="H1475" s="142"/>
    </row>
    <row r="1476" spans="1:8" ht="15.6" x14ac:dyDescent="0.3">
      <c r="A1476" s="127">
        <v>1472</v>
      </c>
      <c r="B1476" s="128">
        <v>44115</v>
      </c>
      <c r="C1476" s="129" t="s">
        <v>1821</v>
      </c>
      <c r="D1476" s="129" t="s">
        <v>1520</v>
      </c>
      <c r="E1476" s="204" t="s">
        <v>269</v>
      </c>
      <c r="F1476" s="129" t="s">
        <v>1148</v>
      </c>
      <c r="G1476" s="152">
        <v>60000</v>
      </c>
      <c r="H1476" s="142"/>
    </row>
    <row r="1477" spans="1:8" ht="15.6" x14ac:dyDescent="0.3">
      <c r="A1477" s="127">
        <v>1473</v>
      </c>
      <c r="B1477" s="128">
        <v>44115</v>
      </c>
      <c r="C1477" s="129" t="s">
        <v>1724</v>
      </c>
      <c r="D1477" s="129" t="s">
        <v>1526</v>
      </c>
      <c r="E1477" s="204" t="s">
        <v>269</v>
      </c>
      <c r="F1477" s="129" t="s">
        <v>1138</v>
      </c>
      <c r="G1477" s="152">
        <v>-30000</v>
      </c>
      <c r="H1477" s="142"/>
    </row>
    <row r="1478" spans="1:8" ht="15.6" x14ac:dyDescent="0.3">
      <c r="A1478" s="127">
        <v>1474</v>
      </c>
      <c r="B1478" s="128">
        <v>44116</v>
      </c>
      <c r="C1478" s="129" t="s">
        <v>1715</v>
      </c>
      <c r="D1478" s="129" t="s">
        <v>1533</v>
      </c>
      <c r="E1478" s="204" t="s">
        <v>269</v>
      </c>
      <c r="F1478" s="129" t="s">
        <v>1138</v>
      </c>
      <c r="G1478" s="152">
        <v>-2500</v>
      </c>
      <c r="H1478" s="142"/>
    </row>
    <row r="1479" spans="1:8" ht="15.6" x14ac:dyDescent="0.3">
      <c r="A1479" s="127">
        <v>1475</v>
      </c>
      <c r="B1479" s="128">
        <v>44117</v>
      </c>
      <c r="C1479" s="129" t="s">
        <v>1766</v>
      </c>
      <c r="D1479" s="129" t="s">
        <v>1524</v>
      </c>
      <c r="E1479" s="204" t="s">
        <v>269</v>
      </c>
      <c r="F1479" s="129" t="s">
        <v>1138</v>
      </c>
      <c r="G1479" s="152">
        <v>-20000</v>
      </c>
      <c r="H1479" s="142"/>
    </row>
    <row r="1480" spans="1:8" ht="15.6" x14ac:dyDescent="0.3">
      <c r="A1480" s="127">
        <v>1476</v>
      </c>
      <c r="B1480" s="128">
        <v>44117</v>
      </c>
      <c r="C1480" s="129" t="s">
        <v>1715</v>
      </c>
      <c r="D1480" s="129" t="s">
        <v>1533</v>
      </c>
      <c r="E1480" s="204" t="s">
        <v>269</v>
      </c>
      <c r="F1480" s="129" t="s">
        <v>1138</v>
      </c>
      <c r="G1480" s="152">
        <v>-2500</v>
      </c>
      <c r="H1480" s="142"/>
    </row>
    <row r="1481" spans="1:8" ht="15.6" x14ac:dyDescent="0.3">
      <c r="A1481" s="127">
        <v>1477</v>
      </c>
      <c r="B1481" s="128">
        <v>44118</v>
      </c>
      <c r="C1481" s="129" t="s">
        <v>1803</v>
      </c>
      <c r="D1481" s="129" t="s">
        <v>1520</v>
      </c>
      <c r="E1481" s="204" t="s">
        <v>269</v>
      </c>
      <c r="F1481" s="129" t="s">
        <v>1148</v>
      </c>
      <c r="G1481" s="152">
        <v>25000</v>
      </c>
      <c r="H1481" s="142"/>
    </row>
    <row r="1482" spans="1:8" ht="15.6" x14ac:dyDescent="0.3">
      <c r="A1482" s="127">
        <v>1478</v>
      </c>
      <c r="B1482" s="128">
        <v>44118</v>
      </c>
      <c r="C1482" s="129" t="s">
        <v>1724</v>
      </c>
      <c r="D1482" s="129" t="s">
        <v>1526</v>
      </c>
      <c r="E1482" s="204" t="s">
        <v>269</v>
      </c>
      <c r="F1482" s="129" t="s">
        <v>1138</v>
      </c>
      <c r="G1482" s="152">
        <v>-25000</v>
      </c>
      <c r="H1482" s="142"/>
    </row>
    <row r="1483" spans="1:8" ht="15.6" x14ac:dyDescent="0.3">
      <c r="A1483" s="127">
        <v>1479</v>
      </c>
      <c r="B1483" s="128">
        <v>44118</v>
      </c>
      <c r="C1483" s="129" t="s">
        <v>1715</v>
      </c>
      <c r="D1483" s="129" t="s">
        <v>1533</v>
      </c>
      <c r="E1483" s="204" t="s">
        <v>269</v>
      </c>
      <c r="F1483" s="129" t="s">
        <v>1138</v>
      </c>
      <c r="G1483" s="152">
        <v>-2000</v>
      </c>
      <c r="H1483" s="142"/>
    </row>
    <row r="1484" spans="1:8" ht="15.6" x14ac:dyDescent="0.3">
      <c r="A1484" s="127">
        <v>1480</v>
      </c>
      <c r="B1484" s="128">
        <v>44119</v>
      </c>
      <c r="C1484" s="129" t="s">
        <v>1715</v>
      </c>
      <c r="D1484" s="129" t="s">
        <v>1533</v>
      </c>
      <c r="E1484" s="204" t="s">
        <v>269</v>
      </c>
      <c r="F1484" s="129" t="s">
        <v>1138</v>
      </c>
      <c r="G1484" s="152">
        <v>-2000</v>
      </c>
      <c r="H1484" s="142"/>
    </row>
    <row r="1485" spans="1:8" ht="15.6" x14ac:dyDescent="0.3">
      <c r="A1485" s="127">
        <v>1481</v>
      </c>
      <c r="B1485" s="128">
        <v>44119</v>
      </c>
      <c r="C1485" s="129" t="s">
        <v>1797</v>
      </c>
      <c r="D1485" s="129" t="s">
        <v>1520</v>
      </c>
      <c r="E1485" s="204" t="s">
        <v>269</v>
      </c>
      <c r="F1485" s="129" t="s">
        <v>1148</v>
      </c>
      <c r="G1485" s="152">
        <v>200000</v>
      </c>
      <c r="H1485" s="142"/>
    </row>
    <row r="1486" spans="1:8" ht="15.6" x14ac:dyDescent="0.3">
      <c r="A1486" s="127">
        <v>1482</v>
      </c>
      <c r="B1486" s="128">
        <v>44119</v>
      </c>
      <c r="C1486" s="129" t="s">
        <v>1797</v>
      </c>
      <c r="D1486" s="129" t="s">
        <v>1520</v>
      </c>
      <c r="E1486" s="204" t="s">
        <v>269</v>
      </c>
      <c r="F1486" s="129" t="s">
        <v>1148</v>
      </c>
      <c r="G1486" s="152">
        <v>100000</v>
      </c>
      <c r="H1486" s="142"/>
    </row>
    <row r="1487" spans="1:8" ht="15.6" x14ac:dyDescent="0.3">
      <c r="A1487" s="127">
        <v>1483</v>
      </c>
      <c r="B1487" s="128">
        <v>44119</v>
      </c>
      <c r="C1487" s="129" t="s">
        <v>1822</v>
      </c>
      <c r="D1487" s="129"/>
      <c r="E1487" s="204"/>
      <c r="F1487" s="129"/>
      <c r="G1487" s="152">
        <v>-200000</v>
      </c>
      <c r="H1487" s="142"/>
    </row>
    <row r="1488" spans="1:8" ht="15.6" x14ac:dyDescent="0.3">
      <c r="A1488" s="127">
        <v>1484</v>
      </c>
      <c r="B1488" s="128">
        <v>44121</v>
      </c>
      <c r="C1488" s="129" t="s">
        <v>1715</v>
      </c>
      <c r="D1488" s="129" t="s">
        <v>1533</v>
      </c>
      <c r="E1488" s="204" t="s">
        <v>269</v>
      </c>
      <c r="F1488" s="129" t="s">
        <v>1138</v>
      </c>
      <c r="G1488" s="152">
        <v>-5000</v>
      </c>
      <c r="H1488" s="142"/>
    </row>
    <row r="1489" spans="1:8" ht="15.6" x14ac:dyDescent="0.3">
      <c r="A1489" s="127">
        <v>1485</v>
      </c>
      <c r="B1489" s="128">
        <v>44123</v>
      </c>
      <c r="C1489" s="129" t="s">
        <v>1715</v>
      </c>
      <c r="D1489" s="129" t="s">
        <v>1533</v>
      </c>
      <c r="E1489" s="204" t="s">
        <v>269</v>
      </c>
      <c r="F1489" s="129" t="s">
        <v>1138</v>
      </c>
      <c r="G1489" s="152">
        <v>-15000</v>
      </c>
      <c r="H1489" s="142"/>
    </row>
    <row r="1490" spans="1:8" ht="15.6" x14ac:dyDescent="0.3">
      <c r="A1490" s="127">
        <v>1486</v>
      </c>
      <c r="B1490" s="128">
        <v>44123</v>
      </c>
      <c r="C1490" s="129" t="s">
        <v>113</v>
      </c>
      <c r="D1490" s="129" t="s">
        <v>1529</v>
      </c>
      <c r="E1490" s="204" t="s">
        <v>269</v>
      </c>
      <c r="F1490" s="129" t="s">
        <v>1138</v>
      </c>
      <c r="G1490" s="152">
        <v>-25000</v>
      </c>
      <c r="H1490" s="142"/>
    </row>
    <row r="1491" spans="1:8" ht="15.6" x14ac:dyDescent="0.3">
      <c r="A1491" s="127">
        <v>1487</v>
      </c>
      <c r="B1491" s="128">
        <v>44125</v>
      </c>
      <c r="C1491" s="129" t="s">
        <v>1724</v>
      </c>
      <c r="D1491" s="129" t="s">
        <v>1526</v>
      </c>
      <c r="E1491" s="204" t="s">
        <v>269</v>
      </c>
      <c r="F1491" s="129" t="s">
        <v>1138</v>
      </c>
      <c r="G1491" s="152">
        <v>-5500</v>
      </c>
      <c r="H1491" s="142"/>
    </row>
    <row r="1492" spans="1:8" ht="15.6" x14ac:dyDescent="0.3">
      <c r="A1492" s="127">
        <v>1488</v>
      </c>
      <c r="B1492" s="128">
        <v>44125</v>
      </c>
      <c r="C1492" s="129" t="s">
        <v>1823</v>
      </c>
      <c r="D1492" s="129" t="s">
        <v>1516</v>
      </c>
      <c r="E1492" s="204" t="s">
        <v>269</v>
      </c>
      <c r="F1492" s="129" t="s">
        <v>1138</v>
      </c>
      <c r="G1492" s="152">
        <v>-34500</v>
      </c>
      <c r="H1492" s="142"/>
    </row>
    <row r="1493" spans="1:8" ht="15.6" x14ac:dyDescent="0.3">
      <c r="A1493" s="127">
        <v>1489</v>
      </c>
      <c r="B1493" s="128">
        <v>44125</v>
      </c>
      <c r="C1493" s="129" t="s">
        <v>1810</v>
      </c>
      <c r="D1493" s="129" t="s">
        <v>1521</v>
      </c>
      <c r="E1493" s="204" t="s">
        <v>269</v>
      </c>
      <c r="F1493" s="129" t="s">
        <v>1138</v>
      </c>
      <c r="G1493" s="152">
        <v>-450</v>
      </c>
      <c r="H1493" s="142"/>
    </row>
    <row r="1494" spans="1:8" ht="15.6" x14ac:dyDescent="0.3">
      <c r="A1494" s="127">
        <v>1490</v>
      </c>
      <c r="B1494" s="128">
        <v>44125</v>
      </c>
      <c r="C1494" s="129" t="s">
        <v>42</v>
      </c>
      <c r="D1494" s="129" t="s">
        <v>1521</v>
      </c>
      <c r="E1494" s="204" t="s">
        <v>269</v>
      </c>
      <c r="F1494" s="129" t="s">
        <v>1138</v>
      </c>
      <c r="G1494" s="152">
        <v>-200</v>
      </c>
      <c r="H1494" s="142"/>
    </row>
    <row r="1495" spans="1:8" ht="15.6" x14ac:dyDescent="0.3">
      <c r="A1495" s="127">
        <v>1491</v>
      </c>
      <c r="B1495" s="128">
        <v>44125</v>
      </c>
      <c r="C1495" s="129" t="s">
        <v>1715</v>
      </c>
      <c r="D1495" s="129" t="s">
        <v>1533</v>
      </c>
      <c r="E1495" s="204" t="s">
        <v>269</v>
      </c>
      <c r="F1495" s="129" t="s">
        <v>1138</v>
      </c>
      <c r="G1495" s="152">
        <v>-3000</v>
      </c>
      <c r="H1495" s="142"/>
    </row>
    <row r="1496" spans="1:8" ht="15.6" x14ac:dyDescent="0.3">
      <c r="A1496" s="127">
        <v>1492</v>
      </c>
      <c r="B1496" s="128">
        <v>44126</v>
      </c>
      <c r="C1496" s="129" t="s">
        <v>1715</v>
      </c>
      <c r="D1496" s="129" t="s">
        <v>1533</v>
      </c>
      <c r="E1496" s="204" t="s">
        <v>269</v>
      </c>
      <c r="F1496" s="129" t="s">
        <v>1138</v>
      </c>
      <c r="G1496" s="152">
        <v>-2000</v>
      </c>
      <c r="H1496" s="142"/>
    </row>
    <row r="1497" spans="1:8" ht="15.6" x14ac:dyDescent="0.3">
      <c r="A1497" s="127">
        <v>1493</v>
      </c>
      <c r="B1497" s="128">
        <v>44127</v>
      </c>
      <c r="C1497" s="129" t="s">
        <v>1715</v>
      </c>
      <c r="D1497" s="129" t="s">
        <v>1533</v>
      </c>
      <c r="E1497" s="204" t="s">
        <v>269</v>
      </c>
      <c r="F1497" s="129" t="s">
        <v>1138</v>
      </c>
      <c r="G1497" s="152">
        <v>-2500</v>
      </c>
      <c r="H1497" s="142"/>
    </row>
    <row r="1498" spans="1:8" ht="15.6" x14ac:dyDescent="0.3">
      <c r="A1498" s="127">
        <v>1494</v>
      </c>
      <c r="B1498" s="128">
        <v>44127</v>
      </c>
      <c r="C1498" s="133" t="s">
        <v>1694</v>
      </c>
      <c r="D1498" s="133" t="s">
        <v>1527</v>
      </c>
      <c r="E1498" s="206" t="s">
        <v>269</v>
      </c>
      <c r="F1498" s="129" t="s">
        <v>1138</v>
      </c>
      <c r="G1498" s="198">
        <v>-550</v>
      </c>
      <c r="H1498" s="142"/>
    </row>
    <row r="1499" spans="1:8" ht="15.6" x14ac:dyDescent="0.3">
      <c r="A1499" s="127">
        <v>1495</v>
      </c>
      <c r="B1499" s="128">
        <v>44129</v>
      </c>
      <c r="C1499" s="129" t="s">
        <v>1715</v>
      </c>
      <c r="D1499" s="129" t="s">
        <v>1533</v>
      </c>
      <c r="E1499" s="204" t="s">
        <v>269</v>
      </c>
      <c r="F1499" s="129" t="s">
        <v>1138</v>
      </c>
      <c r="G1499" s="152">
        <v>-4000</v>
      </c>
      <c r="H1499" s="142"/>
    </row>
    <row r="1500" spans="1:8" ht="15.6" x14ac:dyDescent="0.3">
      <c r="A1500" s="127">
        <v>1496</v>
      </c>
      <c r="B1500" s="128">
        <v>44130</v>
      </c>
      <c r="C1500" s="129" t="s">
        <v>1715</v>
      </c>
      <c r="D1500" s="129" t="s">
        <v>1533</v>
      </c>
      <c r="E1500" s="204" t="s">
        <v>269</v>
      </c>
      <c r="F1500" s="129" t="s">
        <v>1138</v>
      </c>
      <c r="G1500" s="152">
        <v>-2000</v>
      </c>
      <c r="H1500" s="142"/>
    </row>
    <row r="1501" spans="1:8" ht="15.6" x14ac:dyDescent="0.3">
      <c r="A1501" s="127">
        <v>1497</v>
      </c>
      <c r="B1501" s="128">
        <v>44130</v>
      </c>
      <c r="C1501" s="129" t="s">
        <v>1826</v>
      </c>
      <c r="D1501" s="129" t="s">
        <v>1521</v>
      </c>
      <c r="E1501" s="204" t="s">
        <v>269</v>
      </c>
      <c r="F1501" s="129" t="s">
        <v>1138</v>
      </c>
      <c r="G1501" s="152">
        <v>-100</v>
      </c>
      <c r="H1501" s="142"/>
    </row>
    <row r="1502" spans="1:8" ht="15.6" x14ac:dyDescent="0.3">
      <c r="A1502" s="127">
        <v>1498</v>
      </c>
      <c r="B1502" s="128">
        <v>44130</v>
      </c>
      <c r="C1502" s="129" t="s">
        <v>1825</v>
      </c>
      <c r="D1502" s="129" t="s">
        <v>1516</v>
      </c>
      <c r="E1502" s="204" t="s">
        <v>269</v>
      </c>
      <c r="F1502" s="129" t="s">
        <v>1138</v>
      </c>
      <c r="G1502" s="152">
        <v>-2000</v>
      </c>
      <c r="H1502" s="142"/>
    </row>
    <row r="1503" spans="1:8" ht="15.6" x14ac:dyDescent="0.3">
      <c r="A1503" s="127">
        <v>1499</v>
      </c>
      <c r="B1503" s="128">
        <v>44130</v>
      </c>
      <c r="C1503" s="129" t="s">
        <v>1827</v>
      </c>
      <c r="D1503" s="129" t="s">
        <v>1520</v>
      </c>
      <c r="E1503" s="204" t="s">
        <v>269</v>
      </c>
      <c r="F1503" s="129" t="s">
        <v>1148</v>
      </c>
      <c r="G1503" s="152">
        <v>50000</v>
      </c>
      <c r="H1503" s="142"/>
    </row>
    <row r="1504" spans="1:8" ht="15.6" x14ac:dyDescent="0.3">
      <c r="A1504" s="127">
        <v>1500</v>
      </c>
      <c r="B1504" s="128">
        <v>44130</v>
      </c>
      <c r="C1504" s="129" t="s">
        <v>1828</v>
      </c>
      <c r="D1504" s="129" t="s">
        <v>1517</v>
      </c>
      <c r="E1504" s="204" t="s">
        <v>269</v>
      </c>
      <c r="F1504" s="129" t="s">
        <v>1138</v>
      </c>
      <c r="G1504" s="152">
        <v>-60000</v>
      </c>
      <c r="H1504" s="142"/>
    </row>
    <row r="1505" spans="1:10" ht="15.6" x14ac:dyDescent="0.3">
      <c r="A1505" s="127">
        <v>1501</v>
      </c>
      <c r="B1505" s="128">
        <v>44131</v>
      </c>
      <c r="C1505" s="129" t="s">
        <v>1724</v>
      </c>
      <c r="D1505" s="129" t="s">
        <v>1526</v>
      </c>
      <c r="E1505" s="204" t="s">
        <v>269</v>
      </c>
      <c r="F1505" s="129" t="s">
        <v>1138</v>
      </c>
      <c r="G1505" s="152">
        <v>-5000</v>
      </c>
      <c r="H1505" s="142"/>
    </row>
    <row r="1506" spans="1:10" ht="15.6" x14ac:dyDescent="0.3">
      <c r="A1506" s="127">
        <v>1502</v>
      </c>
      <c r="B1506" s="128">
        <v>44131</v>
      </c>
      <c r="C1506" s="129" t="s">
        <v>1715</v>
      </c>
      <c r="D1506" s="129" t="s">
        <v>1533</v>
      </c>
      <c r="E1506" s="204" t="s">
        <v>269</v>
      </c>
      <c r="F1506" s="129" t="s">
        <v>1138</v>
      </c>
      <c r="G1506" s="152">
        <v>-20000</v>
      </c>
      <c r="H1506" s="142"/>
    </row>
    <row r="1507" spans="1:10" ht="15.6" x14ac:dyDescent="0.3">
      <c r="A1507" s="127">
        <v>1503</v>
      </c>
      <c r="B1507" s="128">
        <v>44132</v>
      </c>
      <c r="C1507" s="129" t="s">
        <v>1766</v>
      </c>
      <c r="D1507" s="129" t="s">
        <v>1524</v>
      </c>
      <c r="E1507" s="204" t="s">
        <v>269</v>
      </c>
      <c r="F1507" s="129" t="s">
        <v>1138</v>
      </c>
      <c r="G1507" s="152">
        <v>-10000</v>
      </c>
      <c r="H1507" s="142"/>
    </row>
    <row r="1508" spans="1:10" ht="15.6" x14ac:dyDescent="0.3">
      <c r="A1508" s="127">
        <v>1504</v>
      </c>
      <c r="B1508" s="128">
        <v>44133</v>
      </c>
      <c r="C1508" s="129" t="s">
        <v>1827</v>
      </c>
      <c r="D1508" s="129" t="s">
        <v>1520</v>
      </c>
      <c r="E1508" s="204" t="s">
        <v>269</v>
      </c>
      <c r="F1508" s="129" t="s">
        <v>1148</v>
      </c>
      <c r="G1508" s="152">
        <v>40000</v>
      </c>
      <c r="H1508" s="142"/>
    </row>
    <row r="1509" spans="1:10" ht="15.6" x14ac:dyDescent="0.3">
      <c r="A1509" s="127">
        <v>1505</v>
      </c>
      <c r="B1509" s="128">
        <v>44133</v>
      </c>
      <c r="C1509" s="129" t="s">
        <v>1724</v>
      </c>
      <c r="D1509" s="129" t="s">
        <v>1526</v>
      </c>
      <c r="E1509" s="204" t="s">
        <v>269</v>
      </c>
      <c r="F1509" s="129" t="s">
        <v>1138</v>
      </c>
      <c r="G1509" s="152">
        <v>-20000</v>
      </c>
      <c r="H1509" s="142"/>
    </row>
    <row r="1510" spans="1:10" ht="15.6" x14ac:dyDescent="0.3">
      <c r="A1510" s="127">
        <v>1506</v>
      </c>
      <c r="B1510" s="128">
        <v>44133</v>
      </c>
      <c r="C1510" s="129" t="s">
        <v>1829</v>
      </c>
      <c r="D1510" s="129" t="s">
        <v>1521</v>
      </c>
      <c r="E1510" s="204" t="s">
        <v>269</v>
      </c>
      <c r="F1510" s="129" t="s">
        <v>1138</v>
      </c>
      <c r="G1510" s="152">
        <v>-150</v>
      </c>
      <c r="H1510" s="142"/>
    </row>
    <row r="1511" spans="1:10" ht="15.6" x14ac:dyDescent="0.3">
      <c r="A1511" s="127">
        <v>1507</v>
      </c>
      <c r="B1511" s="128">
        <v>44133</v>
      </c>
      <c r="C1511" s="129" t="s">
        <v>1830</v>
      </c>
      <c r="D1511" s="129" t="s">
        <v>1521</v>
      </c>
      <c r="E1511" s="204" t="s">
        <v>269</v>
      </c>
      <c r="F1511" s="129" t="s">
        <v>1138</v>
      </c>
      <c r="G1511" s="152">
        <v>-1500</v>
      </c>
      <c r="H1511" s="142"/>
    </row>
    <row r="1512" spans="1:10" ht="15.6" x14ac:dyDescent="0.3">
      <c r="A1512" s="127">
        <v>1508</v>
      </c>
      <c r="B1512" s="128">
        <v>44135</v>
      </c>
      <c r="C1512" s="129" t="s">
        <v>1806</v>
      </c>
      <c r="D1512" s="129" t="s">
        <v>1807</v>
      </c>
      <c r="E1512" s="204" t="s">
        <v>269</v>
      </c>
      <c r="F1512" s="129" t="s">
        <v>1138</v>
      </c>
      <c r="G1512" s="152">
        <v>-4600</v>
      </c>
      <c r="H1512" s="142"/>
    </row>
    <row r="1513" spans="1:10" ht="15.6" x14ac:dyDescent="0.3">
      <c r="A1513" s="127">
        <v>1509</v>
      </c>
      <c r="B1513" s="128">
        <v>44135</v>
      </c>
      <c r="C1513" s="129" t="s">
        <v>42</v>
      </c>
      <c r="D1513" s="129" t="s">
        <v>1521</v>
      </c>
      <c r="E1513" s="204" t="s">
        <v>269</v>
      </c>
      <c r="F1513" s="129" t="s">
        <v>1138</v>
      </c>
      <c r="G1513" s="152">
        <v>-150</v>
      </c>
      <c r="H1513" s="142"/>
    </row>
    <row r="1514" spans="1:10" ht="15.6" x14ac:dyDescent="0.3">
      <c r="A1514" s="127">
        <v>1510</v>
      </c>
      <c r="B1514" s="128">
        <v>44136</v>
      </c>
      <c r="C1514" s="129" t="s">
        <v>1831</v>
      </c>
      <c r="D1514" s="129" t="s">
        <v>1516</v>
      </c>
      <c r="E1514" s="204" t="s">
        <v>269</v>
      </c>
      <c r="F1514" s="129" t="s">
        <v>1138</v>
      </c>
      <c r="G1514" s="152">
        <v>-4000</v>
      </c>
      <c r="H1514" s="142"/>
    </row>
    <row r="1515" spans="1:10" ht="15.6" x14ac:dyDescent="0.3">
      <c r="A1515" s="127">
        <v>1511</v>
      </c>
      <c r="B1515" s="128">
        <v>44137</v>
      </c>
      <c r="C1515" s="129" t="s">
        <v>1715</v>
      </c>
      <c r="D1515" s="129" t="s">
        <v>1533</v>
      </c>
      <c r="E1515" s="204" t="s">
        <v>269</v>
      </c>
      <c r="F1515" s="129" t="s">
        <v>1138</v>
      </c>
      <c r="G1515" s="152">
        <v>-2200</v>
      </c>
      <c r="H1515" s="142"/>
    </row>
    <row r="1516" spans="1:10" ht="15.6" x14ac:dyDescent="0.3">
      <c r="A1516" s="127">
        <v>1512</v>
      </c>
      <c r="B1516" s="128">
        <v>44137</v>
      </c>
      <c r="C1516" s="129" t="s">
        <v>1797</v>
      </c>
      <c r="D1516" s="129" t="s">
        <v>1520</v>
      </c>
      <c r="E1516" s="204" t="s">
        <v>269</v>
      </c>
      <c r="F1516" s="129" t="s">
        <v>1148</v>
      </c>
      <c r="G1516" s="152">
        <v>100000</v>
      </c>
      <c r="H1516" s="142"/>
    </row>
    <row r="1517" spans="1:10" ht="15.6" x14ac:dyDescent="0.3">
      <c r="A1517" s="127">
        <v>1513</v>
      </c>
      <c r="B1517" s="128">
        <v>44138</v>
      </c>
      <c r="C1517" s="129" t="s">
        <v>1724</v>
      </c>
      <c r="D1517" s="129" t="s">
        <v>1526</v>
      </c>
      <c r="E1517" s="204" t="s">
        <v>269</v>
      </c>
      <c r="F1517" s="129" t="s">
        <v>1138</v>
      </c>
      <c r="G1517" s="152">
        <v>-20000</v>
      </c>
      <c r="H1517" s="142"/>
    </row>
    <row r="1518" spans="1:10" ht="15.6" x14ac:dyDescent="0.3">
      <c r="A1518" s="127">
        <v>1514</v>
      </c>
      <c r="B1518" s="128">
        <v>44138</v>
      </c>
      <c r="C1518" s="129" t="s">
        <v>1823</v>
      </c>
      <c r="D1518" s="129" t="s">
        <v>1516</v>
      </c>
      <c r="E1518" s="204" t="s">
        <v>269</v>
      </c>
      <c r="F1518" s="129" t="s">
        <v>1138</v>
      </c>
      <c r="G1518" s="152">
        <v>-6500</v>
      </c>
      <c r="H1518" s="142"/>
    </row>
    <row r="1519" spans="1:10" ht="15.6" x14ac:dyDescent="0.3">
      <c r="A1519" s="127">
        <v>1515</v>
      </c>
      <c r="B1519" s="128">
        <v>44138</v>
      </c>
      <c r="C1519" s="129" t="s">
        <v>1716</v>
      </c>
      <c r="D1519" s="129" t="s">
        <v>1516</v>
      </c>
      <c r="E1519" s="204" t="s">
        <v>269</v>
      </c>
      <c r="F1519" s="129" t="s">
        <v>1138</v>
      </c>
      <c r="G1519" s="152">
        <v>-4000</v>
      </c>
      <c r="H1519" s="142"/>
    </row>
    <row r="1520" spans="1:10" ht="15.6" x14ac:dyDescent="0.3">
      <c r="A1520" s="127">
        <v>1516</v>
      </c>
      <c r="B1520" s="128">
        <v>44138</v>
      </c>
      <c r="C1520" s="129" t="s">
        <v>1715</v>
      </c>
      <c r="D1520" s="129" t="s">
        <v>1533</v>
      </c>
      <c r="E1520" s="204" t="s">
        <v>269</v>
      </c>
      <c r="F1520" s="129" t="s">
        <v>1138</v>
      </c>
      <c r="G1520" s="152">
        <v>-2000</v>
      </c>
      <c r="H1520" s="142"/>
      <c r="J1520" s="144" t="s">
        <v>1833</v>
      </c>
    </row>
    <row r="1521" spans="1:10" ht="15.6" x14ac:dyDescent="0.3">
      <c r="A1521" s="127">
        <v>1517</v>
      </c>
      <c r="B1521" s="128">
        <v>44138</v>
      </c>
      <c r="C1521" s="133" t="s">
        <v>1554</v>
      </c>
      <c r="D1521" s="133" t="s">
        <v>1523</v>
      </c>
      <c r="E1521" s="206" t="s">
        <v>269</v>
      </c>
      <c r="F1521" s="129" t="s">
        <v>1138</v>
      </c>
      <c r="G1521" s="198">
        <v>-20000</v>
      </c>
      <c r="H1521" s="142"/>
    </row>
    <row r="1522" spans="1:10" ht="15.6" x14ac:dyDescent="0.3">
      <c r="A1522" s="127">
        <v>1518</v>
      </c>
      <c r="B1522" s="128">
        <v>44139</v>
      </c>
      <c r="C1522" s="129" t="s">
        <v>1715</v>
      </c>
      <c r="D1522" s="129" t="s">
        <v>1533</v>
      </c>
      <c r="E1522" s="204" t="s">
        <v>269</v>
      </c>
      <c r="F1522" s="129" t="s">
        <v>1138</v>
      </c>
      <c r="G1522" s="152">
        <v>-2000</v>
      </c>
      <c r="H1522" s="142"/>
    </row>
    <row r="1523" spans="1:10" ht="15.6" x14ac:dyDescent="0.3">
      <c r="A1523" s="127">
        <v>1519</v>
      </c>
      <c r="B1523" s="128">
        <v>44140</v>
      </c>
      <c r="C1523" s="129" t="s">
        <v>1715</v>
      </c>
      <c r="D1523" s="129" t="s">
        <v>1533</v>
      </c>
      <c r="E1523" s="204" t="s">
        <v>269</v>
      </c>
      <c r="F1523" s="129" t="s">
        <v>1138</v>
      </c>
      <c r="G1523" s="152">
        <v>-2000</v>
      </c>
      <c r="H1523" s="142"/>
      <c r="J1523" s="144" t="s">
        <v>1832</v>
      </c>
    </row>
    <row r="1524" spans="1:10" ht="15.6" x14ac:dyDescent="0.3">
      <c r="A1524" s="127">
        <v>1520</v>
      </c>
      <c r="B1524" s="128">
        <v>44141</v>
      </c>
      <c r="C1524" s="129" t="s">
        <v>1715</v>
      </c>
      <c r="D1524" s="129" t="s">
        <v>1533</v>
      </c>
      <c r="E1524" s="204" t="s">
        <v>269</v>
      </c>
      <c r="F1524" s="129" t="s">
        <v>1138</v>
      </c>
      <c r="G1524" s="152">
        <v>-2500</v>
      </c>
      <c r="H1524" s="142"/>
    </row>
    <row r="1525" spans="1:10" ht="15.6" x14ac:dyDescent="0.3">
      <c r="A1525" s="127">
        <v>1521</v>
      </c>
      <c r="B1525" s="128">
        <v>44142</v>
      </c>
      <c r="C1525" s="129" t="s">
        <v>1766</v>
      </c>
      <c r="D1525" s="129" t="s">
        <v>1524</v>
      </c>
      <c r="E1525" s="204" t="s">
        <v>269</v>
      </c>
      <c r="F1525" s="129" t="s">
        <v>1138</v>
      </c>
      <c r="G1525" s="152">
        <v>-10000</v>
      </c>
      <c r="H1525" s="142"/>
    </row>
    <row r="1526" spans="1:10" ht="15.6" x14ac:dyDescent="0.3">
      <c r="A1526" s="127">
        <v>1522</v>
      </c>
      <c r="B1526" s="128">
        <v>44142</v>
      </c>
      <c r="C1526" s="129" t="s">
        <v>1715</v>
      </c>
      <c r="D1526" s="129" t="s">
        <v>1533</v>
      </c>
      <c r="E1526" s="204" t="s">
        <v>269</v>
      </c>
      <c r="F1526" s="129" t="s">
        <v>1138</v>
      </c>
      <c r="G1526" s="152">
        <v>-5000</v>
      </c>
      <c r="H1526" s="142"/>
    </row>
    <row r="1527" spans="1:10" ht="15.6" x14ac:dyDescent="0.3">
      <c r="A1527" s="127">
        <v>1523</v>
      </c>
      <c r="B1527" s="128">
        <v>44146</v>
      </c>
      <c r="C1527" s="129" t="s">
        <v>1803</v>
      </c>
      <c r="D1527" s="129" t="s">
        <v>1520</v>
      </c>
      <c r="E1527" s="204" t="s">
        <v>269</v>
      </c>
      <c r="F1527" s="129" t="s">
        <v>1148</v>
      </c>
      <c r="G1527" s="152">
        <v>20000</v>
      </c>
      <c r="H1527" s="142"/>
    </row>
    <row r="1528" spans="1:10" ht="15.6" x14ac:dyDescent="0.3">
      <c r="A1528" s="127">
        <v>1524</v>
      </c>
      <c r="B1528" s="128">
        <v>44146</v>
      </c>
      <c r="C1528" s="129" t="s">
        <v>1724</v>
      </c>
      <c r="D1528" s="129" t="s">
        <v>1526</v>
      </c>
      <c r="E1528" s="204" t="s">
        <v>269</v>
      </c>
      <c r="F1528" s="129" t="s">
        <v>1138</v>
      </c>
      <c r="G1528" s="152">
        <v>-20000</v>
      </c>
      <c r="H1528" s="142"/>
    </row>
    <row r="1529" spans="1:10" ht="15.6" x14ac:dyDescent="0.3">
      <c r="A1529" s="127">
        <v>1525</v>
      </c>
      <c r="B1529" s="128">
        <v>44147</v>
      </c>
      <c r="C1529" s="129" t="s">
        <v>1716</v>
      </c>
      <c r="D1529" s="129" t="s">
        <v>1516</v>
      </c>
      <c r="E1529" s="204" t="s">
        <v>269</v>
      </c>
      <c r="F1529" s="129" t="s">
        <v>1138</v>
      </c>
      <c r="G1529" s="152">
        <v>-1000</v>
      </c>
      <c r="H1529" s="142"/>
    </row>
    <row r="1530" spans="1:10" ht="15.6" x14ac:dyDescent="0.3">
      <c r="A1530" s="127">
        <v>1526</v>
      </c>
      <c r="B1530" s="128">
        <v>44147</v>
      </c>
      <c r="C1530" s="129" t="s">
        <v>1581</v>
      </c>
      <c r="D1530" s="129" t="s">
        <v>1529</v>
      </c>
      <c r="E1530" s="206" t="s">
        <v>269</v>
      </c>
      <c r="F1530" s="129" t="s">
        <v>1138</v>
      </c>
      <c r="G1530" s="198">
        <v>-1000</v>
      </c>
      <c r="H1530" s="142"/>
    </row>
    <row r="1531" spans="1:10" ht="15.6" x14ac:dyDescent="0.3">
      <c r="A1531" s="127">
        <v>1527</v>
      </c>
      <c r="B1531" s="128">
        <v>44149</v>
      </c>
      <c r="C1531" s="129" t="s">
        <v>1766</v>
      </c>
      <c r="D1531" s="129" t="s">
        <v>1524</v>
      </c>
      <c r="E1531" s="204" t="s">
        <v>269</v>
      </c>
      <c r="F1531" s="129" t="s">
        <v>1138</v>
      </c>
      <c r="G1531" s="152">
        <v>-10000</v>
      </c>
      <c r="H1531" s="142"/>
    </row>
    <row r="1532" spans="1:10" ht="15.6" x14ac:dyDescent="0.3">
      <c r="A1532" s="127">
        <v>1528</v>
      </c>
      <c r="B1532" s="128">
        <v>44152</v>
      </c>
      <c r="C1532" s="129" t="s">
        <v>1830</v>
      </c>
      <c r="D1532" s="129" t="s">
        <v>1521</v>
      </c>
      <c r="E1532" s="204" t="s">
        <v>269</v>
      </c>
      <c r="F1532" s="129" t="s">
        <v>1138</v>
      </c>
      <c r="G1532" s="152">
        <v>-8000</v>
      </c>
      <c r="H1532" s="142"/>
    </row>
    <row r="1533" spans="1:10" ht="15.6" x14ac:dyDescent="0.3">
      <c r="A1533" s="127">
        <v>1529</v>
      </c>
      <c r="B1533" s="128">
        <v>44154</v>
      </c>
      <c r="C1533" s="129" t="s">
        <v>1716</v>
      </c>
      <c r="D1533" s="129" t="s">
        <v>1516</v>
      </c>
      <c r="E1533" s="204" t="s">
        <v>269</v>
      </c>
      <c r="F1533" s="129" t="s">
        <v>1138</v>
      </c>
      <c r="G1533" s="152">
        <v>-1000</v>
      </c>
      <c r="H1533" s="142"/>
    </row>
    <row r="1534" spans="1:10" ht="15.6" x14ac:dyDescent="0.3">
      <c r="A1534" s="127">
        <v>1530</v>
      </c>
      <c r="B1534" s="128">
        <v>44154</v>
      </c>
      <c r="C1534" s="129" t="s">
        <v>1715</v>
      </c>
      <c r="D1534" s="129" t="s">
        <v>1533</v>
      </c>
      <c r="E1534" s="204" t="s">
        <v>269</v>
      </c>
      <c r="F1534" s="129" t="s">
        <v>1138</v>
      </c>
      <c r="G1534" s="152">
        <v>-1000</v>
      </c>
      <c r="H1534" s="142"/>
    </row>
    <row r="1535" spans="1:10" ht="15.6" x14ac:dyDescent="0.3">
      <c r="A1535" s="127">
        <v>1531</v>
      </c>
      <c r="B1535" s="128">
        <v>44154</v>
      </c>
      <c r="C1535" s="129" t="s">
        <v>1834</v>
      </c>
      <c r="D1535" s="129" t="s">
        <v>1521</v>
      </c>
      <c r="E1535" s="204" t="s">
        <v>269</v>
      </c>
      <c r="F1535" s="129" t="s">
        <v>1138</v>
      </c>
      <c r="G1535" s="152">
        <v>-100</v>
      </c>
      <c r="H1535" s="142"/>
    </row>
    <row r="1536" spans="1:10" ht="15.6" x14ac:dyDescent="0.3">
      <c r="A1536" s="127">
        <v>1532</v>
      </c>
      <c r="B1536" s="128">
        <v>44156</v>
      </c>
      <c r="C1536" s="129" t="s">
        <v>1715</v>
      </c>
      <c r="D1536" s="129" t="s">
        <v>1533</v>
      </c>
      <c r="E1536" s="204" t="s">
        <v>269</v>
      </c>
      <c r="F1536" s="129" t="s">
        <v>1138</v>
      </c>
      <c r="G1536" s="152">
        <v>-1000</v>
      </c>
      <c r="H1536" s="142"/>
    </row>
    <row r="1537" spans="1:8" ht="15.6" x14ac:dyDescent="0.3">
      <c r="A1537" s="127">
        <v>1533</v>
      </c>
      <c r="B1537" s="128">
        <v>44156</v>
      </c>
      <c r="C1537" s="129" t="s">
        <v>1803</v>
      </c>
      <c r="D1537" s="129" t="s">
        <v>1520</v>
      </c>
      <c r="E1537" s="204" t="s">
        <v>269</v>
      </c>
      <c r="F1537" s="129" t="s">
        <v>1148</v>
      </c>
      <c r="G1537" s="152">
        <v>80000</v>
      </c>
      <c r="H1537" s="142"/>
    </row>
    <row r="1538" spans="1:8" ht="15.6" x14ac:dyDescent="0.3">
      <c r="A1538" s="127">
        <v>1534</v>
      </c>
      <c r="B1538" s="128">
        <v>44156</v>
      </c>
      <c r="C1538" s="129" t="s">
        <v>1771</v>
      </c>
      <c r="D1538" s="129" t="s">
        <v>1516</v>
      </c>
      <c r="E1538" s="204" t="s">
        <v>269</v>
      </c>
      <c r="F1538" s="129" t="s">
        <v>1138</v>
      </c>
      <c r="G1538" s="152">
        <v>-1000</v>
      </c>
      <c r="H1538" s="142"/>
    </row>
    <row r="1539" spans="1:8" ht="15.6" x14ac:dyDescent="0.3">
      <c r="A1539" s="127">
        <v>1535</v>
      </c>
      <c r="B1539" s="128">
        <v>44156</v>
      </c>
      <c r="C1539" s="129" t="s">
        <v>1823</v>
      </c>
      <c r="D1539" s="129" t="s">
        <v>1516</v>
      </c>
      <c r="E1539" s="204" t="s">
        <v>269</v>
      </c>
      <c r="F1539" s="129" t="s">
        <v>1138</v>
      </c>
      <c r="G1539" s="152">
        <v>-8100</v>
      </c>
      <c r="H1539" s="142"/>
    </row>
    <row r="1540" spans="1:8" ht="15.6" x14ac:dyDescent="0.3">
      <c r="A1540" s="127">
        <v>1536</v>
      </c>
      <c r="B1540" s="128">
        <v>44156</v>
      </c>
      <c r="C1540" s="129" t="s">
        <v>1716</v>
      </c>
      <c r="D1540" s="129" t="s">
        <v>1516</v>
      </c>
      <c r="E1540" s="204" t="s">
        <v>269</v>
      </c>
      <c r="F1540" s="129" t="s">
        <v>1138</v>
      </c>
      <c r="G1540" s="152">
        <v>-1000</v>
      </c>
      <c r="H1540" s="142"/>
    </row>
    <row r="1541" spans="1:8" ht="15.6" x14ac:dyDescent="0.3">
      <c r="A1541" s="127">
        <v>1537</v>
      </c>
      <c r="B1541" s="128">
        <v>44158</v>
      </c>
      <c r="C1541" s="129" t="s">
        <v>1724</v>
      </c>
      <c r="D1541" s="129" t="s">
        <v>1526</v>
      </c>
      <c r="E1541" s="204" t="s">
        <v>269</v>
      </c>
      <c r="F1541" s="129" t="s">
        <v>1138</v>
      </c>
      <c r="G1541" s="152">
        <v>-20000</v>
      </c>
      <c r="H1541" s="142"/>
    </row>
    <row r="1542" spans="1:8" ht="15.6" x14ac:dyDescent="0.3">
      <c r="A1542" s="127">
        <v>1538</v>
      </c>
      <c r="B1542" s="128">
        <v>44158</v>
      </c>
      <c r="C1542" s="129" t="s">
        <v>1716</v>
      </c>
      <c r="D1542" s="129" t="s">
        <v>1516</v>
      </c>
      <c r="E1542" s="204" t="s">
        <v>269</v>
      </c>
      <c r="F1542" s="129" t="s">
        <v>1138</v>
      </c>
      <c r="G1542" s="152">
        <v>-1000</v>
      </c>
      <c r="H1542" s="142"/>
    </row>
    <row r="1543" spans="1:8" ht="15.6" x14ac:dyDescent="0.3">
      <c r="A1543" s="127">
        <v>1539</v>
      </c>
      <c r="B1543" s="128">
        <v>44158</v>
      </c>
      <c r="C1543" s="129" t="s">
        <v>1715</v>
      </c>
      <c r="D1543" s="129" t="s">
        <v>1533</v>
      </c>
      <c r="E1543" s="204" t="s">
        <v>269</v>
      </c>
      <c r="F1543" s="129" t="s">
        <v>1138</v>
      </c>
      <c r="G1543" s="152">
        <v>-2000</v>
      </c>
      <c r="H1543" s="142"/>
    </row>
    <row r="1544" spans="1:8" ht="15.6" x14ac:dyDescent="0.3">
      <c r="A1544" s="127">
        <v>1540</v>
      </c>
      <c r="B1544" s="128">
        <v>44158</v>
      </c>
      <c r="C1544" s="129" t="s">
        <v>42</v>
      </c>
      <c r="D1544" s="129" t="s">
        <v>1521</v>
      </c>
      <c r="E1544" s="204" t="s">
        <v>269</v>
      </c>
      <c r="F1544" s="129" t="s">
        <v>1138</v>
      </c>
      <c r="G1544" s="152">
        <v>-100</v>
      </c>
      <c r="H1544" s="142"/>
    </row>
    <row r="1545" spans="1:8" ht="15.6" x14ac:dyDescent="0.3">
      <c r="A1545" s="127">
        <v>1541</v>
      </c>
      <c r="B1545" s="128">
        <v>44159</v>
      </c>
      <c r="C1545" s="129" t="s">
        <v>1715</v>
      </c>
      <c r="D1545" s="129" t="s">
        <v>1533</v>
      </c>
      <c r="E1545" s="204" t="s">
        <v>269</v>
      </c>
      <c r="F1545" s="129" t="s">
        <v>1138</v>
      </c>
      <c r="G1545" s="152">
        <v>-3000</v>
      </c>
      <c r="H1545" s="142"/>
    </row>
    <row r="1546" spans="1:8" ht="15.6" x14ac:dyDescent="0.3">
      <c r="A1546" s="127">
        <v>1542</v>
      </c>
      <c r="B1546" s="128">
        <v>44160</v>
      </c>
      <c r="C1546" s="129" t="s">
        <v>1836</v>
      </c>
      <c r="D1546" s="129" t="s">
        <v>1517</v>
      </c>
      <c r="E1546" s="204" t="s">
        <v>269</v>
      </c>
      <c r="F1546" s="129" t="s">
        <v>1138</v>
      </c>
      <c r="G1546" s="152">
        <v>-60000</v>
      </c>
      <c r="H1546" s="142"/>
    </row>
    <row r="1547" spans="1:8" ht="15.6" x14ac:dyDescent="0.3">
      <c r="A1547" s="127">
        <v>1543</v>
      </c>
      <c r="B1547" s="128">
        <v>44161</v>
      </c>
      <c r="C1547" s="129" t="s">
        <v>1803</v>
      </c>
      <c r="D1547" s="129" t="s">
        <v>1520</v>
      </c>
      <c r="E1547" s="204" t="s">
        <v>269</v>
      </c>
      <c r="F1547" s="129" t="s">
        <v>1148</v>
      </c>
      <c r="G1547" s="152">
        <v>20000</v>
      </c>
      <c r="H1547" s="142"/>
    </row>
    <row r="1548" spans="1:8" ht="15.6" x14ac:dyDescent="0.3">
      <c r="A1548" s="127">
        <v>1544</v>
      </c>
      <c r="B1548" s="128">
        <v>44161</v>
      </c>
      <c r="C1548" s="129" t="s">
        <v>1724</v>
      </c>
      <c r="D1548" s="129" t="s">
        <v>1526</v>
      </c>
      <c r="E1548" s="204" t="s">
        <v>269</v>
      </c>
      <c r="F1548" s="129" t="s">
        <v>1138</v>
      </c>
      <c r="G1548" s="152">
        <v>-20000</v>
      </c>
      <c r="H1548" s="142"/>
    </row>
    <row r="1549" spans="1:8" ht="15.6" x14ac:dyDescent="0.3">
      <c r="A1549" s="127">
        <v>1545</v>
      </c>
      <c r="B1549" s="128">
        <v>44163</v>
      </c>
      <c r="C1549" s="129" t="s">
        <v>1715</v>
      </c>
      <c r="D1549" s="129" t="s">
        <v>1533</v>
      </c>
      <c r="E1549" s="204" t="s">
        <v>269</v>
      </c>
      <c r="F1549" s="129" t="s">
        <v>1138</v>
      </c>
      <c r="G1549" s="152">
        <v>-2000</v>
      </c>
      <c r="H1549" s="142"/>
    </row>
    <row r="1550" spans="1:8" ht="15.6" x14ac:dyDescent="0.3">
      <c r="A1550" s="127">
        <v>1546</v>
      </c>
      <c r="B1550" s="128">
        <v>44164</v>
      </c>
      <c r="C1550" s="129" t="s">
        <v>1715</v>
      </c>
      <c r="D1550" s="129" t="s">
        <v>1533</v>
      </c>
      <c r="E1550" s="204" t="s">
        <v>269</v>
      </c>
      <c r="F1550" s="129" t="s">
        <v>1138</v>
      </c>
      <c r="G1550" s="152">
        <v>-1000</v>
      </c>
      <c r="H1550" s="142"/>
    </row>
    <row r="1551" spans="1:8" ht="15.6" x14ac:dyDescent="0.3">
      <c r="A1551" s="127">
        <v>1547</v>
      </c>
      <c r="B1551" s="128">
        <v>44165</v>
      </c>
      <c r="C1551" s="129" t="s">
        <v>1803</v>
      </c>
      <c r="D1551" s="129" t="s">
        <v>1520</v>
      </c>
      <c r="E1551" s="204" t="s">
        <v>269</v>
      </c>
      <c r="F1551" s="129" t="s">
        <v>1148</v>
      </c>
      <c r="G1551" s="152">
        <v>80000</v>
      </c>
      <c r="H1551" s="142"/>
    </row>
    <row r="1552" spans="1:8" ht="15.6" x14ac:dyDescent="0.3">
      <c r="A1552" s="127">
        <v>1548</v>
      </c>
      <c r="B1552" s="128">
        <v>44165</v>
      </c>
      <c r="C1552" s="129" t="s">
        <v>1715</v>
      </c>
      <c r="D1552" s="129" t="s">
        <v>1533</v>
      </c>
      <c r="E1552" s="204" t="s">
        <v>269</v>
      </c>
      <c r="F1552" s="129" t="s">
        <v>1138</v>
      </c>
      <c r="G1552" s="152">
        <v>-10000</v>
      </c>
      <c r="H1552" s="142"/>
    </row>
    <row r="1553" spans="1:8" ht="15.6" x14ac:dyDescent="0.3">
      <c r="A1553" s="127">
        <v>1549</v>
      </c>
      <c r="B1553" s="128">
        <v>44165</v>
      </c>
      <c r="C1553" s="129" t="s">
        <v>1581</v>
      </c>
      <c r="D1553" s="129" t="s">
        <v>1529</v>
      </c>
      <c r="E1553" s="206" t="s">
        <v>269</v>
      </c>
      <c r="F1553" s="129" t="s">
        <v>1138</v>
      </c>
      <c r="G1553" s="198">
        <v>-20000</v>
      </c>
      <c r="H1553" s="142"/>
    </row>
    <row r="1554" spans="1:8" ht="15.6" x14ac:dyDescent="0.3">
      <c r="A1554" s="127">
        <v>1550</v>
      </c>
      <c r="B1554" s="128">
        <v>44165</v>
      </c>
      <c r="C1554" s="129" t="s">
        <v>1766</v>
      </c>
      <c r="D1554" s="129" t="s">
        <v>1524</v>
      </c>
      <c r="E1554" s="204" t="s">
        <v>269</v>
      </c>
      <c r="F1554" s="129" t="s">
        <v>1138</v>
      </c>
      <c r="G1554" s="152">
        <v>-20000</v>
      </c>
      <c r="H1554" s="142"/>
    </row>
    <row r="1555" spans="1:8" ht="15.6" x14ac:dyDescent="0.3">
      <c r="A1555" s="127">
        <v>1551</v>
      </c>
      <c r="B1555" s="128">
        <v>44166</v>
      </c>
      <c r="C1555" s="129" t="s">
        <v>1724</v>
      </c>
      <c r="D1555" s="129" t="s">
        <v>1526</v>
      </c>
      <c r="E1555" s="204" t="s">
        <v>269</v>
      </c>
      <c r="F1555" s="129" t="s">
        <v>1138</v>
      </c>
      <c r="G1555" s="152">
        <v>-10000</v>
      </c>
      <c r="H1555" s="142"/>
    </row>
    <row r="1556" spans="1:8" ht="15.6" x14ac:dyDescent="0.3">
      <c r="A1556" s="127">
        <v>1552</v>
      </c>
      <c r="B1556" s="128">
        <v>44168</v>
      </c>
      <c r="C1556" s="129" t="s">
        <v>1715</v>
      </c>
      <c r="D1556" s="129" t="s">
        <v>1533</v>
      </c>
      <c r="E1556" s="204" t="s">
        <v>269</v>
      </c>
      <c r="F1556" s="129" t="s">
        <v>1138</v>
      </c>
      <c r="G1556" s="152">
        <v>-2000</v>
      </c>
      <c r="H1556" s="142"/>
    </row>
    <row r="1557" spans="1:8" ht="15.6" x14ac:dyDescent="0.3">
      <c r="A1557" s="127">
        <v>1553</v>
      </c>
      <c r="B1557" s="128">
        <v>44171</v>
      </c>
      <c r="C1557" s="129" t="s">
        <v>1803</v>
      </c>
      <c r="D1557" s="129" t="s">
        <v>1520</v>
      </c>
      <c r="E1557" s="204" t="s">
        <v>269</v>
      </c>
      <c r="F1557" s="129" t="s">
        <v>1148</v>
      </c>
      <c r="G1557" s="152">
        <v>20000</v>
      </c>
      <c r="H1557" s="142"/>
    </row>
    <row r="1558" spans="1:8" ht="15.6" x14ac:dyDescent="0.3">
      <c r="A1558" s="127">
        <v>1554</v>
      </c>
      <c r="B1558" s="128">
        <v>44171</v>
      </c>
      <c r="C1558" s="129" t="s">
        <v>1715</v>
      </c>
      <c r="D1558" s="129" t="s">
        <v>1533</v>
      </c>
      <c r="E1558" s="204" t="s">
        <v>269</v>
      </c>
      <c r="F1558" s="129" t="s">
        <v>1138</v>
      </c>
      <c r="G1558" s="152">
        <v>-3000</v>
      </c>
      <c r="H1558" s="142"/>
    </row>
    <row r="1559" spans="1:8" ht="15.6" x14ac:dyDescent="0.3">
      <c r="A1559" s="127">
        <v>1555</v>
      </c>
      <c r="B1559" s="128">
        <v>44171</v>
      </c>
      <c r="C1559" s="129" t="s">
        <v>1837</v>
      </c>
      <c r="D1559" s="129" t="s">
        <v>1516</v>
      </c>
      <c r="E1559" s="204" t="s">
        <v>269</v>
      </c>
      <c r="F1559" s="129" t="s">
        <v>1138</v>
      </c>
      <c r="G1559" s="152">
        <v>-15000</v>
      </c>
      <c r="H1559" s="142"/>
    </row>
    <row r="1560" spans="1:8" ht="15.6" x14ac:dyDescent="0.3">
      <c r="A1560" s="127">
        <v>1556</v>
      </c>
      <c r="B1560" s="128">
        <v>44174</v>
      </c>
      <c r="C1560" s="129" t="s">
        <v>1716</v>
      </c>
      <c r="D1560" s="129" t="s">
        <v>1516</v>
      </c>
      <c r="E1560" s="204" t="s">
        <v>269</v>
      </c>
      <c r="F1560" s="129" t="s">
        <v>1138</v>
      </c>
      <c r="G1560" s="152">
        <v>-2000</v>
      </c>
      <c r="H1560" s="142"/>
    </row>
    <row r="1561" spans="1:8" ht="15.6" x14ac:dyDescent="0.3">
      <c r="A1561" s="127">
        <v>1557</v>
      </c>
      <c r="B1561" s="128">
        <v>44178</v>
      </c>
      <c r="C1561" s="129" t="s">
        <v>1803</v>
      </c>
      <c r="D1561" s="129" t="s">
        <v>1520</v>
      </c>
      <c r="E1561" s="204" t="s">
        <v>269</v>
      </c>
      <c r="F1561" s="129" t="s">
        <v>1148</v>
      </c>
      <c r="G1561" s="152">
        <v>80000</v>
      </c>
      <c r="H1561" s="142"/>
    </row>
    <row r="1562" spans="1:8" ht="15.6" x14ac:dyDescent="0.3">
      <c r="A1562" s="127">
        <v>1558</v>
      </c>
      <c r="B1562" s="128">
        <v>44178</v>
      </c>
      <c r="C1562" s="129" t="s">
        <v>1716</v>
      </c>
      <c r="D1562" s="129" t="s">
        <v>1516</v>
      </c>
      <c r="E1562" s="204" t="s">
        <v>269</v>
      </c>
      <c r="F1562" s="129" t="s">
        <v>1138</v>
      </c>
      <c r="G1562" s="152">
        <v>-2000</v>
      </c>
      <c r="H1562" s="142"/>
    </row>
    <row r="1563" spans="1:8" ht="15.6" x14ac:dyDescent="0.3">
      <c r="A1563" s="127">
        <v>1559</v>
      </c>
      <c r="B1563" s="128">
        <v>44178</v>
      </c>
      <c r="C1563" s="129" t="s">
        <v>1715</v>
      </c>
      <c r="D1563" s="129" t="s">
        <v>1533</v>
      </c>
      <c r="E1563" s="204" t="s">
        <v>269</v>
      </c>
      <c r="F1563" s="129" t="s">
        <v>1138</v>
      </c>
      <c r="G1563" s="152">
        <v>-5000</v>
      </c>
      <c r="H1563" s="142"/>
    </row>
    <row r="1564" spans="1:8" ht="15.6" x14ac:dyDescent="0.3">
      <c r="A1564" s="127">
        <v>1560</v>
      </c>
      <c r="B1564" s="128">
        <v>44181</v>
      </c>
      <c r="C1564" s="129" t="s">
        <v>1715</v>
      </c>
      <c r="D1564" s="129" t="s">
        <v>1533</v>
      </c>
      <c r="E1564" s="204" t="s">
        <v>269</v>
      </c>
      <c r="F1564" s="129" t="s">
        <v>1138</v>
      </c>
      <c r="G1564" s="152">
        <v>-2000</v>
      </c>
      <c r="H1564" s="142"/>
    </row>
    <row r="1565" spans="1:8" ht="15.6" x14ac:dyDescent="0.3">
      <c r="A1565" s="127">
        <v>1561</v>
      </c>
      <c r="B1565" s="128">
        <v>44183</v>
      </c>
      <c r="C1565" s="129" t="s">
        <v>1715</v>
      </c>
      <c r="D1565" s="129" t="s">
        <v>1533</v>
      </c>
      <c r="E1565" s="204" t="s">
        <v>269</v>
      </c>
      <c r="F1565" s="129" t="s">
        <v>1138</v>
      </c>
      <c r="G1565" s="152">
        <v>-1000</v>
      </c>
      <c r="H1565" s="142"/>
    </row>
    <row r="1566" spans="1:8" ht="15.6" x14ac:dyDescent="0.3">
      <c r="A1566" s="127">
        <v>1562</v>
      </c>
      <c r="B1566" s="128">
        <v>44185</v>
      </c>
      <c r="C1566" s="129" t="s">
        <v>1715</v>
      </c>
      <c r="D1566" s="129" t="s">
        <v>1533</v>
      </c>
      <c r="E1566" s="204" t="s">
        <v>269</v>
      </c>
      <c r="F1566" s="129" t="s">
        <v>1138</v>
      </c>
      <c r="G1566" s="152">
        <v>-2000</v>
      </c>
      <c r="H1566" s="142"/>
    </row>
    <row r="1567" spans="1:8" ht="15.6" x14ac:dyDescent="0.3">
      <c r="A1567" s="127">
        <v>1563</v>
      </c>
      <c r="B1567" s="128">
        <v>44185</v>
      </c>
      <c r="C1567" s="129" t="s">
        <v>1716</v>
      </c>
      <c r="D1567" s="129" t="s">
        <v>1516</v>
      </c>
      <c r="E1567" s="204" t="s">
        <v>269</v>
      </c>
      <c r="F1567" s="129" t="s">
        <v>1138</v>
      </c>
      <c r="G1567" s="152">
        <v>-5000</v>
      </c>
      <c r="H1567" s="142"/>
    </row>
    <row r="1568" spans="1:8" ht="15.6" x14ac:dyDescent="0.3">
      <c r="A1568" s="127">
        <v>1564</v>
      </c>
      <c r="B1568" s="128">
        <v>44186</v>
      </c>
      <c r="C1568" s="129" t="s">
        <v>1835</v>
      </c>
      <c r="D1568" s="129" t="s">
        <v>1517</v>
      </c>
      <c r="E1568" s="204" t="s">
        <v>269</v>
      </c>
      <c r="F1568" s="129" t="s">
        <v>1138</v>
      </c>
      <c r="G1568" s="152">
        <v>-60000</v>
      </c>
      <c r="H1568" s="142"/>
    </row>
    <row r="1569" spans="1:8" ht="15.6" x14ac:dyDescent="0.3">
      <c r="A1569" s="127">
        <v>1565</v>
      </c>
      <c r="B1569" s="128">
        <v>44187</v>
      </c>
      <c r="C1569" s="129" t="s">
        <v>1803</v>
      </c>
      <c r="D1569" s="129" t="s">
        <v>1520</v>
      </c>
      <c r="E1569" s="204" t="s">
        <v>269</v>
      </c>
      <c r="F1569" s="129" t="s">
        <v>1148</v>
      </c>
      <c r="G1569" s="152">
        <v>70000</v>
      </c>
      <c r="H1569" s="142"/>
    </row>
    <row r="1570" spans="1:8" ht="15.6" x14ac:dyDescent="0.3">
      <c r="A1570" s="127">
        <v>1566</v>
      </c>
      <c r="B1570" s="128">
        <v>44187</v>
      </c>
      <c r="C1570" s="129" t="s">
        <v>1724</v>
      </c>
      <c r="D1570" s="129" t="s">
        <v>1526</v>
      </c>
      <c r="E1570" s="204" t="s">
        <v>269</v>
      </c>
      <c r="F1570" s="129" t="s">
        <v>1138</v>
      </c>
      <c r="G1570" s="152">
        <v>-70000</v>
      </c>
      <c r="H1570" s="142"/>
    </row>
    <row r="1571" spans="1:8" ht="15.6" x14ac:dyDescent="0.3">
      <c r="A1571" s="127">
        <v>1567</v>
      </c>
      <c r="B1571" s="128">
        <v>44192</v>
      </c>
      <c r="C1571" s="129" t="s">
        <v>1803</v>
      </c>
      <c r="D1571" s="129" t="s">
        <v>1520</v>
      </c>
      <c r="E1571" s="204" t="s">
        <v>269</v>
      </c>
      <c r="F1571" s="129" t="s">
        <v>1148</v>
      </c>
      <c r="G1571" s="152">
        <v>10000</v>
      </c>
      <c r="H1571" s="142"/>
    </row>
    <row r="1572" spans="1:8" ht="15.6" x14ac:dyDescent="0.3">
      <c r="A1572" s="127">
        <v>1568</v>
      </c>
      <c r="B1572" s="128">
        <v>44192</v>
      </c>
      <c r="C1572" s="129" t="s">
        <v>1715</v>
      </c>
      <c r="D1572" s="129" t="s">
        <v>1533</v>
      </c>
      <c r="E1572" s="204" t="s">
        <v>269</v>
      </c>
      <c r="F1572" s="129" t="s">
        <v>1138</v>
      </c>
      <c r="G1572" s="152">
        <v>-10000</v>
      </c>
      <c r="H1572" s="142"/>
    </row>
    <row r="1573" spans="1:8" ht="15.6" x14ac:dyDescent="0.3">
      <c r="A1573" s="127">
        <v>1569</v>
      </c>
      <c r="B1573" s="128">
        <v>44195</v>
      </c>
      <c r="C1573" s="129" t="s">
        <v>1803</v>
      </c>
      <c r="D1573" s="129" t="s">
        <v>1520</v>
      </c>
      <c r="E1573" s="204" t="s">
        <v>269</v>
      </c>
      <c r="F1573" s="129" t="s">
        <v>1148</v>
      </c>
      <c r="G1573" s="152">
        <v>100000</v>
      </c>
      <c r="H1573" s="142"/>
    </row>
    <row r="1574" spans="1:8" ht="15.6" x14ac:dyDescent="0.3">
      <c r="A1574" s="127">
        <v>1570</v>
      </c>
      <c r="B1574" s="128">
        <v>44195</v>
      </c>
      <c r="C1574" s="129" t="s">
        <v>1715</v>
      </c>
      <c r="D1574" s="129" t="s">
        <v>1533</v>
      </c>
      <c r="E1574" s="204" t="s">
        <v>269</v>
      </c>
      <c r="F1574" s="129" t="s">
        <v>1138</v>
      </c>
      <c r="G1574" s="152">
        <v>-10000</v>
      </c>
      <c r="H1574" s="142"/>
    </row>
    <row r="1575" spans="1:8" ht="15.6" x14ac:dyDescent="0.3">
      <c r="A1575" s="127">
        <v>1571</v>
      </c>
      <c r="B1575" s="128">
        <v>44196</v>
      </c>
      <c r="C1575" s="133" t="s">
        <v>1839</v>
      </c>
      <c r="D1575" s="133" t="s">
        <v>1523</v>
      </c>
      <c r="E1575" s="206" t="s">
        <v>269</v>
      </c>
      <c r="F1575" s="129" t="s">
        <v>1138</v>
      </c>
      <c r="G1575" s="198">
        <v>-20000</v>
      </c>
      <c r="H1575" s="142"/>
    </row>
    <row r="1576" spans="1:8" ht="15.6" x14ac:dyDescent="0.3">
      <c r="A1576" s="127">
        <v>1572</v>
      </c>
      <c r="B1576" s="128">
        <v>44196</v>
      </c>
      <c r="C1576" s="133" t="s">
        <v>1554</v>
      </c>
      <c r="D1576" s="133" t="s">
        <v>1523</v>
      </c>
      <c r="E1576" s="206" t="s">
        <v>269</v>
      </c>
      <c r="F1576" s="129" t="s">
        <v>1138</v>
      </c>
      <c r="G1576" s="198">
        <v>-30000</v>
      </c>
      <c r="H1576" s="142"/>
    </row>
    <row r="1577" spans="1:8" ht="15.6" x14ac:dyDescent="0.3">
      <c r="A1577" s="127">
        <v>1573</v>
      </c>
      <c r="B1577" s="128">
        <v>44198</v>
      </c>
      <c r="C1577" s="129" t="s">
        <v>1724</v>
      </c>
      <c r="D1577" s="129" t="s">
        <v>1526</v>
      </c>
      <c r="E1577" s="204" t="s">
        <v>269</v>
      </c>
      <c r="F1577" s="129" t="s">
        <v>1138</v>
      </c>
      <c r="G1577" s="152">
        <v>-30000</v>
      </c>
      <c r="H1577" s="142"/>
    </row>
    <row r="1578" spans="1:8" ht="15.6" x14ac:dyDescent="0.3">
      <c r="A1578" s="127">
        <v>1574</v>
      </c>
      <c r="B1578" s="128">
        <v>44199</v>
      </c>
      <c r="C1578" s="129" t="s">
        <v>1838</v>
      </c>
      <c r="D1578" s="129" t="s">
        <v>1516</v>
      </c>
      <c r="E1578" s="204" t="s">
        <v>269</v>
      </c>
      <c r="F1578" s="129" t="s">
        <v>1138</v>
      </c>
      <c r="G1578" s="152">
        <v>-13000</v>
      </c>
      <c r="H1578" s="142"/>
    </row>
    <row r="1579" spans="1:8" ht="15.6" x14ac:dyDescent="0.3">
      <c r="A1579" s="127">
        <v>1575</v>
      </c>
      <c r="B1579" s="128">
        <v>44203</v>
      </c>
      <c r="C1579" s="129" t="s">
        <v>1581</v>
      </c>
      <c r="D1579" s="129" t="s">
        <v>1529</v>
      </c>
      <c r="E1579" s="206" t="s">
        <v>269</v>
      </c>
      <c r="F1579" s="129" t="s">
        <v>1138</v>
      </c>
      <c r="G1579" s="198">
        <v>-15000</v>
      </c>
      <c r="H1579" s="142"/>
    </row>
    <row r="1580" spans="1:8" ht="15.6" x14ac:dyDescent="0.3">
      <c r="A1580" s="127">
        <v>1576</v>
      </c>
      <c r="B1580" s="128">
        <v>44222</v>
      </c>
      <c r="C1580" s="129" t="s">
        <v>1803</v>
      </c>
      <c r="D1580" s="129" t="s">
        <v>1520</v>
      </c>
      <c r="E1580" s="204" t="s">
        <v>1842</v>
      </c>
      <c r="F1580" s="129" t="s">
        <v>1148</v>
      </c>
      <c r="G1580" s="152">
        <v>400000</v>
      </c>
      <c r="H1580" s="142"/>
    </row>
    <row r="1581" spans="1:8" ht="15.6" x14ac:dyDescent="0.3">
      <c r="A1581" s="127"/>
      <c r="B1581" s="128"/>
      <c r="C1581" s="129"/>
      <c r="D1581" s="129"/>
      <c r="E1581" s="204"/>
      <c r="F1581" s="129"/>
      <c r="G1581" s="152"/>
      <c r="H1581" s="142"/>
    </row>
    <row r="1582" spans="1:8" ht="15.6" x14ac:dyDescent="0.3">
      <c r="A1582" s="127"/>
      <c r="B1582" s="128"/>
      <c r="C1582" s="129"/>
      <c r="D1582" s="129"/>
      <c r="E1582" s="204"/>
      <c r="F1582" s="129"/>
      <c r="G1582" s="152"/>
      <c r="H1582" s="142"/>
    </row>
    <row r="1583" spans="1:8" ht="15.6" x14ac:dyDescent="0.3">
      <c r="A1583" s="127"/>
      <c r="B1583" s="128"/>
      <c r="C1583" s="129"/>
      <c r="D1583" s="129"/>
      <c r="E1583" s="204"/>
      <c r="F1583" s="129"/>
      <c r="G1583" s="152"/>
      <c r="H1583" s="142"/>
    </row>
    <row r="1584" spans="1:8" ht="9.9" customHeight="1" x14ac:dyDescent="0.3">
      <c r="A1584" s="127"/>
      <c r="B1584" s="268"/>
      <c r="C1584" s="259" t="s">
        <v>1756</v>
      </c>
      <c r="D1584" s="129"/>
      <c r="E1584" s="271"/>
      <c r="F1584" s="260" t="s">
        <v>1755</v>
      </c>
      <c r="G1584" s="260"/>
      <c r="H1584" s="142"/>
    </row>
    <row r="1585" spans="1:8" ht="9.9" customHeight="1" x14ac:dyDescent="0.3">
      <c r="A1585" s="127"/>
      <c r="B1585" s="268"/>
      <c r="C1585" s="259"/>
      <c r="D1585" s="129"/>
      <c r="E1585" s="271"/>
      <c r="F1585" s="260"/>
      <c r="G1585" s="260"/>
      <c r="H1585" s="160"/>
    </row>
    <row r="1586" spans="1:8" ht="9.9" customHeight="1" x14ac:dyDescent="0.3">
      <c r="A1586" s="127"/>
      <c r="B1586" s="269"/>
      <c r="C1586" s="259" t="s">
        <v>1754</v>
      </c>
      <c r="D1586" s="129"/>
      <c r="E1586" s="270"/>
      <c r="F1586" s="259" t="s">
        <v>1535</v>
      </c>
      <c r="G1586" s="259"/>
      <c r="H1586" s="160"/>
    </row>
    <row r="1587" spans="1:8" ht="9.9" customHeight="1" x14ac:dyDescent="0.3">
      <c r="A1587" s="129"/>
      <c r="B1587" s="269"/>
      <c r="C1587" s="259"/>
      <c r="D1587" s="117"/>
      <c r="E1587" s="270"/>
      <c r="F1587" s="259"/>
      <c r="G1587" s="259"/>
    </row>
    <row r="1588" spans="1:8" ht="9.9" customHeight="1" x14ac:dyDescent="0.3">
      <c r="A1588" s="129"/>
      <c r="B1588" s="261"/>
      <c r="C1588" s="259" t="s">
        <v>1757</v>
      </c>
      <c r="D1588" s="117"/>
      <c r="E1588" s="262"/>
      <c r="F1588" s="264"/>
      <c r="G1588" s="265"/>
      <c r="H1588" s="160"/>
    </row>
    <row r="1589" spans="1:8" ht="9.9" customHeight="1" x14ac:dyDescent="0.3">
      <c r="A1589" s="129"/>
      <c r="B1589" s="261"/>
      <c r="C1589" s="259"/>
      <c r="D1589" s="133"/>
      <c r="E1589" s="263"/>
      <c r="F1589" s="266"/>
      <c r="G1589" s="267"/>
    </row>
    <row r="1590" spans="1:8" ht="9.9" customHeight="1" x14ac:dyDescent="0.3">
      <c r="A1590" s="129"/>
      <c r="B1590" s="134"/>
      <c r="C1590" s="118"/>
      <c r="D1590" s="118"/>
      <c r="E1590" s="208"/>
      <c r="F1590" s="118"/>
      <c r="G1590" s="142"/>
    </row>
    <row r="1591" spans="1:8" x14ac:dyDescent="0.3">
      <c r="B1591" s="134"/>
      <c r="C1591" s="118"/>
      <c r="D1591" s="118"/>
      <c r="E1591" s="208"/>
      <c r="F1591" s="118"/>
      <c r="G1591" s="142"/>
    </row>
    <row r="1592" spans="1:8" x14ac:dyDescent="0.3">
      <c r="B1592" s="134"/>
      <c r="C1592" s="118"/>
      <c r="D1592" s="118"/>
      <c r="E1592" s="208"/>
      <c r="F1592" s="118"/>
      <c r="G1592" s="142"/>
    </row>
    <row r="1593" spans="1:8" x14ac:dyDescent="0.3">
      <c r="B1593" s="134"/>
      <c r="C1593" s="118"/>
      <c r="D1593" s="118"/>
      <c r="E1593" s="208"/>
      <c r="F1593" s="118"/>
      <c r="G1593" s="142"/>
    </row>
    <row r="1594" spans="1:8" x14ac:dyDescent="0.3">
      <c r="B1594" s="134"/>
      <c r="C1594" s="118"/>
      <c r="D1594" s="118"/>
      <c r="E1594" s="208"/>
      <c r="F1594" s="118"/>
      <c r="G1594" s="142"/>
    </row>
    <row r="1595" spans="1:8" x14ac:dyDescent="0.3">
      <c r="B1595" s="134"/>
      <c r="C1595" s="118"/>
      <c r="D1595" s="118"/>
      <c r="E1595" s="208"/>
      <c r="F1595" s="118"/>
      <c r="G1595" s="142"/>
    </row>
    <row r="1596" spans="1:8" x14ac:dyDescent="0.3">
      <c r="B1596" s="134"/>
      <c r="C1596" s="118"/>
      <c r="D1596" s="118"/>
      <c r="E1596" s="208"/>
      <c r="F1596" s="118"/>
      <c r="G1596" s="142"/>
    </row>
    <row r="1597" spans="1:8" x14ac:dyDescent="0.3">
      <c r="B1597" s="134"/>
      <c r="C1597" s="118"/>
      <c r="D1597" s="118"/>
      <c r="E1597" s="208"/>
      <c r="F1597" s="118"/>
      <c r="G1597" s="142"/>
    </row>
    <row r="1598" spans="1:8" x14ac:dyDescent="0.3">
      <c r="B1598" s="134"/>
      <c r="C1598" s="118"/>
      <c r="D1598" s="118"/>
      <c r="E1598" s="208"/>
      <c r="F1598" s="118"/>
      <c r="G1598" s="142"/>
    </row>
    <row r="1599" spans="1:8" x14ac:dyDescent="0.3">
      <c r="B1599" s="134"/>
      <c r="C1599" s="118"/>
      <c r="D1599" s="118"/>
      <c r="E1599" s="208"/>
      <c r="F1599" s="118"/>
      <c r="G1599" s="142"/>
    </row>
    <row r="1600" spans="1:8" x14ac:dyDescent="0.3">
      <c r="B1600" s="134"/>
      <c r="C1600" s="118"/>
      <c r="D1600" s="118"/>
      <c r="E1600" s="208"/>
      <c r="F1600" s="118"/>
      <c r="G1600" s="142"/>
    </row>
    <row r="1601" spans="2:7" x14ac:dyDescent="0.3">
      <c r="B1601" s="134"/>
      <c r="C1601" s="118"/>
      <c r="D1601" s="118"/>
      <c r="E1601" s="208"/>
      <c r="F1601" s="118"/>
      <c r="G1601" s="142"/>
    </row>
    <row r="1602" spans="2:7" x14ac:dyDescent="0.3">
      <c r="B1602" s="134"/>
      <c r="C1602" s="118"/>
      <c r="D1602" s="118"/>
      <c r="E1602" s="208"/>
      <c r="F1602" s="118"/>
      <c r="G1602" s="142"/>
    </row>
    <row r="1603" spans="2:7" x14ac:dyDescent="0.3">
      <c r="B1603" s="134"/>
      <c r="C1603" s="118"/>
      <c r="D1603" s="118"/>
      <c r="E1603" s="208"/>
      <c r="F1603" s="118"/>
      <c r="G1603" s="142"/>
    </row>
    <row r="1604" spans="2:7" x14ac:dyDescent="0.3">
      <c r="B1604" s="134"/>
      <c r="C1604" s="118"/>
      <c r="D1604" s="118"/>
      <c r="E1604" s="208"/>
      <c r="F1604" s="118"/>
      <c r="G1604" s="142"/>
    </row>
    <row r="1605" spans="2:7" x14ac:dyDescent="0.3">
      <c r="B1605" s="134"/>
      <c r="C1605" s="118"/>
      <c r="D1605" s="118"/>
      <c r="E1605" s="208"/>
      <c r="F1605" s="118"/>
      <c r="G1605" s="142"/>
    </row>
    <row r="1606" spans="2:7" x14ac:dyDescent="0.3">
      <c r="B1606" s="134"/>
      <c r="C1606" s="118"/>
      <c r="D1606" s="118"/>
      <c r="E1606" s="208"/>
      <c r="F1606" s="118"/>
      <c r="G1606" s="142"/>
    </row>
    <row r="1607" spans="2:7" x14ac:dyDescent="0.3">
      <c r="B1607" s="134"/>
      <c r="C1607" s="118"/>
      <c r="D1607" s="118"/>
      <c r="E1607" s="208"/>
      <c r="F1607" s="118"/>
      <c r="G1607" s="142"/>
    </row>
    <row r="1608" spans="2:7" x14ac:dyDescent="0.3">
      <c r="B1608" s="134"/>
      <c r="C1608" s="118"/>
      <c r="D1608" s="118"/>
      <c r="E1608" s="208"/>
      <c r="F1608" s="118"/>
      <c r="G1608" s="142"/>
    </row>
    <row r="1609" spans="2:7" x14ac:dyDescent="0.3">
      <c r="B1609" s="134"/>
      <c r="C1609" s="118"/>
      <c r="D1609" s="118"/>
      <c r="E1609" s="208"/>
      <c r="F1609" s="118"/>
      <c r="G1609" s="142"/>
    </row>
    <row r="1610" spans="2:7" x14ac:dyDescent="0.3">
      <c r="B1610" s="134"/>
      <c r="C1610" s="118"/>
      <c r="D1610" s="118"/>
      <c r="E1610" s="208"/>
      <c r="F1610" s="118"/>
      <c r="G1610" s="142"/>
    </row>
    <row r="1611" spans="2:7" x14ac:dyDescent="0.3">
      <c r="B1611" s="134"/>
      <c r="C1611" s="118"/>
      <c r="D1611" s="118"/>
      <c r="E1611" s="208"/>
      <c r="F1611" s="118"/>
      <c r="G1611" s="142"/>
    </row>
    <row r="1612" spans="2:7" x14ac:dyDescent="0.3">
      <c r="B1612" s="134"/>
      <c r="C1612" s="118"/>
      <c r="D1612" s="118"/>
      <c r="E1612" s="208"/>
      <c r="F1612" s="118"/>
      <c r="G1612" s="142"/>
    </row>
    <row r="1613" spans="2:7" x14ac:dyDescent="0.3">
      <c r="B1613" s="134"/>
      <c r="C1613" s="118"/>
      <c r="D1613" s="118"/>
      <c r="E1613" s="208"/>
      <c r="F1613" s="118"/>
      <c r="G1613" s="142"/>
    </row>
    <row r="1614" spans="2:7" x14ac:dyDescent="0.3">
      <c r="B1614" s="134"/>
      <c r="C1614" s="118"/>
      <c r="D1614" s="118"/>
      <c r="E1614" s="208"/>
      <c r="F1614" s="118"/>
      <c r="G1614" s="142"/>
    </row>
    <row r="1615" spans="2:7" x14ac:dyDescent="0.3">
      <c r="B1615" s="134"/>
      <c r="C1615" s="118"/>
      <c r="D1615" s="118"/>
      <c r="E1615" s="208"/>
      <c r="F1615" s="118"/>
      <c r="G1615" s="142"/>
    </row>
    <row r="1616" spans="2:7" x14ac:dyDescent="0.3">
      <c r="B1616" s="134"/>
      <c r="C1616" s="118"/>
      <c r="D1616" s="118"/>
      <c r="E1616" s="208"/>
      <c r="F1616" s="118"/>
      <c r="G1616" s="142"/>
    </row>
    <row r="1617" spans="2:7" x14ac:dyDescent="0.3">
      <c r="B1617" s="134"/>
      <c r="C1617" s="118"/>
      <c r="D1617" s="118"/>
      <c r="E1617" s="208"/>
      <c r="F1617" s="118"/>
      <c r="G1617" s="142"/>
    </row>
    <row r="1618" spans="2:7" x14ac:dyDescent="0.3">
      <c r="B1618" s="134"/>
      <c r="C1618" s="118"/>
      <c r="D1618" s="118"/>
      <c r="E1618" s="208"/>
      <c r="F1618" s="118"/>
      <c r="G1618" s="142"/>
    </row>
    <row r="1619" spans="2:7" x14ac:dyDescent="0.3">
      <c r="B1619" s="134"/>
      <c r="C1619" s="118"/>
      <c r="D1619" s="118"/>
      <c r="E1619" s="208"/>
      <c r="F1619" s="118"/>
      <c r="G1619" s="142"/>
    </row>
    <row r="1620" spans="2:7" x14ac:dyDescent="0.3">
      <c r="B1620" s="134"/>
      <c r="C1620" s="118"/>
      <c r="D1620" s="118"/>
      <c r="E1620" s="208"/>
      <c r="F1620" s="118"/>
      <c r="G1620" s="142"/>
    </row>
    <row r="1621" spans="2:7" x14ac:dyDescent="0.3">
      <c r="B1621" s="134"/>
      <c r="C1621" s="118"/>
      <c r="D1621" s="118"/>
      <c r="E1621" s="208"/>
      <c r="F1621" s="118"/>
      <c r="G1621" s="142"/>
    </row>
    <row r="1622" spans="2:7" x14ac:dyDescent="0.3">
      <c r="B1622" s="134"/>
      <c r="C1622" s="118"/>
      <c r="D1622" s="118"/>
      <c r="E1622" s="208"/>
      <c r="F1622" s="118"/>
      <c r="G1622" s="142"/>
    </row>
    <row r="1623" spans="2:7" x14ac:dyDescent="0.3">
      <c r="B1623" s="134"/>
      <c r="C1623" s="118"/>
      <c r="D1623" s="118"/>
      <c r="E1623" s="208"/>
      <c r="F1623" s="118"/>
      <c r="G1623" s="142"/>
    </row>
    <row r="1624" spans="2:7" x14ac:dyDescent="0.3">
      <c r="B1624" s="134"/>
      <c r="C1624" s="118"/>
      <c r="D1624" s="118"/>
      <c r="E1624" s="208"/>
      <c r="F1624" s="118"/>
      <c r="G1624" s="142"/>
    </row>
    <row r="1625" spans="2:7" x14ac:dyDescent="0.3">
      <c r="B1625" s="134"/>
      <c r="C1625" s="118"/>
      <c r="D1625" s="118"/>
      <c r="E1625" s="208"/>
      <c r="F1625" s="118"/>
      <c r="G1625" s="142"/>
    </row>
    <row r="1626" spans="2:7" x14ac:dyDescent="0.3">
      <c r="B1626" s="134"/>
      <c r="C1626" s="118"/>
      <c r="D1626" s="118"/>
      <c r="E1626" s="208"/>
      <c r="F1626" s="118"/>
      <c r="G1626" s="142"/>
    </row>
    <row r="1627" spans="2:7" x14ac:dyDescent="0.3">
      <c r="B1627" s="134"/>
      <c r="C1627" s="118"/>
      <c r="D1627" s="118"/>
      <c r="E1627" s="208"/>
      <c r="F1627" s="118"/>
      <c r="G1627" s="142"/>
    </row>
    <row r="1628" spans="2:7" x14ac:dyDescent="0.3">
      <c r="B1628" s="134"/>
      <c r="C1628" s="118"/>
      <c r="D1628" s="118"/>
      <c r="E1628" s="208"/>
      <c r="F1628" s="118"/>
      <c r="G1628" s="142"/>
    </row>
    <row r="1629" spans="2:7" x14ac:dyDescent="0.3">
      <c r="B1629" s="134"/>
      <c r="C1629" s="118"/>
      <c r="D1629" s="118"/>
      <c r="E1629" s="208"/>
      <c r="F1629" s="118"/>
      <c r="G1629" s="143"/>
    </row>
    <row r="1630" spans="2:7" x14ac:dyDescent="0.3">
      <c r="B1630" s="134"/>
      <c r="C1630" s="118"/>
      <c r="D1630" s="118"/>
      <c r="E1630" s="208"/>
      <c r="F1630" s="118"/>
      <c r="G1630" s="142"/>
    </row>
    <row r="1631" spans="2:7" x14ac:dyDescent="0.3">
      <c r="B1631" s="134"/>
      <c r="C1631" s="118"/>
      <c r="D1631" s="118"/>
      <c r="E1631" s="208"/>
      <c r="F1631" s="118"/>
      <c r="G1631" s="143"/>
    </row>
    <row r="1632" spans="2:7" x14ac:dyDescent="0.3">
      <c r="B1632" s="134"/>
      <c r="C1632" s="118"/>
      <c r="D1632" s="118"/>
      <c r="E1632" s="208"/>
      <c r="F1632" s="118"/>
      <c r="G1632" s="143"/>
    </row>
    <row r="1633" spans="2:7" x14ac:dyDescent="0.3">
      <c r="B1633" s="134"/>
      <c r="C1633" s="118"/>
      <c r="D1633" s="118"/>
      <c r="E1633" s="208"/>
      <c r="F1633" s="118"/>
      <c r="G1633" s="143"/>
    </row>
  </sheetData>
  <autoFilter ref="A3:G1586"/>
  <sortState ref="A4:G1200">
    <sortCondition ref="B4:B1200"/>
  </sortState>
  <customSheetViews>
    <customSheetView guid="{80F19098-3ACC-4F0A-B214-68DF3421AAAA}" showPageBreaks="1" printArea="1" showAutoFilter="1" view="pageBreakPreview">
      <pane ySplit="3" topLeftCell="A151" activePane="bottomLeft" state="frozen"/>
      <selection pane="bottomLeft" activeCell="D166" sqref="D166"/>
      <pageMargins left="0.33" right="0.18" top="0.37" bottom="0.25" header="0.18" footer="0.17"/>
      <pageSetup paperSize="9" orientation="portrait" r:id="rId1"/>
      <autoFilter ref="A3:G1147">
        <sortState ref="A4:F1137">
          <sortCondition ref="B4:B1137"/>
        </sortState>
      </autoFilter>
    </customSheetView>
  </customSheetViews>
  <mergeCells count="12">
    <mergeCell ref="F1586:G1587"/>
    <mergeCell ref="F1584:G1585"/>
    <mergeCell ref="B1588:B1589"/>
    <mergeCell ref="C1588:C1589"/>
    <mergeCell ref="E1588:E1589"/>
    <mergeCell ref="F1588:G1589"/>
    <mergeCell ref="B1584:B1585"/>
    <mergeCell ref="B1586:B1587"/>
    <mergeCell ref="C1586:C1587"/>
    <mergeCell ref="C1584:C1585"/>
    <mergeCell ref="E1586:E1587"/>
    <mergeCell ref="E1584:E1585"/>
  </mergeCells>
  <conditionalFormatting sqref="G914:G1067 G1590:G1633 G1116:G1381 G1430 G1470 G1487 H1194:H1584 G1581:G1583">
    <cfRule type="cellIs" dxfId="1410" priority="378" operator="greaterThan">
      <formula>0</formula>
    </cfRule>
  </conditionalFormatting>
  <conditionalFormatting sqref="G1068:G1075">
    <cfRule type="cellIs" dxfId="1409" priority="376" operator="greaterThan">
      <formula>0</formula>
    </cfRule>
  </conditionalFormatting>
  <conditionalFormatting sqref="G1590:G1048576 G1:G1381 G1430 G1470 G1487 H1194:H1584 G1581:G1583">
    <cfRule type="cellIs" dxfId="1408" priority="375" operator="greaterThan">
      <formula>0</formula>
    </cfRule>
  </conditionalFormatting>
  <conditionalFormatting sqref="G1109:G1110">
    <cfRule type="cellIs" dxfId="1407" priority="374" operator="greaterThan">
      <formula>0</formula>
    </cfRule>
  </conditionalFormatting>
  <conditionalFormatting sqref="G1109:G1115">
    <cfRule type="cellIs" dxfId="1406" priority="373" operator="greaterThan">
      <formula>0</formula>
    </cfRule>
  </conditionalFormatting>
  <conditionalFormatting sqref="G1382">
    <cfRule type="cellIs" dxfId="1405" priority="367" operator="greaterThan">
      <formula>0</formula>
    </cfRule>
  </conditionalFormatting>
  <conditionalFormatting sqref="G1382">
    <cfRule type="cellIs" dxfId="1404" priority="366" operator="greaterThan">
      <formula>0</formula>
    </cfRule>
  </conditionalFormatting>
  <conditionalFormatting sqref="G1383">
    <cfRule type="cellIs" dxfId="1403" priority="365" operator="greaterThan">
      <formula>0</formula>
    </cfRule>
  </conditionalFormatting>
  <conditionalFormatting sqref="G1383">
    <cfRule type="cellIs" dxfId="1402" priority="364" operator="greaterThan">
      <formula>0</formula>
    </cfRule>
  </conditionalFormatting>
  <conditionalFormatting sqref="G1384">
    <cfRule type="cellIs" dxfId="1401" priority="363" operator="greaterThan">
      <formula>0</formula>
    </cfRule>
  </conditionalFormatting>
  <conditionalFormatting sqref="G1384">
    <cfRule type="cellIs" dxfId="1400" priority="362" operator="greaterThan">
      <formula>0</formula>
    </cfRule>
  </conditionalFormatting>
  <conditionalFormatting sqref="G1385:G1386">
    <cfRule type="cellIs" dxfId="1399" priority="361" operator="greaterThan">
      <formula>0</formula>
    </cfRule>
  </conditionalFormatting>
  <conditionalFormatting sqref="G1385:G1386">
    <cfRule type="cellIs" dxfId="1398" priority="360" operator="greaterThan">
      <formula>0</formula>
    </cfRule>
  </conditionalFormatting>
  <conditionalFormatting sqref="G1387">
    <cfRule type="cellIs" dxfId="1397" priority="359" operator="greaterThan">
      <formula>0</formula>
    </cfRule>
  </conditionalFormatting>
  <conditionalFormatting sqref="G1387">
    <cfRule type="cellIs" dxfId="1396" priority="358" operator="greaterThan">
      <formula>0</formula>
    </cfRule>
  </conditionalFormatting>
  <conditionalFormatting sqref="G1388">
    <cfRule type="cellIs" dxfId="1395" priority="357" operator="greaterThan">
      <formula>0</formula>
    </cfRule>
  </conditionalFormatting>
  <conditionalFormatting sqref="G1388">
    <cfRule type="cellIs" dxfId="1394" priority="356" operator="greaterThan">
      <formula>0</formula>
    </cfRule>
  </conditionalFormatting>
  <conditionalFormatting sqref="G1389">
    <cfRule type="cellIs" dxfId="1393" priority="355" operator="greaterThan">
      <formula>0</formula>
    </cfRule>
  </conditionalFormatting>
  <conditionalFormatting sqref="G1389">
    <cfRule type="cellIs" dxfId="1392" priority="354" operator="greaterThan">
      <formula>0</formula>
    </cfRule>
  </conditionalFormatting>
  <conditionalFormatting sqref="G1390">
    <cfRule type="cellIs" dxfId="1391" priority="353" operator="greaterThan">
      <formula>0</formula>
    </cfRule>
  </conditionalFormatting>
  <conditionalFormatting sqref="G1390">
    <cfRule type="cellIs" dxfId="1390" priority="352" operator="greaterThan">
      <formula>0</formula>
    </cfRule>
  </conditionalFormatting>
  <conditionalFormatting sqref="G1391">
    <cfRule type="cellIs" dxfId="1389" priority="351" operator="greaterThan">
      <formula>0</formula>
    </cfRule>
  </conditionalFormatting>
  <conditionalFormatting sqref="G1391">
    <cfRule type="cellIs" dxfId="1388" priority="350" operator="greaterThan">
      <formula>0</formula>
    </cfRule>
  </conditionalFormatting>
  <conditionalFormatting sqref="G1392">
    <cfRule type="cellIs" dxfId="1387" priority="349" operator="greaterThan">
      <formula>0</formula>
    </cfRule>
  </conditionalFormatting>
  <conditionalFormatting sqref="G1392">
    <cfRule type="cellIs" dxfId="1386" priority="348" operator="greaterThan">
      <formula>0</formula>
    </cfRule>
  </conditionalFormatting>
  <conditionalFormatting sqref="G1393">
    <cfRule type="cellIs" dxfId="1385" priority="347" operator="greaterThan">
      <formula>0</formula>
    </cfRule>
  </conditionalFormatting>
  <conditionalFormatting sqref="G1393">
    <cfRule type="cellIs" dxfId="1384" priority="346" operator="greaterThan">
      <formula>0</formula>
    </cfRule>
  </conditionalFormatting>
  <conditionalFormatting sqref="G1394">
    <cfRule type="cellIs" dxfId="1383" priority="345" operator="greaterThan">
      <formula>0</formula>
    </cfRule>
  </conditionalFormatting>
  <conditionalFormatting sqref="G1394">
    <cfRule type="cellIs" dxfId="1382" priority="344" operator="greaterThan">
      <formula>0</formula>
    </cfRule>
  </conditionalFormatting>
  <conditionalFormatting sqref="G1395">
    <cfRule type="cellIs" dxfId="1381" priority="343" operator="greaterThan">
      <formula>0</formula>
    </cfRule>
  </conditionalFormatting>
  <conditionalFormatting sqref="G1395">
    <cfRule type="cellIs" dxfId="1380" priority="342" operator="greaterThan">
      <formula>0</formula>
    </cfRule>
  </conditionalFormatting>
  <conditionalFormatting sqref="G1396">
    <cfRule type="cellIs" dxfId="1379" priority="341" operator="greaterThan">
      <formula>0</formula>
    </cfRule>
  </conditionalFormatting>
  <conditionalFormatting sqref="G1396">
    <cfRule type="cellIs" dxfId="1378" priority="340" operator="greaterThan">
      <formula>0</formula>
    </cfRule>
  </conditionalFormatting>
  <conditionalFormatting sqref="G1397">
    <cfRule type="cellIs" dxfId="1377" priority="339" operator="greaterThan">
      <formula>0</formula>
    </cfRule>
  </conditionalFormatting>
  <conditionalFormatting sqref="G1397">
    <cfRule type="cellIs" dxfId="1376" priority="338" operator="greaterThan">
      <formula>0</formula>
    </cfRule>
  </conditionalFormatting>
  <conditionalFormatting sqref="G1398">
    <cfRule type="cellIs" dxfId="1375" priority="337" operator="greaterThan">
      <formula>0</formula>
    </cfRule>
  </conditionalFormatting>
  <conditionalFormatting sqref="G1398">
    <cfRule type="cellIs" dxfId="1374" priority="336" operator="greaterThan">
      <formula>0</formula>
    </cfRule>
  </conditionalFormatting>
  <conditionalFormatting sqref="G1399">
    <cfRule type="cellIs" dxfId="1373" priority="335" operator="greaterThan">
      <formula>0</formula>
    </cfRule>
  </conditionalFormatting>
  <conditionalFormatting sqref="G1399">
    <cfRule type="cellIs" dxfId="1372" priority="334" operator="greaterThan">
      <formula>0</formula>
    </cfRule>
  </conditionalFormatting>
  <conditionalFormatting sqref="G1400">
    <cfRule type="cellIs" dxfId="1371" priority="333" operator="greaterThan">
      <formula>0</formula>
    </cfRule>
  </conditionalFormatting>
  <conditionalFormatting sqref="G1400">
    <cfRule type="cellIs" dxfId="1370" priority="332" operator="greaterThan">
      <formula>0</formula>
    </cfRule>
  </conditionalFormatting>
  <conditionalFormatting sqref="G1401">
    <cfRule type="cellIs" dxfId="1369" priority="331" operator="greaterThan">
      <formula>0</formula>
    </cfRule>
  </conditionalFormatting>
  <conditionalFormatting sqref="G1401">
    <cfRule type="cellIs" dxfId="1368" priority="330" operator="greaterThan">
      <formula>0</formula>
    </cfRule>
  </conditionalFormatting>
  <conditionalFormatting sqref="G1402">
    <cfRule type="cellIs" dxfId="1367" priority="329" operator="greaterThan">
      <formula>0</formula>
    </cfRule>
  </conditionalFormatting>
  <conditionalFormatting sqref="G1402">
    <cfRule type="cellIs" dxfId="1366" priority="328" operator="greaterThan">
      <formula>0</formula>
    </cfRule>
  </conditionalFormatting>
  <conditionalFormatting sqref="G1403">
    <cfRule type="cellIs" dxfId="1365" priority="327" operator="greaterThan">
      <formula>0</formula>
    </cfRule>
  </conditionalFormatting>
  <conditionalFormatting sqref="G1403">
    <cfRule type="cellIs" dxfId="1364" priority="326" operator="greaterThan">
      <formula>0</formula>
    </cfRule>
  </conditionalFormatting>
  <conditionalFormatting sqref="G1404">
    <cfRule type="cellIs" dxfId="1363" priority="325" operator="greaterThan">
      <formula>0</formula>
    </cfRule>
  </conditionalFormatting>
  <conditionalFormatting sqref="G1404">
    <cfRule type="cellIs" dxfId="1362" priority="324" operator="greaterThan">
      <formula>0</formula>
    </cfRule>
  </conditionalFormatting>
  <conditionalFormatting sqref="G1406">
    <cfRule type="cellIs" dxfId="1361" priority="323" operator="greaterThan">
      <formula>0</formula>
    </cfRule>
  </conditionalFormatting>
  <conditionalFormatting sqref="G1406">
    <cfRule type="cellIs" dxfId="1360" priority="322" operator="greaterThan">
      <formula>0</formula>
    </cfRule>
  </conditionalFormatting>
  <conditionalFormatting sqref="G1405">
    <cfRule type="cellIs" dxfId="1359" priority="321" operator="greaterThan">
      <formula>0</formula>
    </cfRule>
  </conditionalFormatting>
  <conditionalFormatting sqref="G1405">
    <cfRule type="cellIs" dxfId="1358" priority="320" operator="greaterThan">
      <formula>0</formula>
    </cfRule>
  </conditionalFormatting>
  <conditionalFormatting sqref="G1407">
    <cfRule type="cellIs" dxfId="1357" priority="319" operator="greaterThan">
      <formula>0</formula>
    </cfRule>
  </conditionalFormatting>
  <conditionalFormatting sqref="G1407">
    <cfRule type="cellIs" dxfId="1356" priority="318" operator="greaterThan">
      <formula>0</formula>
    </cfRule>
  </conditionalFormatting>
  <conditionalFormatting sqref="G1408:G1409">
    <cfRule type="cellIs" dxfId="1355" priority="317" operator="greaterThan">
      <formula>0</formula>
    </cfRule>
  </conditionalFormatting>
  <conditionalFormatting sqref="G1408:G1409">
    <cfRule type="cellIs" dxfId="1354" priority="316" operator="greaterThan">
      <formula>0</formula>
    </cfRule>
  </conditionalFormatting>
  <conditionalFormatting sqref="G1410">
    <cfRule type="cellIs" dxfId="1353" priority="315" operator="greaterThan">
      <formula>0</formula>
    </cfRule>
  </conditionalFormatting>
  <conditionalFormatting sqref="G1410">
    <cfRule type="cellIs" dxfId="1352" priority="314" operator="greaterThan">
      <formula>0</formula>
    </cfRule>
  </conditionalFormatting>
  <conditionalFormatting sqref="G1411">
    <cfRule type="cellIs" dxfId="1351" priority="313" operator="greaterThan">
      <formula>0</formula>
    </cfRule>
  </conditionalFormatting>
  <conditionalFormatting sqref="G1411">
    <cfRule type="cellIs" dxfId="1350" priority="312" operator="greaterThan">
      <formula>0</formula>
    </cfRule>
  </conditionalFormatting>
  <conditionalFormatting sqref="G1412">
    <cfRule type="cellIs" dxfId="1349" priority="311" operator="greaterThan">
      <formula>0</formula>
    </cfRule>
  </conditionalFormatting>
  <conditionalFormatting sqref="G1412">
    <cfRule type="cellIs" dxfId="1348" priority="310" operator="greaterThan">
      <formula>0</formula>
    </cfRule>
  </conditionalFormatting>
  <conditionalFormatting sqref="G1413">
    <cfRule type="cellIs" dxfId="1347" priority="309" operator="greaterThan">
      <formula>0</formula>
    </cfRule>
  </conditionalFormatting>
  <conditionalFormatting sqref="G1413">
    <cfRule type="cellIs" dxfId="1346" priority="308" operator="greaterThan">
      <formula>0</formula>
    </cfRule>
  </conditionalFormatting>
  <conditionalFormatting sqref="G1414">
    <cfRule type="cellIs" dxfId="1345" priority="307" operator="greaterThan">
      <formula>0</formula>
    </cfRule>
  </conditionalFormatting>
  <conditionalFormatting sqref="G1414">
    <cfRule type="cellIs" dxfId="1344" priority="306" operator="greaterThan">
      <formula>0</formula>
    </cfRule>
  </conditionalFormatting>
  <conditionalFormatting sqref="G1415">
    <cfRule type="cellIs" dxfId="1343" priority="305" operator="greaterThan">
      <formula>0</formula>
    </cfRule>
  </conditionalFormatting>
  <conditionalFormatting sqref="G1415">
    <cfRule type="cellIs" dxfId="1342" priority="304" operator="greaterThan">
      <formula>0</formula>
    </cfRule>
  </conditionalFormatting>
  <conditionalFormatting sqref="G1416">
    <cfRule type="cellIs" dxfId="1341" priority="303" operator="greaterThan">
      <formula>0</formula>
    </cfRule>
  </conditionalFormatting>
  <conditionalFormatting sqref="G1416">
    <cfRule type="cellIs" dxfId="1340" priority="302" operator="greaterThan">
      <formula>0</formula>
    </cfRule>
  </conditionalFormatting>
  <conditionalFormatting sqref="G1417">
    <cfRule type="cellIs" dxfId="1339" priority="301" operator="greaterThan">
      <formula>0</formula>
    </cfRule>
  </conditionalFormatting>
  <conditionalFormatting sqref="G1417">
    <cfRule type="cellIs" dxfId="1338" priority="300" operator="greaterThan">
      <formula>0</formula>
    </cfRule>
  </conditionalFormatting>
  <conditionalFormatting sqref="G1418">
    <cfRule type="cellIs" dxfId="1337" priority="299" operator="greaterThan">
      <formula>0</formula>
    </cfRule>
  </conditionalFormatting>
  <conditionalFormatting sqref="G1418">
    <cfRule type="cellIs" dxfId="1336" priority="298" operator="greaterThan">
      <formula>0</formula>
    </cfRule>
  </conditionalFormatting>
  <conditionalFormatting sqref="G1419">
    <cfRule type="cellIs" dxfId="1335" priority="297" operator="greaterThan">
      <formula>0</formula>
    </cfRule>
  </conditionalFormatting>
  <conditionalFormatting sqref="G1419">
    <cfRule type="cellIs" dxfId="1334" priority="296" operator="greaterThan">
      <formula>0</formula>
    </cfRule>
  </conditionalFormatting>
  <conditionalFormatting sqref="G1420">
    <cfRule type="cellIs" dxfId="1333" priority="295" operator="greaterThan">
      <formula>0</formula>
    </cfRule>
  </conditionalFormatting>
  <conditionalFormatting sqref="G1420">
    <cfRule type="cellIs" dxfId="1332" priority="294" operator="greaterThan">
      <formula>0</formula>
    </cfRule>
  </conditionalFormatting>
  <conditionalFormatting sqref="G1421">
    <cfRule type="cellIs" dxfId="1331" priority="293" operator="greaterThan">
      <formula>0</formula>
    </cfRule>
  </conditionalFormatting>
  <conditionalFormatting sqref="G1421">
    <cfRule type="cellIs" dxfId="1330" priority="292" operator="greaterThan">
      <formula>0</formula>
    </cfRule>
  </conditionalFormatting>
  <conditionalFormatting sqref="G1422">
    <cfRule type="cellIs" dxfId="1329" priority="291" operator="greaterThan">
      <formula>0</formula>
    </cfRule>
  </conditionalFormatting>
  <conditionalFormatting sqref="G1422">
    <cfRule type="cellIs" dxfId="1328" priority="290" operator="greaterThan">
      <formula>0</formula>
    </cfRule>
  </conditionalFormatting>
  <conditionalFormatting sqref="G1423">
    <cfRule type="cellIs" dxfId="1327" priority="289" operator="greaterThan">
      <formula>0</formula>
    </cfRule>
  </conditionalFormatting>
  <conditionalFormatting sqref="G1423">
    <cfRule type="cellIs" dxfId="1326" priority="288" operator="greaterThan">
      <formula>0</formula>
    </cfRule>
  </conditionalFormatting>
  <conditionalFormatting sqref="G1424">
    <cfRule type="cellIs" dxfId="1325" priority="287" operator="greaterThan">
      <formula>0</formula>
    </cfRule>
  </conditionalFormatting>
  <conditionalFormatting sqref="G1424">
    <cfRule type="cellIs" dxfId="1324" priority="286" operator="greaterThan">
      <formula>0</formula>
    </cfRule>
  </conditionalFormatting>
  <conditionalFormatting sqref="G1425">
    <cfRule type="cellIs" dxfId="1323" priority="285" operator="greaterThan">
      <formula>0</formula>
    </cfRule>
  </conditionalFormatting>
  <conditionalFormatting sqref="G1425">
    <cfRule type="cellIs" dxfId="1322" priority="284" operator="greaterThan">
      <formula>0</formula>
    </cfRule>
  </conditionalFormatting>
  <conditionalFormatting sqref="G1426">
    <cfRule type="cellIs" dxfId="1321" priority="283" operator="greaterThan">
      <formula>0</formula>
    </cfRule>
  </conditionalFormatting>
  <conditionalFormatting sqref="G1426">
    <cfRule type="cellIs" dxfId="1320" priority="282" operator="greaterThan">
      <formula>0</formula>
    </cfRule>
  </conditionalFormatting>
  <conditionalFormatting sqref="G1427">
    <cfRule type="cellIs" dxfId="1319" priority="281" operator="greaterThan">
      <formula>0</formula>
    </cfRule>
  </conditionalFormatting>
  <conditionalFormatting sqref="G1427">
    <cfRule type="cellIs" dxfId="1318" priority="280" operator="greaterThan">
      <formula>0</formula>
    </cfRule>
  </conditionalFormatting>
  <conditionalFormatting sqref="G1428">
    <cfRule type="cellIs" dxfId="1317" priority="279" operator="greaterThan">
      <formula>0</formula>
    </cfRule>
  </conditionalFormatting>
  <conditionalFormatting sqref="G1428">
    <cfRule type="cellIs" dxfId="1316" priority="278" operator="greaterThan">
      <formula>0</formula>
    </cfRule>
  </conditionalFormatting>
  <conditionalFormatting sqref="G1429">
    <cfRule type="cellIs" dxfId="1315" priority="277" operator="greaterThan">
      <formula>0</formula>
    </cfRule>
  </conditionalFormatting>
  <conditionalFormatting sqref="G1429">
    <cfRule type="cellIs" dxfId="1314" priority="276" operator="greaterThan">
      <formula>0</formula>
    </cfRule>
  </conditionalFormatting>
  <conditionalFormatting sqref="G1431">
    <cfRule type="cellIs" dxfId="1313" priority="275" operator="greaterThan">
      <formula>0</formula>
    </cfRule>
  </conditionalFormatting>
  <conditionalFormatting sqref="G1431">
    <cfRule type="cellIs" dxfId="1312" priority="274" operator="greaterThan">
      <formula>0</formula>
    </cfRule>
  </conditionalFormatting>
  <conditionalFormatting sqref="G1432">
    <cfRule type="cellIs" dxfId="1311" priority="273" operator="greaterThan">
      <formula>0</formula>
    </cfRule>
  </conditionalFormatting>
  <conditionalFormatting sqref="G1432">
    <cfRule type="cellIs" dxfId="1310" priority="272" operator="greaterThan">
      <formula>0</formula>
    </cfRule>
  </conditionalFormatting>
  <conditionalFormatting sqref="G1433">
    <cfRule type="cellIs" dxfId="1309" priority="271" operator="greaterThan">
      <formula>0</formula>
    </cfRule>
  </conditionalFormatting>
  <conditionalFormatting sqref="G1433">
    <cfRule type="cellIs" dxfId="1308" priority="270" operator="greaterThan">
      <formula>0</formula>
    </cfRule>
  </conditionalFormatting>
  <conditionalFormatting sqref="G1434">
    <cfRule type="cellIs" dxfId="1307" priority="269" operator="greaterThan">
      <formula>0</formula>
    </cfRule>
  </conditionalFormatting>
  <conditionalFormatting sqref="G1434">
    <cfRule type="cellIs" dxfId="1306" priority="268" operator="greaterThan">
      <formula>0</formula>
    </cfRule>
  </conditionalFormatting>
  <conditionalFormatting sqref="G1435">
    <cfRule type="cellIs" dxfId="1305" priority="267" operator="greaterThan">
      <formula>0</formula>
    </cfRule>
  </conditionalFormatting>
  <conditionalFormatting sqref="G1435">
    <cfRule type="cellIs" dxfId="1304" priority="266" operator="greaterThan">
      <formula>0</formula>
    </cfRule>
  </conditionalFormatting>
  <conditionalFormatting sqref="G1436">
    <cfRule type="cellIs" dxfId="1303" priority="265" operator="greaterThan">
      <formula>0</formula>
    </cfRule>
  </conditionalFormatting>
  <conditionalFormatting sqref="G1436">
    <cfRule type="cellIs" dxfId="1302" priority="264" operator="greaterThan">
      <formula>0</formula>
    </cfRule>
  </conditionalFormatting>
  <conditionalFormatting sqref="G1437">
    <cfRule type="cellIs" dxfId="1301" priority="263" operator="greaterThan">
      <formula>0</formula>
    </cfRule>
  </conditionalFormatting>
  <conditionalFormatting sqref="G1437">
    <cfRule type="cellIs" dxfId="1300" priority="262" operator="greaterThan">
      <formula>0</formula>
    </cfRule>
  </conditionalFormatting>
  <conditionalFormatting sqref="G1438">
    <cfRule type="cellIs" dxfId="1299" priority="261" operator="greaterThan">
      <formula>0</formula>
    </cfRule>
  </conditionalFormatting>
  <conditionalFormatting sqref="G1438">
    <cfRule type="cellIs" dxfId="1298" priority="260" operator="greaterThan">
      <formula>0</formula>
    </cfRule>
  </conditionalFormatting>
  <conditionalFormatting sqref="G1439">
    <cfRule type="cellIs" dxfId="1297" priority="259" operator="greaterThan">
      <formula>0</formula>
    </cfRule>
  </conditionalFormatting>
  <conditionalFormatting sqref="G1439">
    <cfRule type="cellIs" dxfId="1296" priority="258" operator="greaterThan">
      <formula>0</formula>
    </cfRule>
  </conditionalFormatting>
  <conditionalFormatting sqref="G1440">
    <cfRule type="cellIs" dxfId="1295" priority="257" operator="greaterThan">
      <formula>0</formula>
    </cfRule>
  </conditionalFormatting>
  <conditionalFormatting sqref="G1440">
    <cfRule type="cellIs" dxfId="1294" priority="256" operator="greaterThan">
      <formula>0</formula>
    </cfRule>
  </conditionalFormatting>
  <conditionalFormatting sqref="G1441">
    <cfRule type="cellIs" dxfId="1293" priority="255" operator="greaterThan">
      <formula>0</formula>
    </cfRule>
  </conditionalFormatting>
  <conditionalFormatting sqref="G1441">
    <cfRule type="cellIs" dxfId="1292" priority="254" operator="greaterThan">
      <formula>0</formula>
    </cfRule>
  </conditionalFormatting>
  <conditionalFormatting sqref="G1463">
    <cfRule type="cellIs" dxfId="1291" priority="204" operator="greaterThan">
      <formula>0</formula>
    </cfRule>
  </conditionalFormatting>
  <conditionalFormatting sqref="G1442">
    <cfRule type="cellIs" dxfId="1290" priority="253" operator="greaterThan">
      <formula>0</formula>
    </cfRule>
  </conditionalFormatting>
  <conditionalFormatting sqref="G1442">
    <cfRule type="cellIs" dxfId="1289" priority="252" operator="greaterThan">
      <formula>0</formula>
    </cfRule>
  </conditionalFormatting>
  <conditionalFormatting sqref="G1443">
    <cfRule type="cellIs" dxfId="1288" priority="251" operator="greaterThan">
      <formula>0</formula>
    </cfRule>
  </conditionalFormatting>
  <conditionalFormatting sqref="G1443">
    <cfRule type="cellIs" dxfId="1287" priority="250" operator="greaterThan">
      <formula>0</formula>
    </cfRule>
  </conditionalFormatting>
  <conditionalFormatting sqref="G1444">
    <cfRule type="cellIs" dxfId="1286" priority="249" operator="greaterThan">
      <formula>0</formula>
    </cfRule>
  </conditionalFormatting>
  <conditionalFormatting sqref="G1444">
    <cfRule type="cellIs" dxfId="1285" priority="248" operator="greaterThan">
      <formula>0</formula>
    </cfRule>
  </conditionalFormatting>
  <conditionalFormatting sqref="G1445">
    <cfRule type="cellIs" dxfId="1284" priority="247" operator="greaterThan">
      <formula>0</formula>
    </cfRule>
  </conditionalFormatting>
  <conditionalFormatting sqref="G1445">
    <cfRule type="cellIs" dxfId="1283" priority="246" operator="greaterThan">
      <formula>0</formula>
    </cfRule>
  </conditionalFormatting>
  <conditionalFormatting sqref="G1446">
    <cfRule type="cellIs" dxfId="1282" priority="245" operator="greaterThan">
      <formula>0</formula>
    </cfRule>
  </conditionalFormatting>
  <conditionalFormatting sqref="G1446">
    <cfRule type="cellIs" dxfId="1281" priority="244" operator="greaterThan">
      <formula>0</formula>
    </cfRule>
  </conditionalFormatting>
  <conditionalFormatting sqref="G1447">
    <cfRule type="cellIs" dxfId="1280" priority="243" operator="greaterThan">
      <formula>0</formula>
    </cfRule>
  </conditionalFormatting>
  <conditionalFormatting sqref="G1447">
    <cfRule type="cellIs" dxfId="1279" priority="242" operator="greaterThan">
      <formula>0</formula>
    </cfRule>
  </conditionalFormatting>
  <conditionalFormatting sqref="G1448">
    <cfRule type="cellIs" dxfId="1278" priority="241" operator="greaterThan">
      <formula>0</formula>
    </cfRule>
  </conditionalFormatting>
  <conditionalFormatting sqref="G1448">
    <cfRule type="cellIs" dxfId="1277" priority="240" operator="greaterThan">
      <formula>0</formula>
    </cfRule>
  </conditionalFormatting>
  <conditionalFormatting sqref="G1462">
    <cfRule type="cellIs" dxfId="1276" priority="207" operator="greaterThan">
      <formula>0</formula>
    </cfRule>
  </conditionalFormatting>
  <conditionalFormatting sqref="G1462">
    <cfRule type="cellIs" dxfId="1275" priority="206" operator="greaterThan">
      <formula>0</formula>
    </cfRule>
  </conditionalFormatting>
  <conditionalFormatting sqref="G1449">
    <cfRule type="cellIs" dxfId="1274" priority="237" operator="greaterThan">
      <formula>0</formula>
    </cfRule>
  </conditionalFormatting>
  <conditionalFormatting sqref="G1449">
    <cfRule type="cellIs" dxfId="1273" priority="236" operator="greaterThan">
      <formula>0</formula>
    </cfRule>
  </conditionalFormatting>
  <conditionalFormatting sqref="G1450">
    <cfRule type="cellIs" dxfId="1272" priority="235" operator="greaterThan">
      <formula>0</formula>
    </cfRule>
  </conditionalFormatting>
  <conditionalFormatting sqref="G1450">
    <cfRule type="cellIs" dxfId="1271" priority="234" operator="greaterThan">
      <formula>0</formula>
    </cfRule>
  </conditionalFormatting>
  <conditionalFormatting sqref="G1451">
    <cfRule type="cellIs" dxfId="1270" priority="233" operator="greaterThan">
      <formula>0</formula>
    </cfRule>
  </conditionalFormatting>
  <conditionalFormatting sqref="G1451">
    <cfRule type="cellIs" dxfId="1269" priority="232" operator="greaterThan">
      <formula>0</formula>
    </cfRule>
  </conditionalFormatting>
  <conditionalFormatting sqref="G1452">
    <cfRule type="cellIs" dxfId="1268" priority="231" operator="greaterThan">
      <formula>0</formula>
    </cfRule>
  </conditionalFormatting>
  <conditionalFormatting sqref="G1452">
    <cfRule type="cellIs" dxfId="1267" priority="230" operator="greaterThan">
      <formula>0</formula>
    </cfRule>
  </conditionalFormatting>
  <conditionalFormatting sqref="G1453">
    <cfRule type="cellIs" dxfId="1266" priority="229" operator="greaterThan">
      <formula>0</formula>
    </cfRule>
  </conditionalFormatting>
  <conditionalFormatting sqref="G1453">
    <cfRule type="cellIs" dxfId="1265" priority="228" operator="greaterThan">
      <formula>0</formula>
    </cfRule>
  </conditionalFormatting>
  <conditionalFormatting sqref="G1464">
    <cfRule type="cellIs" dxfId="1264" priority="227" operator="greaterThan">
      <formula>0</formula>
    </cfRule>
  </conditionalFormatting>
  <conditionalFormatting sqref="G1464">
    <cfRule type="cellIs" dxfId="1263" priority="226" operator="greaterThan">
      <formula>0</formula>
    </cfRule>
  </conditionalFormatting>
  <conditionalFormatting sqref="G1466">
    <cfRule type="cellIs" dxfId="1262" priority="225" operator="greaterThan">
      <formula>0</formula>
    </cfRule>
  </conditionalFormatting>
  <conditionalFormatting sqref="G1466">
    <cfRule type="cellIs" dxfId="1261" priority="224" operator="greaterThan">
      <formula>0</formula>
    </cfRule>
  </conditionalFormatting>
  <conditionalFormatting sqref="G1454">
    <cfRule type="cellIs" dxfId="1260" priority="223" operator="greaterThan">
      <formula>0</formula>
    </cfRule>
  </conditionalFormatting>
  <conditionalFormatting sqref="G1454">
    <cfRule type="cellIs" dxfId="1259" priority="222" operator="greaterThan">
      <formula>0</formula>
    </cfRule>
  </conditionalFormatting>
  <conditionalFormatting sqref="G1455">
    <cfRule type="cellIs" dxfId="1258" priority="221" operator="greaterThan">
      <formula>0</formula>
    </cfRule>
  </conditionalFormatting>
  <conditionalFormatting sqref="G1455">
    <cfRule type="cellIs" dxfId="1257" priority="220" operator="greaterThan">
      <formula>0</formula>
    </cfRule>
  </conditionalFormatting>
  <conditionalFormatting sqref="G1456">
    <cfRule type="cellIs" dxfId="1256" priority="219" operator="greaterThan">
      <formula>0</formula>
    </cfRule>
  </conditionalFormatting>
  <conditionalFormatting sqref="G1456">
    <cfRule type="cellIs" dxfId="1255" priority="218" operator="greaterThan">
      <formula>0</formula>
    </cfRule>
  </conditionalFormatting>
  <conditionalFormatting sqref="G1457">
    <cfRule type="cellIs" dxfId="1254" priority="217" operator="greaterThan">
      <formula>0</formula>
    </cfRule>
  </conditionalFormatting>
  <conditionalFormatting sqref="G1457">
    <cfRule type="cellIs" dxfId="1253" priority="216" operator="greaterThan">
      <formula>0</formula>
    </cfRule>
  </conditionalFormatting>
  <conditionalFormatting sqref="G1458">
    <cfRule type="cellIs" dxfId="1252" priority="215" operator="greaterThan">
      <formula>0</formula>
    </cfRule>
  </conditionalFormatting>
  <conditionalFormatting sqref="G1458">
    <cfRule type="cellIs" dxfId="1251" priority="214" operator="greaterThan">
      <formula>0</formula>
    </cfRule>
  </conditionalFormatting>
  <conditionalFormatting sqref="G1459">
    <cfRule type="cellIs" dxfId="1250" priority="213" operator="greaterThan">
      <formula>0</formula>
    </cfRule>
  </conditionalFormatting>
  <conditionalFormatting sqref="G1459">
    <cfRule type="cellIs" dxfId="1249" priority="212" operator="greaterThan">
      <formula>0</formula>
    </cfRule>
  </conditionalFormatting>
  <conditionalFormatting sqref="G1460">
    <cfRule type="cellIs" dxfId="1248" priority="211" operator="greaterThan">
      <formula>0</formula>
    </cfRule>
  </conditionalFormatting>
  <conditionalFormatting sqref="G1460">
    <cfRule type="cellIs" dxfId="1247" priority="210" operator="greaterThan">
      <formula>0</formula>
    </cfRule>
  </conditionalFormatting>
  <conditionalFormatting sqref="G1461">
    <cfRule type="cellIs" dxfId="1246" priority="209" operator="greaterThan">
      <formula>0</formula>
    </cfRule>
  </conditionalFormatting>
  <conditionalFormatting sqref="G1461">
    <cfRule type="cellIs" dxfId="1245" priority="208" operator="greaterThan">
      <formula>0</formula>
    </cfRule>
  </conditionalFormatting>
  <conditionalFormatting sqref="G1463">
    <cfRule type="cellIs" dxfId="1244" priority="205" operator="greaterThan">
      <formula>0</formula>
    </cfRule>
  </conditionalFormatting>
  <conditionalFormatting sqref="G1465">
    <cfRule type="cellIs" dxfId="1243" priority="203" operator="greaterThan">
      <formula>0</formula>
    </cfRule>
  </conditionalFormatting>
  <conditionalFormatting sqref="G1465">
    <cfRule type="cellIs" dxfId="1242" priority="202" operator="greaterThan">
      <formula>0</formula>
    </cfRule>
  </conditionalFormatting>
  <conditionalFormatting sqref="G1467">
    <cfRule type="cellIs" dxfId="1241" priority="201" operator="greaterThan">
      <formula>0</formula>
    </cfRule>
  </conditionalFormatting>
  <conditionalFormatting sqref="G1467">
    <cfRule type="cellIs" dxfId="1240" priority="200" operator="greaterThan">
      <formula>0</formula>
    </cfRule>
  </conditionalFormatting>
  <conditionalFormatting sqref="G1468">
    <cfRule type="cellIs" dxfId="1239" priority="199" operator="greaterThan">
      <formula>0</formula>
    </cfRule>
  </conditionalFormatting>
  <conditionalFormatting sqref="G1468">
    <cfRule type="cellIs" dxfId="1238" priority="198" operator="greaterThan">
      <formula>0</formula>
    </cfRule>
  </conditionalFormatting>
  <conditionalFormatting sqref="G1469">
    <cfRule type="cellIs" dxfId="1237" priority="197" operator="greaterThan">
      <formula>0</formula>
    </cfRule>
  </conditionalFormatting>
  <conditionalFormatting sqref="G1469">
    <cfRule type="cellIs" dxfId="1236" priority="196" operator="greaterThan">
      <formula>0</formula>
    </cfRule>
  </conditionalFormatting>
  <conditionalFormatting sqref="G1471">
    <cfRule type="cellIs" dxfId="1235" priority="195" operator="greaterThan">
      <formula>0</formula>
    </cfRule>
  </conditionalFormatting>
  <conditionalFormatting sqref="G1471">
    <cfRule type="cellIs" dxfId="1234" priority="194" operator="greaterThan">
      <formula>0</formula>
    </cfRule>
  </conditionalFormatting>
  <conditionalFormatting sqref="G1473">
    <cfRule type="cellIs" dxfId="1233" priority="190" operator="greaterThan">
      <formula>0</formula>
    </cfRule>
  </conditionalFormatting>
  <conditionalFormatting sqref="G1472">
    <cfRule type="cellIs" dxfId="1232" priority="193" operator="greaterThan">
      <formula>0</formula>
    </cfRule>
  </conditionalFormatting>
  <conditionalFormatting sqref="G1472">
    <cfRule type="cellIs" dxfId="1231" priority="192" operator="greaterThan">
      <formula>0</formula>
    </cfRule>
  </conditionalFormatting>
  <conditionalFormatting sqref="G1473">
    <cfRule type="cellIs" dxfId="1230" priority="191" operator="greaterThan">
      <formula>0</formula>
    </cfRule>
  </conditionalFormatting>
  <conditionalFormatting sqref="G1474">
    <cfRule type="cellIs" dxfId="1229" priority="189" operator="greaterThan">
      <formula>0</formula>
    </cfRule>
  </conditionalFormatting>
  <conditionalFormatting sqref="G1474">
    <cfRule type="cellIs" dxfId="1228" priority="188" operator="greaterThan">
      <formula>0</formula>
    </cfRule>
  </conditionalFormatting>
  <conditionalFormatting sqref="G1475:G1476">
    <cfRule type="cellIs" dxfId="1227" priority="187" operator="greaterThan">
      <formula>0</formula>
    </cfRule>
  </conditionalFormatting>
  <conditionalFormatting sqref="G1475:G1476">
    <cfRule type="cellIs" dxfId="1226" priority="186" operator="greaterThan">
      <formula>0</formula>
    </cfRule>
  </conditionalFormatting>
  <conditionalFormatting sqref="G1478">
    <cfRule type="cellIs" dxfId="1225" priority="182" operator="greaterThan">
      <formula>0</formula>
    </cfRule>
  </conditionalFormatting>
  <conditionalFormatting sqref="G1477">
    <cfRule type="cellIs" dxfId="1224" priority="185" operator="greaterThan">
      <formula>0</formula>
    </cfRule>
  </conditionalFormatting>
  <conditionalFormatting sqref="G1477">
    <cfRule type="cellIs" dxfId="1223" priority="184" operator="greaterThan">
      <formula>0</formula>
    </cfRule>
  </conditionalFormatting>
  <conditionalFormatting sqref="G1478">
    <cfRule type="cellIs" dxfId="1222" priority="183" operator="greaterThan">
      <formula>0</formula>
    </cfRule>
  </conditionalFormatting>
  <conditionalFormatting sqref="G1479">
    <cfRule type="cellIs" dxfId="1221" priority="181" operator="greaterThan">
      <formula>0</formula>
    </cfRule>
  </conditionalFormatting>
  <conditionalFormatting sqref="G1479">
    <cfRule type="cellIs" dxfId="1220" priority="180" operator="greaterThan">
      <formula>0</formula>
    </cfRule>
  </conditionalFormatting>
  <conditionalFormatting sqref="G1480">
    <cfRule type="cellIs" dxfId="1219" priority="178" operator="greaterThan">
      <formula>0</formula>
    </cfRule>
  </conditionalFormatting>
  <conditionalFormatting sqref="G1480">
    <cfRule type="cellIs" dxfId="1218" priority="179" operator="greaterThan">
      <formula>0</formula>
    </cfRule>
  </conditionalFormatting>
  <conditionalFormatting sqref="G1481">
    <cfRule type="cellIs" dxfId="1217" priority="177" operator="greaterThan">
      <formula>0</formula>
    </cfRule>
  </conditionalFormatting>
  <conditionalFormatting sqref="G1481">
    <cfRule type="cellIs" dxfId="1216" priority="176" operator="greaterThan">
      <formula>0</formula>
    </cfRule>
  </conditionalFormatting>
  <conditionalFormatting sqref="G1485:G1486">
    <cfRule type="cellIs" dxfId="1215" priority="175" operator="greaterThan">
      <formula>0</formula>
    </cfRule>
  </conditionalFormatting>
  <conditionalFormatting sqref="G1485:G1486">
    <cfRule type="cellIs" dxfId="1214" priority="174" operator="greaterThan">
      <formula>0</formula>
    </cfRule>
  </conditionalFormatting>
  <conditionalFormatting sqref="G1482">
    <cfRule type="cellIs" dxfId="1213" priority="173" operator="greaterThan">
      <formula>0</formula>
    </cfRule>
  </conditionalFormatting>
  <conditionalFormatting sqref="G1482">
    <cfRule type="cellIs" dxfId="1212" priority="172" operator="greaterThan">
      <formula>0</formula>
    </cfRule>
  </conditionalFormatting>
  <conditionalFormatting sqref="G1483:G1484">
    <cfRule type="cellIs" dxfId="1211" priority="170" operator="greaterThan">
      <formula>0</formula>
    </cfRule>
  </conditionalFormatting>
  <conditionalFormatting sqref="G1483:G1484">
    <cfRule type="cellIs" dxfId="1210" priority="171" operator="greaterThan">
      <formula>0</formula>
    </cfRule>
  </conditionalFormatting>
  <conditionalFormatting sqref="G1488:G1489">
    <cfRule type="cellIs" dxfId="1209" priority="168" operator="greaterThan">
      <formula>0</formula>
    </cfRule>
  </conditionalFormatting>
  <conditionalFormatting sqref="G1488:G1489">
    <cfRule type="cellIs" dxfId="1208" priority="169" operator="greaterThan">
      <formula>0</formula>
    </cfRule>
  </conditionalFormatting>
  <conditionalFormatting sqref="G1491">
    <cfRule type="cellIs" dxfId="1207" priority="167" operator="greaterThan">
      <formula>0</formula>
    </cfRule>
  </conditionalFormatting>
  <conditionalFormatting sqref="G1491">
    <cfRule type="cellIs" dxfId="1206" priority="166" operator="greaterThan">
      <formula>0</formula>
    </cfRule>
  </conditionalFormatting>
  <conditionalFormatting sqref="G1490">
    <cfRule type="cellIs" dxfId="1205" priority="165" operator="greaterThan">
      <formula>0</formula>
    </cfRule>
  </conditionalFormatting>
  <conditionalFormatting sqref="G1490">
    <cfRule type="cellIs" dxfId="1204" priority="164" operator="greaterThan">
      <formula>0</formula>
    </cfRule>
  </conditionalFormatting>
  <conditionalFormatting sqref="G1493">
    <cfRule type="cellIs" dxfId="1203" priority="163" operator="greaterThan">
      <formula>0</formula>
    </cfRule>
  </conditionalFormatting>
  <conditionalFormatting sqref="G1493">
    <cfRule type="cellIs" dxfId="1202" priority="162" operator="greaterThan">
      <formula>0</formula>
    </cfRule>
  </conditionalFormatting>
  <conditionalFormatting sqref="G1492">
    <cfRule type="cellIs" dxfId="1201" priority="160" operator="greaterThan">
      <formula>0</formula>
    </cfRule>
  </conditionalFormatting>
  <conditionalFormatting sqref="G1492">
    <cfRule type="cellIs" dxfId="1200" priority="161" operator="greaterThan">
      <formula>0</formula>
    </cfRule>
  </conditionalFormatting>
  <conditionalFormatting sqref="G1494">
    <cfRule type="cellIs" dxfId="1199" priority="159" operator="greaterThan">
      <formula>0</formula>
    </cfRule>
  </conditionalFormatting>
  <conditionalFormatting sqref="G1494">
    <cfRule type="cellIs" dxfId="1198" priority="158" operator="greaterThan">
      <formula>0</formula>
    </cfRule>
  </conditionalFormatting>
  <conditionalFormatting sqref="G1495:G1496">
    <cfRule type="cellIs" dxfId="1197" priority="156" operator="greaterThan">
      <formula>0</formula>
    </cfRule>
  </conditionalFormatting>
  <conditionalFormatting sqref="G1495:G1496">
    <cfRule type="cellIs" dxfId="1196" priority="157" operator="greaterThan">
      <formula>0</formula>
    </cfRule>
  </conditionalFormatting>
  <conditionalFormatting sqref="G1497">
    <cfRule type="cellIs" dxfId="1195" priority="154" operator="greaterThan">
      <formula>0</formula>
    </cfRule>
  </conditionalFormatting>
  <conditionalFormatting sqref="G1497">
    <cfRule type="cellIs" dxfId="1194" priority="155" operator="greaterThan">
      <formula>0</formula>
    </cfRule>
  </conditionalFormatting>
  <conditionalFormatting sqref="G1498">
    <cfRule type="cellIs" dxfId="1193" priority="153" operator="greaterThan">
      <formula>0</formula>
    </cfRule>
  </conditionalFormatting>
  <conditionalFormatting sqref="G1499:G1500">
    <cfRule type="cellIs" dxfId="1192" priority="151" operator="greaterThan">
      <formula>0</formula>
    </cfRule>
  </conditionalFormatting>
  <conditionalFormatting sqref="G1499:G1500">
    <cfRule type="cellIs" dxfId="1191" priority="152" operator="greaterThan">
      <formula>0</formula>
    </cfRule>
  </conditionalFormatting>
  <conditionalFormatting sqref="G1501">
    <cfRule type="cellIs" dxfId="1190" priority="150" operator="greaterThan">
      <formula>0</formula>
    </cfRule>
  </conditionalFormatting>
  <conditionalFormatting sqref="G1501">
    <cfRule type="cellIs" dxfId="1189" priority="149" operator="greaterThan">
      <formula>0</formula>
    </cfRule>
  </conditionalFormatting>
  <conditionalFormatting sqref="G1502">
    <cfRule type="cellIs" dxfId="1188" priority="148" operator="greaterThan">
      <formula>0</formula>
    </cfRule>
  </conditionalFormatting>
  <conditionalFormatting sqref="G1502">
    <cfRule type="cellIs" dxfId="1187" priority="147" operator="greaterThan">
      <formula>0</formula>
    </cfRule>
  </conditionalFormatting>
  <conditionalFormatting sqref="G1503">
    <cfRule type="cellIs" dxfId="1186" priority="146" operator="greaterThan">
      <formula>0</formula>
    </cfRule>
  </conditionalFormatting>
  <conditionalFormatting sqref="G1503">
    <cfRule type="cellIs" dxfId="1185" priority="145" operator="greaterThan">
      <formula>0</formula>
    </cfRule>
  </conditionalFormatting>
  <conditionalFormatting sqref="G1504">
    <cfRule type="cellIs" dxfId="1184" priority="144" operator="greaterThan">
      <formula>0</formula>
    </cfRule>
  </conditionalFormatting>
  <conditionalFormatting sqref="G1504">
    <cfRule type="cellIs" dxfId="1183" priority="143" operator="greaterThan">
      <formula>0</formula>
    </cfRule>
  </conditionalFormatting>
  <conditionalFormatting sqref="G1505">
    <cfRule type="cellIs" dxfId="1182" priority="142" operator="greaterThan">
      <formula>0</formula>
    </cfRule>
  </conditionalFormatting>
  <conditionalFormatting sqref="G1505">
    <cfRule type="cellIs" dxfId="1181" priority="141" operator="greaterThan">
      <formula>0</formula>
    </cfRule>
  </conditionalFormatting>
  <conditionalFormatting sqref="G1518">
    <cfRule type="cellIs" dxfId="1180" priority="115" operator="greaterThan">
      <formula>0</formula>
    </cfRule>
  </conditionalFormatting>
  <conditionalFormatting sqref="G1518">
    <cfRule type="cellIs" dxfId="1179" priority="114" operator="greaterThan">
      <formula>0</formula>
    </cfRule>
  </conditionalFormatting>
  <conditionalFormatting sqref="G1507">
    <cfRule type="cellIs" dxfId="1178" priority="138" operator="greaterThan">
      <formula>0</formula>
    </cfRule>
  </conditionalFormatting>
  <conditionalFormatting sqref="G1507">
    <cfRule type="cellIs" dxfId="1177" priority="137" operator="greaterThan">
      <formula>0</formula>
    </cfRule>
  </conditionalFormatting>
  <conditionalFormatting sqref="G1506">
    <cfRule type="cellIs" dxfId="1176" priority="135" operator="greaterThan">
      <formula>0</formula>
    </cfRule>
  </conditionalFormatting>
  <conditionalFormatting sqref="G1506">
    <cfRule type="cellIs" dxfId="1175" priority="136" operator="greaterThan">
      <formula>0</formula>
    </cfRule>
  </conditionalFormatting>
  <conditionalFormatting sqref="G1510">
    <cfRule type="cellIs" dxfId="1174" priority="134" operator="greaterThan">
      <formula>0</formula>
    </cfRule>
  </conditionalFormatting>
  <conditionalFormatting sqref="G1510">
    <cfRule type="cellIs" dxfId="1173" priority="133" operator="greaterThan">
      <formula>0</formula>
    </cfRule>
  </conditionalFormatting>
  <conditionalFormatting sqref="G1511">
    <cfRule type="cellIs" dxfId="1172" priority="132" operator="greaterThan">
      <formula>0</formula>
    </cfRule>
  </conditionalFormatting>
  <conditionalFormatting sqref="G1511">
    <cfRule type="cellIs" dxfId="1171" priority="131" operator="greaterThan">
      <formula>0</formula>
    </cfRule>
  </conditionalFormatting>
  <conditionalFormatting sqref="G1512">
    <cfRule type="cellIs" dxfId="1170" priority="130" operator="greaterThan">
      <formula>0</formula>
    </cfRule>
  </conditionalFormatting>
  <conditionalFormatting sqref="G1512">
    <cfRule type="cellIs" dxfId="1169" priority="129" operator="greaterThan">
      <formula>0</formula>
    </cfRule>
  </conditionalFormatting>
  <conditionalFormatting sqref="G1513">
    <cfRule type="cellIs" dxfId="1168" priority="128" operator="greaterThan">
      <formula>0</formula>
    </cfRule>
  </conditionalFormatting>
  <conditionalFormatting sqref="G1513">
    <cfRule type="cellIs" dxfId="1167" priority="127" operator="greaterThan">
      <formula>0</formula>
    </cfRule>
  </conditionalFormatting>
  <conditionalFormatting sqref="G1514">
    <cfRule type="cellIs" dxfId="1166" priority="125" operator="greaterThan">
      <formula>0</formula>
    </cfRule>
  </conditionalFormatting>
  <conditionalFormatting sqref="G1514">
    <cfRule type="cellIs" dxfId="1165" priority="126" operator="greaterThan">
      <formula>0</formula>
    </cfRule>
  </conditionalFormatting>
  <conditionalFormatting sqref="G1515">
    <cfRule type="cellIs" dxfId="1164" priority="123" operator="greaterThan">
      <formula>0</formula>
    </cfRule>
  </conditionalFormatting>
  <conditionalFormatting sqref="G1515">
    <cfRule type="cellIs" dxfId="1163" priority="124" operator="greaterThan">
      <formula>0</formula>
    </cfRule>
  </conditionalFormatting>
  <conditionalFormatting sqref="G1516">
    <cfRule type="cellIs" dxfId="1162" priority="122" operator="greaterThan">
      <formula>0</formula>
    </cfRule>
  </conditionalFormatting>
  <conditionalFormatting sqref="G1516">
    <cfRule type="cellIs" dxfId="1161" priority="121" operator="greaterThan">
      <formula>0</formula>
    </cfRule>
  </conditionalFormatting>
  <conditionalFormatting sqref="G1517">
    <cfRule type="cellIs" dxfId="1160" priority="120" operator="greaterThan">
      <formula>0</formula>
    </cfRule>
  </conditionalFormatting>
  <conditionalFormatting sqref="G1517">
    <cfRule type="cellIs" dxfId="1159" priority="119" operator="greaterThan">
      <formula>0</formula>
    </cfRule>
  </conditionalFormatting>
  <conditionalFormatting sqref="G1520">
    <cfRule type="cellIs" dxfId="1158" priority="117" operator="greaterThan">
      <formula>0</formula>
    </cfRule>
  </conditionalFormatting>
  <conditionalFormatting sqref="G1520">
    <cfRule type="cellIs" dxfId="1157" priority="118" operator="greaterThan">
      <formula>0</formula>
    </cfRule>
  </conditionalFormatting>
  <conditionalFormatting sqref="G1521">
    <cfRule type="cellIs" dxfId="1156" priority="116" operator="greaterThan">
      <formula>0</formula>
    </cfRule>
  </conditionalFormatting>
  <conditionalFormatting sqref="G1519">
    <cfRule type="cellIs" dxfId="1155" priority="112" operator="greaterThan">
      <formula>0</formula>
    </cfRule>
  </conditionalFormatting>
  <conditionalFormatting sqref="G1519">
    <cfRule type="cellIs" dxfId="1154" priority="113" operator="greaterThan">
      <formula>0</formula>
    </cfRule>
  </conditionalFormatting>
  <conditionalFormatting sqref="G1508">
    <cfRule type="cellIs" dxfId="1153" priority="111" operator="greaterThan">
      <formula>0</formula>
    </cfRule>
  </conditionalFormatting>
  <conditionalFormatting sqref="G1508">
    <cfRule type="cellIs" dxfId="1152" priority="110" operator="greaterThan">
      <formula>0</formula>
    </cfRule>
  </conditionalFormatting>
  <conditionalFormatting sqref="G1509">
    <cfRule type="cellIs" dxfId="1151" priority="109" operator="greaterThan">
      <formula>0</formula>
    </cfRule>
  </conditionalFormatting>
  <conditionalFormatting sqref="G1509">
    <cfRule type="cellIs" dxfId="1150" priority="108" operator="greaterThan">
      <formula>0</formula>
    </cfRule>
  </conditionalFormatting>
  <conditionalFormatting sqref="G1522:G1524">
    <cfRule type="cellIs" dxfId="1149" priority="106" operator="greaterThan">
      <formula>0</formula>
    </cfRule>
  </conditionalFormatting>
  <conditionalFormatting sqref="G1522:G1524">
    <cfRule type="cellIs" dxfId="1148" priority="107" operator="greaterThan">
      <formula>0</formula>
    </cfRule>
  </conditionalFormatting>
  <conditionalFormatting sqref="G1526">
    <cfRule type="cellIs" dxfId="1147" priority="104" operator="greaterThan">
      <formula>0</formula>
    </cfRule>
  </conditionalFormatting>
  <conditionalFormatting sqref="G1526">
    <cfRule type="cellIs" dxfId="1146" priority="105" operator="greaterThan">
      <formula>0</formula>
    </cfRule>
  </conditionalFormatting>
  <conditionalFormatting sqref="G1534">
    <cfRule type="cellIs" dxfId="1145" priority="102" operator="greaterThan">
      <formula>0</formula>
    </cfRule>
  </conditionalFormatting>
  <conditionalFormatting sqref="G1534">
    <cfRule type="cellIs" dxfId="1144" priority="103" operator="greaterThan">
      <formula>0</formula>
    </cfRule>
  </conditionalFormatting>
  <conditionalFormatting sqref="G1536">
    <cfRule type="cellIs" dxfId="1143" priority="100" operator="greaterThan">
      <formula>0</formula>
    </cfRule>
  </conditionalFormatting>
  <conditionalFormatting sqref="G1536">
    <cfRule type="cellIs" dxfId="1142" priority="101" operator="greaterThan">
      <formula>0</formula>
    </cfRule>
  </conditionalFormatting>
  <conditionalFormatting sqref="G1543">
    <cfRule type="cellIs" dxfId="1141" priority="98" operator="greaterThan">
      <formula>0</formula>
    </cfRule>
  </conditionalFormatting>
  <conditionalFormatting sqref="G1543">
    <cfRule type="cellIs" dxfId="1140" priority="99" operator="greaterThan">
      <formula>0</formula>
    </cfRule>
  </conditionalFormatting>
  <conditionalFormatting sqref="G1545">
    <cfRule type="cellIs" dxfId="1139" priority="96" operator="greaterThan">
      <formula>0</formula>
    </cfRule>
  </conditionalFormatting>
  <conditionalFormatting sqref="G1545">
    <cfRule type="cellIs" dxfId="1138" priority="97" operator="greaterThan">
      <formula>0</formula>
    </cfRule>
  </conditionalFormatting>
  <conditionalFormatting sqref="G1525">
    <cfRule type="cellIs" dxfId="1137" priority="95" operator="greaterThan">
      <formula>0</formula>
    </cfRule>
  </conditionalFormatting>
  <conditionalFormatting sqref="G1525">
    <cfRule type="cellIs" dxfId="1136" priority="94" operator="greaterThan">
      <formula>0</formula>
    </cfRule>
  </conditionalFormatting>
  <conditionalFormatting sqref="G1531">
    <cfRule type="cellIs" dxfId="1135" priority="93" operator="greaterThan">
      <formula>0</formula>
    </cfRule>
  </conditionalFormatting>
  <conditionalFormatting sqref="G1531">
    <cfRule type="cellIs" dxfId="1134" priority="92" operator="greaterThan">
      <formula>0</formula>
    </cfRule>
  </conditionalFormatting>
  <conditionalFormatting sqref="G1528">
    <cfRule type="cellIs" dxfId="1133" priority="91" operator="greaterThan">
      <formula>0</formula>
    </cfRule>
  </conditionalFormatting>
  <conditionalFormatting sqref="G1528">
    <cfRule type="cellIs" dxfId="1132" priority="90" operator="greaterThan">
      <formula>0</formula>
    </cfRule>
  </conditionalFormatting>
  <conditionalFormatting sqref="G1541">
    <cfRule type="cellIs" dxfId="1131" priority="89" operator="greaterThan">
      <formula>0</formula>
    </cfRule>
  </conditionalFormatting>
  <conditionalFormatting sqref="G1541">
    <cfRule type="cellIs" dxfId="1130" priority="88" operator="greaterThan">
      <formula>0</formula>
    </cfRule>
  </conditionalFormatting>
  <conditionalFormatting sqref="G1529">
    <cfRule type="cellIs" dxfId="1129" priority="86" operator="greaterThan">
      <formula>0</formula>
    </cfRule>
  </conditionalFormatting>
  <conditionalFormatting sqref="G1529">
    <cfRule type="cellIs" dxfId="1128" priority="87" operator="greaterThan">
      <formula>0</formula>
    </cfRule>
  </conditionalFormatting>
  <conditionalFormatting sqref="G1533">
    <cfRule type="cellIs" dxfId="1127" priority="84" operator="greaterThan">
      <formula>0</formula>
    </cfRule>
  </conditionalFormatting>
  <conditionalFormatting sqref="G1533">
    <cfRule type="cellIs" dxfId="1126" priority="85" operator="greaterThan">
      <formula>0</formula>
    </cfRule>
  </conditionalFormatting>
  <conditionalFormatting sqref="G1540">
    <cfRule type="cellIs" dxfId="1125" priority="82" operator="greaterThan">
      <formula>0</formula>
    </cfRule>
  </conditionalFormatting>
  <conditionalFormatting sqref="G1540">
    <cfRule type="cellIs" dxfId="1124" priority="83" operator="greaterThan">
      <formula>0</formula>
    </cfRule>
  </conditionalFormatting>
  <conditionalFormatting sqref="G1542">
    <cfRule type="cellIs" dxfId="1123" priority="80" operator="greaterThan">
      <formula>0</formula>
    </cfRule>
  </conditionalFormatting>
  <conditionalFormatting sqref="G1542">
    <cfRule type="cellIs" dxfId="1122" priority="81" operator="greaterThan">
      <formula>0</formula>
    </cfRule>
  </conditionalFormatting>
  <conditionalFormatting sqref="G1530">
    <cfRule type="cellIs" dxfId="1121" priority="79" operator="greaterThan">
      <formula>0</formula>
    </cfRule>
  </conditionalFormatting>
  <conditionalFormatting sqref="G1527">
    <cfRule type="cellIs" dxfId="1120" priority="78" operator="greaterThan">
      <formula>0</formula>
    </cfRule>
  </conditionalFormatting>
  <conditionalFormatting sqref="G1527">
    <cfRule type="cellIs" dxfId="1119" priority="77" operator="greaterThan">
      <formula>0</formula>
    </cfRule>
  </conditionalFormatting>
  <conditionalFormatting sqref="G1537">
    <cfRule type="cellIs" dxfId="1118" priority="76" operator="greaterThan">
      <formula>0</formula>
    </cfRule>
  </conditionalFormatting>
  <conditionalFormatting sqref="G1537">
    <cfRule type="cellIs" dxfId="1117" priority="75" operator="greaterThan">
      <formula>0</formula>
    </cfRule>
  </conditionalFormatting>
  <conditionalFormatting sqref="G1539">
    <cfRule type="cellIs" dxfId="1116" priority="74" operator="greaterThan">
      <formula>0</formula>
    </cfRule>
  </conditionalFormatting>
  <conditionalFormatting sqref="G1539">
    <cfRule type="cellIs" dxfId="1115" priority="73" operator="greaterThan">
      <formula>0</formula>
    </cfRule>
  </conditionalFormatting>
  <conditionalFormatting sqref="G1538">
    <cfRule type="cellIs" dxfId="1114" priority="72" operator="greaterThan">
      <formula>0</formula>
    </cfRule>
  </conditionalFormatting>
  <conditionalFormatting sqref="G1538">
    <cfRule type="cellIs" dxfId="1113" priority="71" operator="greaterThan">
      <formula>0</formula>
    </cfRule>
  </conditionalFormatting>
  <conditionalFormatting sqref="G1544">
    <cfRule type="cellIs" dxfId="1112" priority="70" operator="greaterThan">
      <formula>0</formula>
    </cfRule>
  </conditionalFormatting>
  <conditionalFormatting sqref="G1544">
    <cfRule type="cellIs" dxfId="1111" priority="69" operator="greaterThan">
      <formula>0</formula>
    </cfRule>
  </conditionalFormatting>
  <conditionalFormatting sqref="G1532">
    <cfRule type="cellIs" dxfId="1110" priority="68" operator="greaterThan">
      <formula>0</formula>
    </cfRule>
  </conditionalFormatting>
  <conditionalFormatting sqref="G1532">
    <cfRule type="cellIs" dxfId="1109" priority="67" operator="greaterThan">
      <formula>0</formula>
    </cfRule>
  </conditionalFormatting>
  <conditionalFormatting sqref="G1535">
    <cfRule type="cellIs" dxfId="1108" priority="66" operator="greaterThan">
      <formula>0</formula>
    </cfRule>
  </conditionalFormatting>
  <conditionalFormatting sqref="G1535">
    <cfRule type="cellIs" dxfId="1107" priority="65" operator="greaterThan">
      <formula>0</formula>
    </cfRule>
  </conditionalFormatting>
  <conditionalFormatting sqref="G1546">
    <cfRule type="cellIs" dxfId="1106" priority="64" operator="greaterThan">
      <formula>0</formula>
    </cfRule>
  </conditionalFormatting>
  <conditionalFormatting sqref="G1546">
    <cfRule type="cellIs" dxfId="1105" priority="63" operator="greaterThan">
      <formula>0</formula>
    </cfRule>
  </conditionalFormatting>
  <conditionalFormatting sqref="G1547">
    <cfRule type="cellIs" dxfId="1104" priority="62" operator="greaterThan">
      <formula>0</formula>
    </cfRule>
  </conditionalFormatting>
  <conditionalFormatting sqref="G1547">
    <cfRule type="cellIs" dxfId="1103" priority="61" operator="greaterThan">
      <formula>0</formula>
    </cfRule>
  </conditionalFormatting>
  <conditionalFormatting sqref="G1551">
    <cfRule type="cellIs" dxfId="1102" priority="60" operator="greaterThan">
      <formula>0</formula>
    </cfRule>
  </conditionalFormatting>
  <conditionalFormatting sqref="G1551">
    <cfRule type="cellIs" dxfId="1101" priority="59" operator="greaterThan">
      <formula>0</formula>
    </cfRule>
  </conditionalFormatting>
  <conditionalFormatting sqref="G1557">
    <cfRule type="cellIs" dxfId="1100" priority="58" operator="greaterThan">
      <formula>0</formula>
    </cfRule>
  </conditionalFormatting>
  <conditionalFormatting sqref="G1557">
    <cfRule type="cellIs" dxfId="1099" priority="57" operator="greaterThan">
      <formula>0</formula>
    </cfRule>
  </conditionalFormatting>
  <conditionalFormatting sqref="G1561">
    <cfRule type="cellIs" dxfId="1098" priority="56" operator="greaterThan">
      <formula>0</formula>
    </cfRule>
  </conditionalFormatting>
  <conditionalFormatting sqref="G1561">
    <cfRule type="cellIs" dxfId="1097" priority="55" operator="greaterThan">
      <formula>0</formula>
    </cfRule>
  </conditionalFormatting>
  <conditionalFormatting sqref="G1569">
    <cfRule type="cellIs" dxfId="1096" priority="54" operator="greaterThan">
      <formula>0</formula>
    </cfRule>
  </conditionalFormatting>
  <conditionalFormatting sqref="G1569">
    <cfRule type="cellIs" dxfId="1095" priority="53" operator="greaterThan">
      <formula>0</formula>
    </cfRule>
  </conditionalFormatting>
  <conditionalFormatting sqref="G1548">
    <cfRule type="cellIs" dxfId="1094" priority="52" operator="greaterThan">
      <formula>0</formula>
    </cfRule>
  </conditionalFormatting>
  <conditionalFormatting sqref="G1548">
    <cfRule type="cellIs" dxfId="1093" priority="51" operator="greaterThan">
      <formula>0</formula>
    </cfRule>
  </conditionalFormatting>
  <conditionalFormatting sqref="G1555">
    <cfRule type="cellIs" dxfId="1092" priority="50" operator="greaterThan">
      <formula>0</formula>
    </cfRule>
  </conditionalFormatting>
  <conditionalFormatting sqref="G1555">
    <cfRule type="cellIs" dxfId="1091" priority="49" operator="greaterThan">
      <formula>0</formula>
    </cfRule>
  </conditionalFormatting>
  <conditionalFormatting sqref="G1570">
    <cfRule type="cellIs" dxfId="1090" priority="48" operator="greaterThan">
      <formula>0</formula>
    </cfRule>
  </conditionalFormatting>
  <conditionalFormatting sqref="G1570">
    <cfRule type="cellIs" dxfId="1089" priority="47" operator="greaterThan">
      <formula>0</formula>
    </cfRule>
  </conditionalFormatting>
  <conditionalFormatting sqref="G1549">
    <cfRule type="cellIs" dxfId="1088" priority="45" operator="greaterThan">
      <formula>0</formula>
    </cfRule>
  </conditionalFormatting>
  <conditionalFormatting sqref="G1549">
    <cfRule type="cellIs" dxfId="1087" priority="46" operator="greaterThan">
      <formula>0</formula>
    </cfRule>
  </conditionalFormatting>
  <conditionalFormatting sqref="G1550">
    <cfRule type="cellIs" dxfId="1086" priority="43" operator="greaterThan">
      <formula>0</formula>
    </cfRule>
  </conditionalFormatting>
  <conditionalFormatting sqref="G1550">
    <cfRule type="cellIs" dxfId="1085" priority="44" operator="greaterThan">
      <formula>0</formula>
    </cfRule>
  </conditionalFormatting>
  <conditionalFormatting sqref="G1552">
    <cfRule type="cellIs" dxfId="1084" priority="41" operator="greaterThan">
      <formula>0</formula>
    </cfRule>
  </conditionalFormatting>
  <conditionalFormatting sqref="G1552">
    <cfRule type="cellIs" dxfId="1083" priority="42" operator="greaterThan">
      <formula>0</formula>
    </cfRule>
  </conditionalFormatting>
  <conditionalFormatting sqref="G1556">
    <cfRule type="cellIs" dxfId="1082" priority="39" operator="greaterThan">
      <formula>0</formula>
    </cfRule>
  </conditionalFormatting>
  <conditionalFormatting sqref="G1556">
    <cfRule type="cellIs" dxfId="1081" priority="40" operator="greaterThan">
      <formula>0</formula>
    </cfRule>
  </conditionalFormatting>
  <conditionalFormatting sqref="G1558">
    <cfRule type="cellIs" dxfId="1080" priority="37" operator="greaterThan">
      <formula>0</formula>
    </cfRule>
  </conditionalFormatting>
  <conditionalFormatting sqref="G1558">
    <cfRule type="cellIs" dxfId="1079" priority="38" operator="greaterThan">
      <formula>0</formula>
    </cfRule>
  </conditionalFormatting>
  <conditionalFormatting sqref="G1563">
    <cfRule type="cellIs" dxfId="1078" priority="35" operator="greaterThan">
      <formula>0</formula>
    </cfRule>
  </conditionalFormatting>
  <conditionalFormatting sqref="G1563">
    <cfRule type="cellIs" dxfId="1077" priority="36" operator="greaterThan">
      <formula>0</formula>
    </cfRule>
  </conditionalFormatting>
  <conditionalFormatting sqref="G1564:G1565">
    <cfRule type="cellIs" dxfId="1076" priority="33" operator="greaterThan">
      <formula>0</formula>
    </cfRule>
  </conditionalFormatting>
  <conditionalFormatting sqref="G1564:G1565">
    <cfRule type="cellIs" dxfId="1075" priority="34" operator="greaterThan">
      <formula>0</formula>
    </cfRule>
  </conditionalFormatting>
  <conditionalFormatting sqref="G1566">
    <cfRule type="cellIs" dxfId="1074" priority="31" operator="greaterThan">
      <formula>0</formula>
    </cfRule>
  </conditionalFormatting>
  <conditionalFormatting sqref="G1566">
    <cfRule type="cellIs" dxfId="1073" priority="32" operator="greaterThan">
      <formula>0</formula>
    </cfRule>
  </conditionalFormatting>
  <conditionalFormatting sqref="G1554">
    <cfRule type="cellIs" dxfId="1072" priority="30" operator="greaterThan">
      <formula>0</formula>
    </cfRule>
  </conditionalFormatting>
  <conditionalFormatting sqref="G1554">
    <cfRule type="cellIs" dxfId="1071" priority="29" operator="greaterThan">
      <formula>0</formula>
    </cfRule>
  </conditionalFormatting>
  <conditionalFormatting sqref="G1553">
    <cfRule type="cellIs" dxfId="1070" priority="28" operator="greaterThan">
      <formula>0</formula>
    </cfRule>
  </conditionalFormatting>
  <conditionalFormatting sqref="G1560">
    <cfRule type="cellIs" dxfId="1069" priority="26" operator="greaterThan">
      <formula>0</formula>
    </cfRule>
  </conditionalFormatting>
  <conditionalFormatting sqref="G1560">
    <cfRule type="cellIs" dxfId="1068" priority="27" operator="greaterThan">
      <formula>0</formula>
    </cfRule>
  </conditionalFormatting>
  <conditionalFormatting sqref="G1562">
    <cfRule type="cellIs" dxfId="1067" priority="24" operator="greaterThan">
      <formula>0</formula>
    </cfRule>
  </conditionalFormatting>
  <conditionalFormatting sqref="G1562">
    <cfRule type="cellIs" dxfId="1066" priority="25" operator="greaterThan">
      <formula>0</formula>
    </cfRule>
  </conditionalFormatting>
  <conditionalFormatting sqref="G1567">
    <cfRule type="cellIs" dxfId="1065" priority="22" operator="greaterThan">
      <formula>0</formula>
    </cfRule>
  </conditionalFormatting>
  <conditionalFormatting sqref="G1567">
    <cfRule type="cellIs" dxfId="1064" priority="23" operator="greaterThan">
      <formula>0</formula>
    </cfRule>
  </conditionalFormatting>
  <conditionalFormatting sqref="G1568">
    <cfRule type="cellIs" dxfId="1063" priority="21" operator="greaterThan">
      <formula>0</formula>
    </cfRule>
  </conditionalFormatting>
  <conditionalFormatting sqref="G1568">
    <cfRule type="cellIs" dxfId="1062" priority="20" operator="greaterThan">
      <formula>0</formula>
    </cfRule>
  </conditionalFormatting>
  <conditionalFormatting sqref="G1559">
    <cfRule type="cellIs" dxfId="1061" priority="18" operator="greaterThan">
      <formula>0</formula>
    </cfRule>
  </conditionalFormatting>
  <conditionalFormatting sqref="G1559">
    <cfRule type="cellIs" dxfId="1060" priority="19" operator="greaterThan">
      <formula>0</formula>
    </cfRule>
  </conditionalFormatting>
  <conditionalFormatting sqref="G1571">
    <cfRule type="cellIs" dxfId="1059" priority="17" operator="greaterThan">
      <formula>0</formula>
    </cfRule>
  </conditionalFormatting>
  <conditionalFormatting sqref="G1571">
    <cfRule type="cellIs" dxfId="1058" priority="16" operator="greaterThan">
      <formula>0</formula>
    </cfRule>
  </conditionalFormatting>
  <conditionalFormatting sqref="G1573">
    <cfRule type="cellIs" dxfId="1057" priority="15" operator="greaterThan">
      <formula>0</formula>
    </cfRule>
  </conditionalFormatting>
  <conditionalFormatting sqref="G1573">
    <cfRule type="cellIs" dxfId="1056" priority="14" operator="greaterThan">
      <formula>0</formula>
    </cfRule>
  </conditionalFormatting>
  <conditionalFormatting sqref="G1572">
    <cfRule type="cellIs" dxfId="1055" priority="12" operator="greaterThan">
      <formula>0</formula>
    </cfRule>
  </conditionalFormatting>
  <conditionalFormatting sqref="G1572">
    <cfRule type="cellIs" dxfId="1054" priority="13" operator="greaterThan">
      <formula>0</formula>
    </cfRule>
  </conditionalFormatting>
  <conditionalFormatting sqref="G1574">
    <cfRule type="cellIs" dxfId="1053" priority="10" operator="greaterThan">
      <formula>0</formula>
    </cfRule>
  </conditionalFormatting>
  <conditionalFormatting sqref="G1574">
    <cfRule type="cellIs" dxfId="1052" priority="11" operator="greaterThan">
      <formula>0</formula>
    </cfRule>
  </conditionalFormatting>
  <conditionalFormatting sqref="G1578">
    <cfRule type="cellIs" dxfId="1051" priority="8" operator="greaterThan">
      <formula>0</formula>
    </cfRule>
  </conditionalFormatting>
  <conditionalFormatting sqref="G1578">
    <cfRule type="cellIs" dxfId="1050" priority="9" operator="greaterThan">
      <formula>0</formula>
    </cfRule>
  </conditionalFormatting>
  <conditionalFormatting sqref="G1579">
    <cfRule type="cellIs" dxfId="1049" priority="7" operator="greaterThan">
      <formula>0</formula>
    </cfRule>
  </conditionalFormatting>
  <conditionalFormatting sqref="G1577">
    <cfRule type="cellIs" dxfId="1048" priority="6" operator="greaterThan">
      <formula>0</formula>
    </cfRule>
  </conditionalFormatting>
  <conditionalFormatting sqref="G1577">
    <cfRule type="cellIs" dxfId="1047" priority="5" operator="greaterThan">
      <formula>0</formula>
    </cfRule>
  </conditionalFormatting>
  <conditionalFormatting sqref="G1576">
    <cfRule type="cellIs" dxfId="1046" priority="4" operator="greaterThan">
      <formula>0</formula>
    </cfRule>
  </conditionalFormatting>
  <conditionalFormatting sqref="G1575">
    <cfRule type="cellIs" dxfId="1045" priority="3" operator="greaterThan">
      <formula>0</formula>
    </cfRule>
  </conditionalFormatting>
  <conditionalFormatting sqref="G1580">
    <cfRule type="cellIs" dxfId="1044" priority="2" operator="greaterThan">
      <formula>0</formula>
    </cfRule>
  </conditionalFormatting>
  <conditionalFormatting sqref="G1580:G1581">
    <cfRule type="cellIs" dxfId="1043" priority="1" operator="greaterThan">
      <formula>0</formula>
    </cfRule>
  </conditionalFormatting>
  <printOptions horizontalCentered="1"/>
  <pageMargins left="0.31496062992126" right="0.196850393700787" top="0.25" bottom="0.31" header="0.196850393700787" footer="0.16"/>
  <pageSetup paperSize="9" orientation="portrait" r:id="rId2"/>
  <headerFooter>
    <oddHeader>&amp;C&amp;"-,Bold"&amp;12Basic Data (Arif and Zada)</oddHead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361"/>
  <sheetViews>
    <sheetView view="pageBreakPreview" topLeftCell="A1335" zoomScaleNormal="100" zoomScaleSheetLayoutView="100" workbookViewId="0">
      <selection activeCell="E1362" sqref="E1362"/>
    </sheetView>
  </sheetViews>
  <sheetFormatPr defaultColWidth="9.109375" defaultRowHeight="14.4" x14ac:dyDescent="0.3"/>
  <cols>
    <col min="1" max="1" width="6.6640625" style="77" customWidth="1"/>
    <col min="2" max="2" width="12.33203125" style="77" customWidth="1"/>
    <col min="3" max="3" width="30.6640625" style="77" customWidth="1"/>
    <col min="4" max="4" width="16.5546875" style="116" bestFit="1" customWidth="1"/>
    <col min="5" max="5" width="12.5546875" style="116" customWidth="1"/>
    <col min="6" max="6" width="12.5546875" style="78" customWidth="1"/>
    <col min="7" max="8" width="9.109375" style="186"/>
    <col min="9" max="16384" width="9.109375" style="77"/>
  </cols>
  <sheetData>
    <row r="1" spans="1:6" ht="18" x14ac:dyDescent="0.35">
      <c r="A1" s="153" t="s">
        <v>0</v>
      </c>
    </row>
    <row r="2" spans="1:6" ht="18" x14ac:dyDescent="0.35">
      <c r="A2" s="153" t="s">
        <v>1712</v>
      </c>
      <c r="B2" s="153"/>
      <c r="C2" s="154"/>
      <c r="D2" s="154"/>
      <c r="E2" s="155"/>
    </row>
    <row r="3" spans="1:6" ht="31.2" x14ac:dyDescent="0.3">
      <c r="A3" s="123" t="s">
        <v>1450</v>
      </c>
      <c r="B3" s="124" t="s">
        <v>2</v>
      </c>
      <c r="C3" s="123" t="s">
        <v>3</v>
      </c>
      <c r="D3" s="125" t="s">
        <v>267</v>
      </c>
      <c r="E3" s="140" t="s">
        <v>1148</v>
      </c>
      <c r="F3" s="252" t="s">
        <v>1138</v>
      </c>
    </row>
    <row r="4" spans="1:6" ht="15.6" x14ac:dyDescent="0.3">
      <c r="A4" s="127">
        <v>6</v>
      </c>
      <c r="B4" s="128">
        <v>43180</v>
      </c>
      <c r="C4" s="130" t="s">
        <v>4</v>
      </c>
      <c r="D4" s="130" t="s">
        <v>1521</v>
      </c>
      <c r="E4" s="169"/>
      <c r="F4" s="253">
        <v>2000</v>
      </c>
    </row>
    <row r="5" spans="1:6" ht="15.6" x14ac:dyDescent="0.3">
      <c r="A5" s="127">
        <v>53</v>
      </c>
      <c r="B5" s="131">
        <v>43201</v>
      </c>
      <c r="C5" s="133" t="s">
        <v>5</v>
      </c>
      <c r="D5" s="133" t="s">
        <v>1520</v>
      </c>
      <c r="E5" s="169"/>
      <c r="F5" s="254"/>
    </row>
    <row r="6" spans="1:6" ht="15.6" x14ac:dyDescent="0.3">
      <c r="A6" s="127">
        <v>97</v>
      </c>
      <c r="B6" s="128">
        <v>43221</v>
      </c>
      <c r="C6" s="129" t="s">
        <v>1738</v>
      </c>
      <c r="D6" s="129" t="s">
        <v>1516</v>
      </c>
      <c r="E6" s="141"/>
      <c r="F6" s="253">
        <v>15000</v>
      </c>
    </row>
    <row r="7" spans="1:6" ht="15.6" x14ac:dyDescent="0.3">
      <c r="A7" s="127">
        <v>104</v>
      </c>
      <c r="B7" s="128">
        <v>43236</v>
      </c>
      <c r="C7" s="129" t="s">
        <v>7</v>
      </c>
      <c r="D7" s="129" t="s">
        <v>1516</v>
      </c>
      <c r="E7" s="169"/>
      <c r="F7" s="253">
        <v>0</v>
      </c>
    </row>
    <row r="8" spans="1:6" ht="15.6" x14ac:dyDescent="0.3">
      <c r="A8" s="127">
        <v>105</v>
      </c>
      <c r="B8" s="128">
        <v>43236</v>
      </c>
      <c r="C8" s="129" t="s">
        <v>8</v>
      </c>
      <c r="D8" s="129" t="s">
        <v>1516</v>
      </c>
      <c r="E8" s="169"/>
      <c r="F8" s="253">
        <v>0</v>
      </c>
    </row>
    <row r="9" spans="1:6" ht="15.6" x14ac:dyDescent="0.3">
      <c r="A9" s="127">
        <v>106</v>
      </c>
      <c r="B9" s="128">
        <v>43236</v>
      </c>
      <c r="C9" s="129" t="s">
        <v>9</v>
      </c>
      <c r="D9" s="129" t="s">
        <v>1516</v>
      </c>
      <c r="E9" s="169"/>
      <c r="F9" s="253">
        <v>0</v>
      </c>
    </row>
    <row r="10" spans="1:6" ht="15.6" x14ac:dyDescent="0.3">
      <c r="A10" s="127">
        <v>107</v>
      </c>
      <c r="B10" s="128">
        <v>43236</v>
      </c>
      <c r="C10" s="130" t="s">
        <v>10</v>
      </c>
      <c r="D10" s="130" t="s">
        <v>1516</v>
      </c>
      <c r="E10" s="169"/>
      <c r="F10" s="253">
        <v>0</v>
      </c>
    </row>
    <row r="11" spans="1:6" ht="15.6" x14ac:dyDescent="0.3">
      <c r="A11" s="127">
        <v>108</v>
      </c>
      <c r="B11" s="128">
        <v>43236</v>
      </c>
      <c r="C11" s="130" t="s">
        <v>11</v>
      </c>
      <c r="D11" s="130" t="s">
        <v>1516</v>
      </c>
      <c r="E11" s="169"/>
      <c r="F11" s="253">
        <v>0</v>
      </c>
    </row>
    <row r="12" spans="1:6" ht="15.6" x14ac:dyDescent="0.3">
      <c r="A12" s="127">
        <v>109</v>
      </c>
      <c r="B12" s="128">
        <v>43236</v>
      </c>
      <c r="C12" s="130" t="s">
        <v>12</v>
      </c>
      <c r="D12" s="130" t="s">
        <v>1516</v>
      </c>
      <c r="E12" s="169"/>
      <c r="F12" s="253">
        <v>0</v>
      </c>
    </row>
    <row r="13" spans="1:6" ht="15.6" x14ac:dyDescent="0.3">
      <c r="A13" s="127" t="s">
        <v>1749</v>
      </c>
      <c r="B13" s="128">
        <v>43236</v>
      </c>
      <c r="C13" s="130" t="s">
        <v>1538</v>
      </c>
      <c r="D13" s="130" t="s">
        <v>1530</v>
      </c>
      <c r="E13" s="169"/>
      <c r="F13" s="253">
        <v>2000</v>
      </c>
    </row>
    <row r="14" spans="1:6" ht="15.6" x14ac:dyDescent="0.3">
      <c r="A14" s="127">
        <v>111</v>
      </c>
      <c r="B14" s="128">
        <v>43236</v>
      </c>
      <c r="C14" s="130" t="s">
        <v>1518</v>
      </c>
      <c r="D14" s="130" t="s">
        <v>1521</v>
      </c>
      <c r="E14" s="169"/>
      <c r="F14" s="253">
        <v>627</v>
      </c>
    </row>
    <row r="15" spans="1:6" ht="15.6" x14ac:dyDescent="0.3">
      <c r="A15" s="127">
        <v>112</v>
      </c>
      <c r="B15" s="128">
        <v>43236</v>
      </c>
      <c r="C15" s="130" t="s">
        <v>1706</v>
      </c>
      <c r="D15" s="130" t="s">
        <v>1521</v>
      </c>
      <c r="E15" s="169"/>
      <c r="F15" s="253">
        <v>650</v>
      </c>
    </row>
    <row r="16" spans="1:6" ht="15.6" x14ac:dyDescent="0.3">
      <c r="A16" s="127">
        <v>118</v>
      </c>
      <c r="B16" s="128">
        <v>43250</v>
      </c>
      <c r="C16" s="129" t="s">
        <v>1502</v>
      </c>
      <c r="D16" s="129" t="s">
        <v>1519</v>
      </c>
      <c r="E16" s="141"/>
      <c r="F16" s="253">
        <v>2500</v>
      </c>
    </row>
    <row r="17" spans="1:6" ht="15.6" x14ac:dyDescent="0.3">
      <c r="A17" s="127">
        <v>136</v>
      </c>
      <c r="B17" s="128">
        <v>43259</v>
      </c>
      <c r="C17" s="117" t="s">
        <v>1702</v>
      </c>
      <c r="D17" s="117" t="s">
        <v>1521</v>
      </c>
      <c r="E17" s="141"/>
      <c r="F17" s="253">
        <v>120</v>
      </c>
    </row>
    <row r="18" spans="1:6" ht="15.6" x14ac:dyDescent="0.3">
      <c r="A18" s="127">
        <v>144</v>
      </c>
      <c r="B18" s="131">
        <v>43280</v>
      </c>
      <c r="C18" s="129" t="s">
        <v>1703</v>
      </c>
      <c r="D18" s="129" t="s">
        <v>1521</v>
      </c>
      <c r="E18" s="141"/>
      <c r="F18" s="253">
        <v>240</v>
      </c>
    </row>
    <row r="19" spans="1:6" ht="15.6" x14ac:dyDescent="0.3">
      <c r="A19" s="127">
        <v>152</v>
      </c>
      <c r="B19" s="158">
        <v>43282</v>
      </c>
      <c r="C19" s="159" t="s">
        <v>1738</v>
      </c>
      <c r="D19" s="159" t="s">
        <v>1516</v>
      </c>
      <c r="E19" s="170"/>
      <c r="F19" s="253">
        <v>13800</v>
      </c>
    </row>
    <row r="20" spans="1:6" ht="15.6" x14ac:dyDescent="0.3">
      <c r="A20" s="127">
        <v>156</v>
      </c>
      <c r="B20" s="128">
        <v>43289</v>
      </c>
      <c r="C20" s="129" t="s">
        <v>1540</v>
      </c>
      <c r="D20" s="129" t="s">
        <v>1517</v>
      </c>
      <c r="E20" s="169"/>
      <c r="F20" s="253">
        <v>0</v>
      </c>
    </row>
    <row r="21" spans="1:6" ht="15.6" x14ac:dyDescent="0.3">
      <c r="A21" s="127">
        <v>159</v>
      </c>
      <c r="B21" s="128">
        <v>43299</v>
      </c>
      <c r="C21" s="133" t="s">
        <v>6</v>
      </c>
      <c r="D21" s="133" t="s">
        <v>1523</v>
      </c>
      <c r="E21" s="169"/>
      <c r="F21" s="253">
        <v>50000</v>
      </c>
    </row>
    <row r="22" spans="1:6" ht="15.6" x14ac:dyDescent="0.3">
      <c r="A22" s="127">
        <v>160</v>
      </c>
      <c r="B22" s="128">
        <v>43299</v>
      </c>
      <c r="C22" s="129" t="s">
        <v>1541</v>
      </c>
      <c r="D22" s="129" t="s">
        <v>1530</v>
      </c>
      <c r="E22" s="169"/>
      <c r="F22" s="253">
        <v>38000</v>
      </c>
    </row>
    <row r="23" spans="1:6" ht="15.6" x14ac:dyDescent="0.3">
      <c r="A23" s="127">
        <v>161</v>
      </c>
      <c r="B23" s="128">
        <v>43299</v>
      </c>
      <c r="C23" s="129" t="s">
        <v>7</v>
      </c>
      <c r="D23" s="129" t="s">
        <v>1516</v>
      </c>
      <c r="E23" s="169"/>
      <c r="F23" s="253">
        <v>0</v>
      </c>
    </row>
    <row r="24" spans="1:6" ht="15.6" x14ac:dyDescent="0.3">
      <c r="A24" s="127">
        <v>162</v>
      </c>
      <c r="B24" s="128">
        <v>43299</v>
      </c>
      <c r="C24" s="129" t="s">
        <v>8</v>
      </c>
      <c r="D24" s="129" t="s">
        <v>1516</v>
      </c>
      <c r="E24" s="169"/>
      <c r="F24" s="253">
        <v>0</v>
      </c>
    </row>
    <row r="25" spans="1:6" ht="15.6" x14ac:dyDescent="0.3">
      <c r="A25" s="127">
        <v>163</v>
      </c>
      <c r="B25" s="128">
        <v>43299</v>
      </c>
      <c r="C25" s="129" t="s">
        <v>9</v>
      </c>
      <c r="D25" s="129" t="s">
        <v>1516</v>
      </c>
      <c r="E25" s="169"/>
      <c r="F25" s="253">
        <v>0</v>
      </c>
    </row>
    <row r="26" spans="1:6" ht="15.6" x14ac:dyDescent="0.3">
      <c r="A26" s="127">
        <v>165</v>
      </c>
      <c r="B26" s="128">
        <v>43302</v>
      </c>
      <c r="C26" s="129" t="s">
        <v>1542</v>
      </c>
      <c r="D26" s="129" t="s">
        <v>1471</v>
      </c>
      <c r="E26" s="169"/>
      <c r="F26" s="253">
        <v>100000</v>
      </c>
    </row>
    <row r="27" spans="1:6" ht="15.6" x14ac:dyDescent="0.3">
      <c r="A27" s="127">
        <v>166</v>
      </c>
      <c r="B27" s="128">
        <v>43302</v>
      </c>
      <c r="C27" s="150" t="s">
        <v>1704</v>
      </c>
      <c r="D27" s="150" t="s">
        <v>1521</v>
      </c>
      <c r="E27" s="172"/>
      <c r="F27" s="253">
        <v>490</v>
      </c>
    </row>
    <row r="28" spans="1:6" ht="15.6" x14ac:dyDescent="0.3">
      <c r="A28" s="127">
        <v>167</v>
      </c>
      <c r="B28" s="128">
        <v>43302</v>
      </c>
      <c r="C28" s="150" t="s">
        <v>1163</v>
      </c>
      <c r="D28" s="150" t="s">
        <v>1521</v>
      </c>
      <c r="E28" s="172"/>
      <c r="F28" s="253">
        <v>1000</v>
      </c>
    </row>
    <row r="29" spans="1:6" ht="15.6" x14ac:dyDescent="0.3">
      <c r="A29" s="127">
        <v>168</v>
      </c>
      <c r="B29" s="128">
        <v>43305</v>
      </c>
      <c r="C29" s="129" t="s">
        <v>1543</v>
      </c>
      <c r="D29" s="129" t="s">
        <v>1530</v>
      </c>
      <c r="E29" s="169"/>
      <c r="F29" s="253">
        <v>21000</v>
      </c>
    </row>
    <row r="30" spans="1:6" ht="15.6" x14ac:dyDescent="0.3">
      <c r="A30" s="127">
        <v>169</v>
      </c>
      <c r="B30" s="128">
        <v>43305</v>
      </c>
      <c r="C30" s="129" t="s">
        <v>1544</v>
      </c>
      <c r="D30" s="129" t="s">
        <v>1471</v>
      </c>
      <c r="E30" s="169"/>
      <c r="F30" s="253">
        <v>25000</v>
      </c>
    </row>
    <row r="31" spans="1:6" ht="15.6" x14ac:dyDescent="0.3">
      <c r="A31" s="127">
        <v>170</v>
      </c>
      <c r="B31" s="128">
        <v>43305</v>
      </c>
      <c r="C31" s="129" t="s">
        <v>21</v>
      </c>
      <c r="D31" s="129" t="s">
        <v>1471</v>
      </c>
      <c r="E31" s="169"/>
      <c r="F31" s="253">
        <v>2000</v>
      </c>
    </row>
    <row r="32" spans="1:6" ht="15.6" x14ac:dyDescent="0.3">
      <c r="A32" s="127">
        <v>171</v>
      </c>
      <c r="B32" s="128">
        <v>43305</v>
      </c>
      <c r="C32" s="129" t="s">
        <v>12</v>
      </c>
      <c r="D32" s="129" t="s">
        <v>1471</v>
      </c>
      <c r="E32" s="169"/>
      <c r="F32" s="253">
        <v>2000</v>
      </c>
    </row>
    <row r="33" spans="1:6" ht="15.6" x14ac:dyDescent="0.3">
      <c r="A33" s="127">
        <v>190</v>
      </c>
      <c r="B33" s="158">
        <v>43313</v>
      </c>
      <c r="C33" s="159" t="s">
        <v>1738</v>
      </c>
      <c r="D33" s="159" t="s">
        <v>1516</v>
      </c>
      <c r="E33" s="170"/>
      <c r="F33" s="253">
        <v>83700</v>
      </c>
    </row>
    <row r="34" spans="1:6" ht="15.6" x14ac:dyDescent="0.3">
      <c r="A34" s="127">
        <v>191</v>
      </c>
      <c r="B34" s="128">
        <v>43318</v>
      </c>
      <c r="C34" s="130" t="s">
        <v>1545</v>
      </c>
      <c r="D34" s="130" t="s">
        <v>1521</v>
      </c>
      <c r="E34" s="169"/>
      <c r="F34" s="253">
        <v>120</v>
      </c>
    </row>
    <row r="35" spans="1:6" ht="15.6" x14ac:dyDescent="0.3">
      <c r="A35" s="127">
        <v>192</v>
      </c>
      <c r="B35" s="128">
        <v>43320</v>
      </c>
      <c r="C35" s="129" t="s">
        <v>1546</v>
      </c>
      <c r="D35" s="129" t="s">
        <v>1471</v>
      </c>
      <c r="E35" s="169"/>
      <c r="F35" s="253">
        <v>100000</v>
      </c>
    </row>
    <row r="36" spans="1:6" ht="15.6" x14ac:dyDescent="0.3">
      <c r="A36" s="127">
        <v>193</v>
      </c>
      <c r="B36" s="128">
        <v>43320</v>
      </c>
      <c r="C36" s="129" t="s">
        <v>1260</v>
      </c>
      <c r="D36" s="129" t="s">
        <v>1516</v>
      </c>
      <c r="E36" s="169"/>
      <c r="F36" s="253">
        <v>0</v>
      </c>
    </row>
    <row r="37" spans="1:6" ht="15.6" x14ac:dyDescent="0.3">
      <c r="A37" s="127">
        <v>194</v>
      </c>
      <c r="B37" s="128">
        <v>43323</v>
      </c>
      <c r="C37" s="129" t="s">
        <v>1260</v>
      </c>
      <c r="D37" s="129" t="s">
        <v>1516</v>
      </c>
      <c r="E37" s="169"/>
      <c r="F37" s="253">
        <v>0</v>
      </c>
    </row>
    <row r="38" spans="1:6" ht="15.6" x14ac:dyDescent="0.3">
      <c r="A38" s="127">
        <v>195</v>
      </c>
      <c r="B38" s="128">
        <v>43325</v>
      </c>
      <c r="C38" s="129" t="s">
        <v>1707</v>
      </c>
      <c r="D38" s="129" t="s">
        <v>1516</v>
      </c>
      <c r="E38" s="169"/>
      <c r="F38" s="253">
        <v>0</v>
      </c>
    </row>
    <row r="39" spans="1:6" ht="15.6" x14ac:dyDescent="0.3">
      <c r="A39" s="127">
        <v>196</v>
      </c>
      <c r="B39" s="128">
        <v>43325</v>
      </c>
      <c r="C39" s="129" t="s">
        <v>1260</v>
      </c>
      <c r="D39" s="129" t="s">
        <v>1516</v>
      </c>
      <c r="E39" s="169"/>
      <c r="F39" s="253">
        <v>0</v>
      </c>
    </row>
    <row r="40" spans="1:6" ht="15.6" x14ac:dyDescent="0.3">
      <c r="A40" s="127">
        <v>197</v>
      </c>
      <c r="B40" s="128">
        <v>43325</v>
      </c>
      <c r="C40" s="129" t="s">
        <v>1708</v>
      </c>
      <c r="D40" s="129" t="s">
        <v>1516</v>
      </c>
      <c r="E40" s="169"/>
      <c r="F40" s="253">
        <v>0</v>
      </c>
    </row>
    <row r="41" spans="1:6" ht="15.6" x14ac:dyDescent="0.3">
      <c r="A41" s="127">
        <v>198</v>
      </c>
      <c r="B41" s="128">
        <v>43325</v>
      </c>
      <c r="C41" s="129" t="s">
        <v>1709</v>
      </c>
      <c r="D41" s="129" t="s">
        <v>1516</v>
      </c>
      <c r="E41" s="169"/>
      <c r="F41" s="253">
        <v>0</v>
      </c>
    </row>
    <row r="42" spans="1:6" ht="15.6" x14ac:dyDescent="0.3">
      <c r="A42" s="127">
        <v>199</v>
      </c>
      <c r="B42" s="128">
        <v>43325</v>
      </c>
      <c r="C42" s="129" t="s">
        <v>26</v>
      </c>
      <c r="D42" s="129" t="s">
        <v>1522</v>
      </c>
      <c r="E42" s="169"/>
      <c r="F42" s="253">
        <v>20000</v>
      </c>
    </row>
    <row r="43" spans="1:6" ht="15.6" x14ac:dyDescent="0.3">
      <c r="A43" s="127">
        <v>200</v>
      </c>
      <c r="B43" s="128">
        <v>43325</v>
      </c>
      <c r="C43" s="129" t="s">
        <v>1547</v>
      </c>
      <c r="D43" s="129" t="s">
        <v>1471</v>
      </c>
      <c r="E43" s="169"/>
      <c r="F43" s="253">
        <v>118000</v>
      </c>
    </row>
    <row r="44" spans="1:6" ht="15.6" x14ac:dyDescent="0.3">
      <c r="A44" s="127">
        <v>201</v>
      </c>
      <c r="B44" s="128">
        <v>43327</v>
      </c>
      <c r="C44" s="129" t="s">
        <v>26</v>
      </c>
      <c r="D44" s="129" t="s">
        <v>1522</v>
      </c>
      <c r="E44" s="169"/>
      <c r="F44" s="253">
        <v>30000</v>
      </c>
    </row>
    <row r="45" spans="1:6" ht="15.6" x14ac:dyDescent="0.3">
      <c r="A45" s="127">
        <v>202</v>
      </c>
      <c r="B45" s="128">
        <v>43328</v>
      </c>
      <c r="C45" s="129" t="s">
        <v>7</v>
      </c>
      <c r="D45" s="129" t="s">
        <v>1516</v>
      </c>
      <c r="E45" s="169"/>
      <c r="F45" s="253">
        <v>0</v>
      </c>
    </row>
    <row r="46" spans="1:6" ht="15.6" x14ac:dyDescent="0.3">
      <c r="A46" s="127">
        <v>203</v>
      </c>
      <c r="B46" s="128">
        <v>43328</v>
      </c>
      <c r="C46" s="129" t="s">
        <v>9</v>
      </c>
      <c r="D46" s="129" t="s">
        <v>1516</v>
      </c>
      <c r="E46" s="169"/>
      <c r="F46" s="253">
        <v>0</v>
      </c>
    </row>
    <row r="47" spans="1:6" ht="15.6" x14ac:dyDescent="0.3">
      <c r="A47" s="127">
        <v>204</v>
      </c>
      <c r="B47" s="128">
        <v>43328</v>
      </c>
      <c r="C47" s="129" t="s">
        <v>1260</v>
      </c>
      <c r="D47" s="129" t="s">
        <v>1516</v>
      </c>
      <c r="E47" s="169"/>
      <c r="F47" s="253">
        <v>0</v>
      </c>
    </row>
    <row r="48" spans="1:6" ht="15.6" x14ac:dyDescent="0.3">
      <c r="A48" s="127">
        <v>205</v>
      </c>
      <c r="B48" s="128">
        <v>43328</v>
      </c>
      <c r="C48" s="129" t="s">
        <v>1710</v>
      </c>
      <c r="D48" s="129" t="s">
        <v>1516</v>
      </c>
      <c r="E48" s="169"/>
      <c r="F48" s="253">
        <v>0</v>
      </c>
    </row>
    <row r="49" spans="1:6" ht="15.6" x14ac:dyDescent="0.3">
      <c r="A49" s="127">
        <v>211</v>
      </c>
      <c r="B49" s="128">
        <v>43332</v>
      </c>
      <c r="C49" s="129" t="s">
        <v>7</v>
      </c>
      <c r="D49" s="129" t="s">
        <v>1516</v>
      </c>
      <c r="E49" s="169"/>
      <c r="F49" s="253">
        <v>0</v>
      </c>
    </row>
    <row r="50" spans="1:6" ht="15.6" x14ac:dyDescent="0.3">
      <c r="A50" s="127">
        <v>212</v>
      </c>
      <c r="B50" s="128">
        <v>43332</v>
      </c>
      <c r="C50" s="129" t="s">
        <v>1260</v>
      </c>
      <c r="D50" s="129" t="s">
        <v>1516</v>
      </c>
      <c r="E50" s="169"/>
      <c r="F50" s="253">
        <v>0</v>
      </c>
    </row>
    <row r="51" spans="1:6" ht="15.6" x14ac:dyDescent="0.3">
      <c r="A51" s="127">
        <v>245</v>
      </c>
      <c r="B51" s="128">
        <v>43358</v>
      </c>
      <c r="C51" s="129" t="s">
        <v>29</v>
      </c>
      <c r="D51" s="129" t="s">
        <v>1516</v>
      </c>
      <c r="E51" s="169"/>
      <c r="F51" s="253">
        <v>1000</v>
      </c>
    </row>
    <row r="52" spans="1:6" ht="15.6" x14ac:dyDescent="0.3">
      <c r="A52" s="127">
        <v>246</v>
      </c>
      <c r="B52" s="128">
        <v>43358</v>
      </c>
      <c r="C52" s="129" t="s">
        <v>30</v>
      </c>
      <c r="D52" s="129" t="s">
        <v>1471</v>
      </c>
      <c r="E52" s="169"/>
      <c r="F52" s="253">
        <v>800</v>
      </c>
    </row>
    <row r="53" spans="1:6" ht="15.6" x14ac:dyDescent="0.3">
      <c r="A53" s="127">
        <v>247</v>
      </c>
      <c r="B53" s="128">
        <v>43358</v>
      </c>
      <c r="C53" s="129" t="s">
        <v>1548</v>
      </c>
      <c r="D53" s="129" t="s">
        <v>1526</v>
      </c>
      <c r="E53" s="169"/>
      <c r="F53" s="253">
        <v>10000</v>
      </c>
    </row>
    <row r="54" spans="1:6" ht="15.6" x14ac:dyDescent="0.3">
      <c r="A54" s="127">
        <v>248</v>
      </c>
      <c r="B54" s="128">
        <v>43358</v>
      </c>
      <c r="C54" s="129" t="s">
        <v>32</v>
      </c>
      <c r="D54" s="129" t="s">
        <v>1471</v>
      </c>
      <c r="E54" s="169"/>
      <c r="F54" s="253">
        <v>15000</v>
      </c>
    </row>
    <row r="55" spans="1:6" ht="15.6" x14ac:dyDescent="0.3">
      <c r="A55" s="127">
        <v>249</v>
      </c>
      <c r="B55" s="128">
        <v>43358</v>
      </c>
      <c r="C55" s="129" t="s">
        <v>1549</v>
      </c>
      <c r="D55" s="129" t="s">
        <v>1517</v>
      </c>
      <c r="E55" s="169"/>
      <c r="F55" s="253">
        <v>0</v>
      </c>
    </row>
    <row r="56" spans="1:6" ht="15.6" x14ac:dyDescent="0.3">
      <c r="A56" s="127">
        <v>255</v>
      </c>
      <c r="B56" s="128">
        <v>43360</v>
      </c>
      <c r="C56" s="129" t="s">
        <v>29</v>
      </c>
      <c r="D56" s="129" t="s">
        <v>1516</v>
      </c>
      <c r="E56" s="169"/>
      <c r="F56" s="253">
        <v>1000</v>
      </c>
    </row>
    <row r="57" spans="1:6" ht="15.6" x14ac:dyDescent="0.3">
      <c r="A57" s="127">
        <v>256</v>
      </c>
      <c r="B57" s="128">
        <v>43366</v>
      </c>
      <c r="C57" s="129" t="s">
        <v>1548</v>
      </c>
      <c r="D57" s="129" t="s">
        <v>1526</v>
      </c>
      <c r="E57" s="169"/>
      <c r="F57" s="253">
        <v>10000</v>
      </c>
    </row>
    <row r="58" spans="1:6" ht="15.6" x14ac:dyDescent="0.3">
      <c r="A58" s="127">
        <v>257</v>
      </c>
      <c r="B58" s="128">
        <v>43366</v>
      </c>
      <c r="C58" s="129" t="s">
        <v>29</v>
      </c>
      <c r="D58" s="129" t="s">
        <v>1516</v>
      </c>
      <c r="E58" s="169"/>
      <c r="F58" s="253">
        <v>2000</v>
      </c>
    </row>
    <row r="59" spans="1:6" ht="15.6" x14ac:dyDescent="0.3">
      <c r="A59" s="127">
        <v>260</v>
      </c>
      <c r="B59" s="128">
        <v>43368</v>
      </c>
      <c r="C59" s="129" t="s">
        <v>1548</v>
      </c>
      <c r="D59" s="129" t="s">
        <v>1526</v>
      </c>
      <c r="E59" s="169"/>
      <c r="F59" s="253">
        <v>15000</v>
      </c>
    </row>
    <row r="60" spans="1:6" ht="15.6" x14ac:dyDescent="0.3">
      <c r="A60" s="127">
        <v>261</v>
      </c>
      <c r="B60" s="128">
        <v>43368</v>
      </c>
      <c r="C60" s="129" t="s">
        <v>29</v>
      </c>
      <c r="D60" s="129" t="s">
        <v>1516</v>
      </c>
      <c r="E60" s="169"/>
      <c r="F60" s="253">
        <v>1000</v>
      </c>
    </row>
    <row r="61" spans="1:6" ht="15.6" x14ac:dyDescent="0.3">
      <c r="A61" s="127">
        <v>263</v>
      </c>
      <c r="B61" s="128">
        <v>43372</v>
      </c>
      <c r="C61" s="129" t="s">
        <v>34</v>
      </c>
      <c r="D61" s="129" t="s">
        <v>1521</v>
      </c>
      <c r="E61" s="169"/>
      <c r="F61" s="253">
        <v>540</v>
      </c>
    </row>
    <row r="62" spans="1:6" ht="15.6" x14ac:dyDescent="0.3">
      <c r="A62" s="127">
        <v>264</v>
      </c>
      <c r="B62" s="128">
        <v>43372</v>
      </c>
      <c r="C62" s="129" t="s">
        <v>35</v>
      </c>
      <c r="D62" s="129" t="s">
        <v>1521</v>
      </c>
      <c r="E62" s="169"/>
      <c r="F62" s="253">
        <v>100</v>
      </c>
    </row>
    <row r="63" spans="1:6" ht="15.6" x14ac:dyDescent="0.3">
      <c r="A63" s="127">
        <v>265</v>
      </c>
      <c r="B63" s="128">
        <v>43372</v>
      </c>
      <c r="C63" s="129" t="s">
        <v>1548</v>
      </c>
      <c r="D63" s="129" t="s">
        <v>1526</v>
      </c>
      <c r="E63" s="169"/>
      <c r="F63" s="253">
        <v>50000</v>
      </c>
    </row>
    <row r="64" spans="1:6" ht="15.6" x14ac:dyDescent="0.3">
      <c r="A64" s="127">
        <v>266</v>
      </c>
      <c r="B64" s="128">
        <v>43372</v>
      </c>
      <c r="C64" s="129" t="s">
        <v>29</v>
      </c>
      <c r="D64" s="129" t="s">
        <v>1516</v>
      </c>
      <c r="E64" s="169"/>
      <c r="F64" s="253">
        <v>1000</v>
      </c>
    </row>
    <row r="65" spans="1:6" ht="15.6" x14ac:dyDescent="0.3">
      <c r="A65" s="127">
        <v>267</v>
      </c>
      <c r="B65" s="128">
        <v>43372</v>
      </c>
      <c r="C65" s="133" t="s">
        <v>1550</v>
      </c>
      <c r="D65" s="133" t="s">
        <v>1520</v>
      </c>
      <c r="E65" s="169">
        <v>100000</v>
      </c>
      <c r="F65" s="254"/>
    </row>
    <row r="66" spans="1:6" ht="15.6" x14ac:dyDescent="0.3">
      <c r="A66" s="127">
        <v>268</v>
      </c>
      <c r="B66" s="128">
        <v>43376</v>
      </c>
      <c r="C66" s="129" t="s">
        <v>1551</v>
      </c>
      <c r="D66" s="129" t="s">
        <v>1471</v>
      </c>
      <c r="E66" s="169"/>
      <c r="F66" s="253">
        <v>10000</v>
      </c>
    </row>
    <row r="67" spans="1:6" ht="15.6" x14ac:dyDescent="0.3">
      <c r="A67" s="127">
        <v>269</v>
      </c>
      <c r="B67" s="128">
        <v>43376</v>
      </c>
      <c r="C67" s="129" t="s">
        <v>1552</v>
      </c>
      <c r="D67" s="129" t="s">
        <v>1516</v>
      </c>
      <c r="E67" s="169"/>
      <c r="F67" s="253">
        <v>1000</v>
      </c>
    </row>
    <row r="68" spans="1:6" ht="15.6" x14ac:dyDescent="0.3">
      <c r="A68" s="127">
        <v>270</v>
      </c>
      <c r="B68" s="128">
        <v>43377</v>
      </c>
      <c r="C68" s="133" t="s">
        <v>1553</v>
      </c>
      <c r="D68" s="133" t="s">
        <v>1520</v>
      </c>
      <c r="E68" s="169">
        <v>50000</v>
      </c>
      <c r="F68" s="254"/>
    </row>
    <row r="69" spans="1:6" ht="15.6" x14ac:dyDescent="0.3">
      <c r="A69" s="127">
        <v>271</v>
      </c>
      <c r="B69" s="128">
        <v>43377</v>
      </c>
      <c r="C69" s="133" t="s">
        <v>1554</v>
      </c>
      <c r="D69" s="133" t="s">
        <v>1523</v>
      </c>
      <c r="E69" s="169"/>
      <c r="F69" s="253">
        <v>200000</v>
      </c>
    </row>
    <row r="70" spans="1:6" ht="15.6" x14ac:dyDescent="0.3">
      <c r="A70" s="127">
        <v>272</v>
      </c>
      <c r="B70" s="128">
        <v>43377</v>
      </c>
      <c r="C70" s="129" t="s">
        <v>1548</v>
      </c>
      <c r="D70" s="129" t="s">
        <v>1526</v>
      </c>
      <c r="E70" s="169"/>
      <c r="F70" s="253">
        <v>20000</v>
      </c>
    </row>
    <row r="71" spans="1:6" ht="15.6" x14ac:dyDescent="0.3">
      <c r="A71" s="127">
        <v>273</v>
      </c>
      <c r="B71" s="128">
        <v>43377</v>
      </c>
      <c r="C71" s="129" t="s">
        <v>1711</v>
      </c>
      <c r="D71" s="129" t="s">
        <v>1521</v>
      </c>
      <c r="E71" s="169"/>
      <c r="F71" s="253">
        <v>4000</v>
      </c>
    </row>
    <row r="72" spans="1:6" ht="15.6" x14ac:dyDescent="0.3">
      <c r="A72" s="127">
        <v>274</v>
      </c>
      <c r="B72" s="128">
        <v>43377</v>
      </c>
      <c r="C72" s="129" t="s">
        <v>42</v>
      </c>
      <c r="D72" s="129" t="s">
        <v>1521</v>
      </c>
      <c r="E72" s="169"/>
      <c r="F72" s="253">
        <v>2000</v>
      </c>
    </row>
    <row r="73" spans="1:6" ht="15.6" x14ac:dyDescent="0.3">
      <c r="A73" s="127">
        <v>275</v>
      </c>
      <c r="B73" s="128">
        <v>43378</v>
      </c>
      <c r="C73" s="129" t="s">
        <v>1555</v>
      </c>
      <c r="D73" s="129" t="s">
        <v>1517</v>
      </c>
      <c r="E73" s="169"/>
      <c r="F73" s="253">
        <v>60000</v>
      </c>
    </row>
    <row r="74" spans="1:6" ht="15.6" x14ac:dyDescent="0.3">
      <c r="A74" s="127">
        <v>276</v>
      </c>
      <c r="B74" s="128">
        <v>43378</v>
      </c>
      <c r="C74" s="129" t="s">
        <v>1556</v>
      </c>
      <c r="D74" s="129" t="s">
        <v>1516</v>
      </c>
      <c r="E74" s="169"/>
      <c r="F74" s="253">
        <v>4900</v>
      </c>
    </row>
    <row r="75" spans="1:6" ht="15.6" x14ac:dyDescent="0.3">
      <c r="A75" s="127">
        <v>277</v>
      </c>
      <c r="B75" s="128">
        <v>43380</v>
      </c>
      <c r="C75" s="129" t="s">
        <v>1557</v>
      </c>
      <c r="D75" s="129" t="s">
        <v>1521</v>
      </c>
      <c r="E75" s="169"/>
      <c r="F75" s="253">
        <v>520</v>
      </c>
    </row>
    <row r="76" spans="1:6" ht="15.6" x14ac:dyDescent="0.3">
      <c r="A76" s="127">
        <v>278</v>
      </c>
      <c r="B76" s="128">
        <v>43380</v>
      </c>
      <c r="C76" s="129" t="s">
        <v>1558</v>
      </c>
      <c r="D76" s="129" t="s">
        <v>1521</v>
      </c>
      <c r="E76" s="169"/>
      <c r="F76" s="253">
        <v>550</v>
      </c>
    </row>
    <row r="77" spans="1:6" ht="15.6" x14ac:dyDescent="0.3">
      <c r="A77" s="127">
        <v>279</v>
      </c>
      <c r="B77" s="128">
        <v>43381</v>
      </c>
      <c r="C77" s="129" t="s">
        <v>7</v>
      </c>
      <c r="D77" s="129" t="s">
        <v>1516</v>
      </c>
      <c r="E77" s="169"/>
      <c r="F77" s="253">
        <v>1000</v>
      </c>
    </row>
    <row r="78" spans="1:6" ht="15.6" x14ac:dyDescent="0.3">
      <c r="A78" s="127">
        <v>280</v>
      </c>
      <c r="B78" s="128">
        <v>43382</v>
      </c>
      <c r="C78" s="129" t="s">
        <v>47</v>
      </c>
      <c r="D78" s="129" t="s">
        <v>1521</v>
      </c>
      <c r="E78" s="169"/>
      <c r="F78" s="253">
        <v>20</v>
      </c>
    </row>
    <row r="79" spans="1:6" ht="15.6" x14ac:dyDescent="0.3">
      <c r="A79" s="127">
        <v>281</v>
      </c>
      <c r="B79" s="128">
        <v>43382</v>
      </c>
      <c r="C79" s="129" t="s">
        <v>26</v>
      </c>
      <c r="D79" s="129" t="s">
        <v>1522</v>
      </c>
      <c r="E79" s="169"/>
      <c r="F79" s="253">
        <v>15000</v>
      </c>
    </row>
    <row r="80" spans="1:6" ht="15.6" x14ac:dyDescent="0.3">
      <c r="A80" s="127">
        <v>282</v>
      </c>
      <c r="B80" s="128">
        <v>43382</v>
      </c>
      <c r="C80" s="129" t="s">
        <v>1558</v>
      </c>
      <c r="D80" s="129" t="s">
        <v>1521</v>
      </c>
      <c r="E80" s="169"/>
      <c r="F80" s="253">
        <v>220</v>
      </c>
    </row>
    <row r="81" spans="1:6" ht="15.6" x14ac:dyDescent="0.3">
      <c r="A81" s="127">
        <v>283</v>
      </c>
      <c r="B81" s="128">
        <v>43382</v>
      </c>
      <c r="C81" s="129" t="s">
        <v>1559</v>
      </c>
      <c r="D81" s="129" t="s">
        <v>1516</v>
      </c>
      <c r="E81" s="169"/>
      <c r="F81" s="253">
        <v>9850</v>
      </c>
    </row>
    <row r="82" spans="1:6" ht="15.6" x14ac:dyDescent="0.3">
      <c r="A82" s="127">
        <v>284</v>
      </c>
      <c r="B82" s="128">
        <v>43386</v>
      </c>
      <c r="C82" s="129" t="s">
        <v>1551</v>
      </c>
      <c r="D82" s="129" t="s">
        <v>1471</v>
      </c>
      <c r="E82" s="169"/>
      <c r="F82" s="253">
        <v>3000</v>
      </c>
    </row>
    <row r="83" spans="1:6" ht="15.6" x14ac:dyDescent="0.3">
      <c r="A83" s="127">
        <v>285</v>
      </c>
      <c r="B83" s="128">
        <v>43386</v>
      </c>
      <c r="C83" s="129" t="s">
        <v>49</v>
      </c>
      <c r="D83" s="129" t="s">
        <v>1521</v>
      </c>
      <c r="E83" s="169"/>
      <c r="F83" s="253">
        <v>150</v>
      </c>
    </row>
    <row r="84" spans="1:6" ht="15.6" x14ac:dyDescent="0.3">
      <c r="A84" s="127">
        <v>286</v>
      </c>
      <c r="B84" s="128">
        <v>43388</v>
      </c>
      <c r="C84" s="129" t="s">
        <v>1551</v>
      </c>
      <c r="D84" s="129" t="s">
        <v>1471</v>
      </c>
      <c r="E84" s="169"/>
      <c r="F84" s="253">
        <v>7000</v>
      </c>
    </row>
    <row r="85" spans="1:6" ht="15.6" x14ac:dyDescent="0.3">
      <c r="A85" s="127">
        <v>287</v>
      </c>
      <c r="B85" s="128">
        <v>43388</v>
      </c>
      <c r="C85" s="129" t="s">
        <v>1548</v>
      </c>
      <c r="D85" s="129" t="s">
        <v>1526</v>
      </c>
      <c r="E85" s="169"/>
      <c r="F85" s="253">
        <v>20000</v>
      </c>
    </row>
    <row r="86" spans="1:6" ht="15.6" x14ac:dyDescent="0.3">
      <c r="A86" s="127">
        <v>288</v>
      </c>
      <c r="B86" s="128">
        <v>43388</v>
      </c>
      <c r="C86" s="129" t="s">
        <v>9</v>
      </c>
      <c r="D86" s="129" t="s">
        <v>1516</v>
      </c>
      <c r="E86" s="169"/>
      <c r="F86" s="253">
        <v>1000</v>
      </c>
    </row>
    <row r="87" spans="1:6" ht="15.6" x14ac:dyDescent="0.3">
      <c r="A87" s="127">
        <v>289</v>
      </c>
      <c r="B87" s="128">
        <v>43389</v>
      </c>
      <c r="C87" s="129" t="s">
        <v>26</v>
      </c>
      <c r="D87" s="129" t="s">
        <v>1522</v>
      </c>
      <c r="E87" s="169"/>
      <c r="F87" s="253">
        <v>10000</v>
      </c>
    </row>
    <row r="88" spans="1:6" ht="15.6" x14ac:dyDescent="0.3">
      <c r="A88" s="127">
        <v>290</v>
      </c>
      <c r="B88" s="128">
        <v>43392</v>
      </c>
      <c r="C88" s="129" t="s">
        <v>1548</v>
      </c>
      <c r="D88" s="129" t="s">
        <v>1526</v>
      </c>
      <c r="E88" s="169"/>
      <c r="F88" s="253">
        <v>5000</v>
      </c>
    </row>
    <row r="89" spans="1:6" ht="15.6" x14ac:dyDescent="0.3">
      <c r="A89" s="127">
        <v>291</v>
      </c>
      <c r="B89" s="128">
        <v>43393</v>
      </c>
      <c r="C89" s="129" t="s">
        <v>7</v>
      </c>
      <c r="D89" s="129" t="s">
        <v>1516</v>
      </c>
      <c r="E89" s="169"/>
      <c r="F89" s="253">
        <v>1000</v>
      </c>
    </row>
    <row r="90" spans="1:6" ht="15.6" x14ac:dyDescent="0.3">
      <c r="A90" s="127">
        <v>292</v>
      </c>
      <c r="B90" s="128">
        <v>43393</v>
      </c>
      <c r="C90" s="129" t="s">
        <v>42</v>
      </c>
      <c r="D90" s="129" t="s">
        <v>1521</v>
      </c>
      <c r="E90" s="169"/>
      <c r="F90" s="253">
        <v>100</v>
      </c>
    </row>
    <row r="91" spans="1:6" ht="15.6" x14ac:dyDescent="0.3">
      <c r="A91" s="127">
        <v>293</v>
      </c>
      <c r="B91" s="128">
        <v>43395</v>
      </c>
      <c r="C91" s="129" t="s">
        <v>50</v>
      </c>
      <c r="D91" s="129" t="s">
        <v>1527</v>
      </c>
      <c r="E91" s="169"/>
      <c r="F91" s="253">
        <v>2960</v>
      </c>
    </row>
    <row r="92" spans="1:6" ht="15.6" x14ac:dyDescent="0.3">
      <c r="A92" s="127">
        <v>294</v>
      </c>
      <c r="B92" s="128">
        <v>43396</v>
      </c>
      <c r="C92" s="129" t="s">
        <v>9</v>
      </c>
      <c r="D92" s="129" t="s">
        <v>1516</v>
      </c>
      <c r="E92" s="169"/>
      <c r="F92" s="253">
        <v>1000</v>
      </c>
    </row>
    <row r="93" spans="1:6" ht="15.6" x14ac:dyDescent="0.3">
      <c r="A93" s="127">
        <v>295</v>
      </c>
      <c r="B93" s="128">
        <v>43396</v>
      </c>
      <c r="C93" s="133" t="s">
        <v>1550</v>
      </c>
      <c r="D93" s="133" t="s">
        <v>1520</v>
      </c>
      <c r="E93" s="169">
        <v>60000</v>
      </c>
      <c r="F93" s="254"/>
    </row>
    <row r="94" spans="1:6" ht="15.6" x14ac:dyDescent="0.3">
      <c r="A94" s="127">
        <v>296</v>
      </c>
      <c r="B94" s="128">
        <v>43396</v>
      </c>
      <c r="C94" s="129" t="s">
        <v>26</v>
      </c>
      <c r="D94" s="129" t="s">
        <v>1522</v>
      </c>
      <c r="E94" s="169"/>
      <c r="F94" s="253">
        <v>10000</v>
      </c>
    </row>
    <row r="95" spans="1:6" ht="15.6" x14ac:dyDescent="0.3">
      <c r="A95" s="127">
        <v>297</v>
      </c>
      <c r="B95" s="128">
        <v>43397</v>
      </c>
      <c r="C95" s="129" t="s">
        <v>1560</v>
      </c>
      <c r="D95" s="129" t="s">
        <v>1526</v>
      </c>
      <c r="E95" s="169"/>
      <c r="F95" s="253">
        <v>87000</v>
      </c>
    </row>
    <row r="96" spans="1:6" ht="15.6" x14ac:dyDescent="0.3">
      <c r="A96" s="127">
        <v>298</v>
      </c>
      <c r="B96" s="128">
        <v>43397</v>
      </c>
      <c r="C96" s="133" t="s">
        <v>1561</v>
      </c>
      <c r="D96" s="133" t="s">
        <v>1516</v>
      </c>
      <c r="E96" s="169"/>
      <c r="F96" s="253">
        <v>3200</v>
      </c>
    </row>
    <row r="97" spans="1:6" ht="15.6" x14ac:dyDescent="0.3">
      <c r="A97" s="127">
        <v>299</v>
      </c>
      <c r="B97" s="128">
        <v>43397</v>
      </c>
      <c r="C97" s="133" t="s">
        <v>1562</v>
      </c>
      <c r="D97" s="133" t="s">
        <v>1520</v>
      </c>
      <c r="E97" s="169">
        <v>50000</v>
      </c>
      <c r="F97" s="254"/>
    </row>
    <row r="98" spans="1:6" ht="15.6" x14ac:dyDescent="0.3">
      <c r="A98" s="127">
        <v>300</v>
      </c>
      <c r="B98" s="128">
        <v>43397</v>
      </c>
      <c r="C98" s="133" t="s">
        <v>1563</v>
      </c>
      <c r="D98" s="133" t="s">
        <v>1520</v>
      </c>
      <c r="E98" s="169">
        <v>50000</v>
      </c>
      <c r="F98" s="254"/>
    </row>
    <row r="99" spans="1:6" ht="15.6" x14ac:dyDescent="0.3">
      <c r="A99" s="127">
        <v>301</v>
      </c>
      <c r="B99" s="128">
        <v>43397</v>
      </c>
      <c r="C99" s="129" t="s">
        <v>1564</v>
      </c>
      <c r="D99" s="129" t="s">
        <v>1471</v>
      </c>
      <c r="E99" s="169"/>
      <c r="F99" s="253">
        <v>15000</v>
      </c>
    </row>
    <row r="100" spans="1:6" ht="15.6" x14ac:dyDescent="0.3">
      <c r="A100" s="127">
        <v>302</v>
      </c>
      <c r="B100" s="128">
        <v>43398</v>
      </c>
      <c r="C100" s="129" t="s">
        <v>7</v>
      </c>
      <c r="D100" s="129" t="s">
        <v>1516</v>
      </c>
      <c r="E100" s="169"/>
      <c r="F100" s="253">
        <v>1000</v>
      </c>
    </row>
    <row r="101" spans="1:6" ht="15.6" x14ac:dyDescent="0.3">
      <c r="A101" s="127">
        <v>303</v>
      </c>
      <c r="B101" s="128">
        <v>43398</v>
      </c>
      <c r="C101" s="129" t="s">
        <v>9</v>
      </c>
      <c r="D101" s="129" t="s">
        <v>1516</v>
      </c>
      <c r="E101" s="169"/>
      <c r="F101" s="253">
        <v>1000</v>
      </c>
    </row>
    <row r="102" spans="1:6" ht="15.6" x14ac:dyDescent="0.3">
      <c r="A102" s="127">
        <v>304</v>
      </c>
      <c r="B102" s="128">
        <v>43400</v>
      </c>
      <c r="C102" s="129" t="s">
        <v>7</v>
      </c>
      <c r="D102" s="129" t="s">
        <v>1516</v>
      </c>
      <c r="E102" s="169"/>
      <c r="F102" s="253">
        <v>1000</v>
      </c>
    </row>
    <row r="103" spans="1:6" ht="15.6" x14ac:dyDescent="0.3">
      <c r="A103" s="127">
        <v>305</v>
      </c>
      <c r="B103" s="128">
        <v>43400</v>
      </c>
      <c r="C103" s="129" t="s">
        <v>42</v>
      </c>
      <c r="D103" s="129" t="s">
        <v>1521</v>
      </c>
      <c r="E103" s="169"/>
      <c r="F103" s="253">
        <v>110</v>
      </c>
    </row>
    <row r="104" spans="1:6" ht="15.6" x14ac:dyDescent="0.3">
      <c r="A104" s="127">
        <v>306</v>
      </c>
      <c r="B104" s="128">
        <v>43400</v>
      </c>
      <c r="C104" s="129" t="s">
        <v>56</v>
      </c>
      <c r="D104" s="129" t="s">
        <v>1521</v>
      </c>
      <c r="E104" s="169"/>
      <c r="F104" s="253">
        <v>1100</v>
      </c>
    </row>
    <row r="105" spans="1:6" ht="15.6" x14ac:dyDescent="0.3">
      <c r="A105" s="127">
        <v>307</v>
      </c>
      <c r="B105" s="128">
        <v>43400</v>
      </c>
      <c r="C105" s="129" t="s">
        <v>1548</v>
      </c>
      <c r="D105" s="129" t="s">
        <v>1526</v>
      </c>
      <c r="E105" s="169"/>
      <c r="F105" s="253">
        <v>3000</v>
      </c>
    </row>
    <row r="106" spans="1:6" ht="15.6" x14ac:dyDescent="0.3">
      <c r="A106" s="127">
        <v>308</v>
      </c>
      <c r="B106" s="128">
        <v>43400</v>
      </c>
      <c r="C106" s="129" t="s">
        <v>57</v>
      </c>
      <c r="D106" s="129" t="s">
        <v>1521</v>
      </c>
      <c r="E106" s="169"/>
      <c r="F106" s="253">
        <v>450</v>
      </c>
    </row>
    <row r="107" spans="1:6" ht="15.6" x14ac:dyDescent="0.3">
      <c r="A107" s="127">
        <v>309</v>
      </c>
      <c r="B107" s="128">
        <v>43402</v>
      </c>
      <c r="C107" s="129" t="s">
        <v>5</v>
      </c>
      <c r="D107" s="129" t="s">
        <v>1520</v>
      </c>
      <c r="E107" s="169">
        <v>200000</v>
      </c>
      <c r="F107" s="254"/>
    </row>
    <row r="108" spans="1:6" ht="15.6" x14ac:dyDescent="0.3">
      <c r="A108" s="127">
        <v>310</v>
      </c>
      <c r="B108" s="128">
        <v>43402</v>
      </c>
      <c r="C108" s="129" t="s">
        <v>1565</v>
      </c>
      <c r="D108" s="129" t="s">
        <v>1523</v>
      </c>
      <c r="E108" s="169"/>
      <c r="F108" s="253">
        <v>50000</v>
      </c>
    </row>
    <row r="109" spans="1:6" ht="15.6" x14ac:dyDescent="0.3">
      <c r="A109" s="127">
        <v>311</v>
      </c>
      <c r="B109" s="128">
        <v>43402</v>
      </c>
      <c r="C109" s="129" t="s">
        <v>1566</v>
      </c>
      <c r="D109" s="129" t="s">
        <v>1530</v>
      </c>
      <c r="E109" s="169"/>
      <c r="F109" s="253">
        <v>68000</v>
      </c>
    </row>
    <row r="110" spans="1:6" ht="15.6" x14ac:dyDescent="0.3">
      <c r="A110" s="127">
        <v>312</v>
      </c>
      <c r="B110" s="128">
        <v>43402</v>
      </c>
      <c r="C110" s="129" t="s">
        <v>1548</v>
      </c>
      <c r="D110" s="129" t="s">
        <v>1526</v>
      </c>
      <c r="E110" s="169"/>
      <c r="F110" s="253">
        <v>10000</v>
      </c>
    </row>
    <row r="111" spans="1:6" ht="15.6" x14ac:dyDescent="0.3">
      <c r="A111" s="127">
        <v>313</v>
      </c>
      <c r="B111" s="128">
        <v>43402</v>
      </c>
      <c r="C111" s="129" t="s">
        <v>1567</v>
      </c>
      <c r="D111" s="129" t="s">
        <v>1516</v>
      </c>
      <c r="E111" s="169"/>
      <c r="F111" s="253">
        <v>850</v>
      </c>
    </row>
    <row r="112" spans="1:6" ht="15.6" x14ac:dyDescent="0.3">
      <c r="A112" s="127">
        <v>314</v>
      </c>
      <c r="B112" s="128">
        <v>43402</v>
      </c>
      <c r="C112" s="129" t="s">
        <v>62</v>
      </c>
      <c r="D112" s="129" t="s">
        <v>1521</v>
      </c>
      <c r="E112" s="169"/>
      <c r="F112" s="253">
        <v>300</v>
      </c>
    </row>
    <row r="113" spans="1:6" ht="15.6" x14ac:dyDescent="0.3">
      <c r="A113" s="127">
        <v>315</v>
      </c>
      <c r="B113" s="128">
        <v>43402</v>
      </c>
      <c r="C113" s="129" t="s">
        <v>63</v>
      </c>
      <c r="D113" s="129" t="s">
        <v>1521</v>
      </c>
      <c r="E113" s="169"/>
      <c r="F113" s="253">
        <v>200</v>
      </c>
    </row>
    <row r="114" spans="1:6" ht="15.6" x14ac:dyDescent="0.3">
      <c r="A114" s="127">
        <v>316</v>
      </c>
      <c r="B114" s="128">
        <v>43402</v>
      </c>
      <c r="C114" s="129" t="s">
        <v>1568</v>
      </c>
      <c r="D114" s="129" t="s">
        <v>1516</v>
      </c>
      <c r="E114" s="169"/>
      <c r="F114" s="253">
        <v>10000</v>
      </c>
    </row>
    <row r="115" spans="1:6" ht="15.6" x14ac:dyDescent="0.3">
      <c r="A115" s="127">
        <v>317</v>
      </c>
      <c r="B115" s="128">
        <v>43402</v>
      </c>
      <c r="C115" s="129" t="s">
        <v>26</v>
      </c>
      <c r="D115" s="129" t="s">
        <v>1522</v>
      </c>
      <c r="E115" s="169"/>
      <c r="F115" s="253">
        <v>50000</v>
      </c>
    </row>
    <row r="116" spans="1:6" ht="15.6" x14ac:dyDescent="0.3">
      <c r="A116" s="127">
        <v>318</v>
      </c>
      <c r="B116" s="128">
        <v>43402</v>
      </c>
      <c r="C116" s="129" t="s">
        <v>1569</v>
      </c>
      <c r="D116" s="129" t="s">
        <v>1516</v>
      </c>
      <c r="E116" s="169"/>
      <c r="F116" s="253">
        <v>850</v>
      </c>
    </row>
    <row r="117" spans="1:6" ht="15.6" x14ac:dyDescent="0.3">
      <c r="A117" s="127">
        <v>319</v>
      </c>
      <c r="B117" s="128">
        <v>43402</v>
      </c>
      <c r="C117" s="129" t="s">
        <v>7</v>
      </c>
      <c r="D117" s="129" t="s">
        <v>1516</v>
      </c>
      <c r="E117" s="169"/>
      <c r="F117" s="253">
        <v>1150</v>
      </c>
    </row>
    <row r="118" spans="1:6" ht="15.6" x14ac:dyDescent="0.3">
      <c r="A118" s="127">
        <v>320</v>
      </c>
      <c r="B118" s="128">
        <v>43402</v>
      </c>
      <c r="C118" s="129" t="s">
        <v>66</v>
      </c>
      <c r="D118" s="129" t="s">
        <v>1521</v>
      </c>
      <c r="E118" s="169"/>
      <c r="F118" s="253">
        <v>200</v>
      </c>
    </row>
    <row r="119" spans="1:6" ht="15.6" x14ac:dyDescent="0.3">
      <c r="A119" s="127">
        <v>323</v>
      </c>
      <c r="B119" s="128">
        <v>43403</v>
      </c>
      <c r="C119" s="129" t="s">
        <v>1551</v>
      </c>
      <c r="D119" s="129" t="s">
        <v>1471</v>
      </c>
      <c r="E119" s="169"/>
      <c r="F119" s="253">
        <v>5000</v>
      </c>
    </row>
    <row r="120" spans="1:6" ht="15.6" x14ac:dyDescent="0.3">
      <c r="A120" s="127">
        <v>324</v>
      </c>
      <c r="B120" s="128">
        <v>43403</v>
      </c>
      <c r="C120" s="129" t="s">
        <v>67</v>
      </c>
      <c r="D120" s="129" t="s">
        <v>1516</v>
      </c>
      <c r="E120" s="169"/>
      <c r="F120" s="253">
        <v>1850</v>
      </c>
    </row>
    <row r="121" spans="1:6" ht="15.6" x14ac:dyDescent="0.3">
      <c r="A121" s="127">
        <v>325</v>
      </c>
      <c r="B121" s="128">
        <v>43403</v>
      </c>
      <c r="C121" s="129" t="s">
        <v>42</v>
      </c>
      <c r="D121" s="129" t="s">
        <v>1521</v>
      </c>
      <c r="E121" s="169"/>
      <c r="F121" s="253">
        <v>150</v>
      </c>
    </row>
    <row r="122" spans="1:6" ht="15.6" x14ac:dyDescent="0.3">
      <c r="A122" s="127">
        <v>326</v>
      </c>
      <c r="B122" s="128">
        <v>43403</v>
      </c>
      <c r="C122" s="129" t="s">
        <v>68</v>
      </c>
      <c r="D122" s="129" t="s">
        <v>1521</v>
      </c>
      <c r="E122" s="169"/>
      <c r="F122" s="253">
        <v>320</v>
      </c>
    </row>
    <row r="123" spans="1:6" ht="15.6" x14ac:dyDescent="0.3">
      <c r="A123" s="127">
        <v>327</v>
      </c>
      <c r="B123" s="128">
        <v>43404</v>
      </c>
      <c r="C123" s="129" t="s">
        <v>7</v>
      </c>
      <c r="D123" s="129" t="s">
        <v>1516</v>
      </c>
      <c r="E123" s="169"/>
      <c r="F123" s="253">
        <v>1000</v>
      </c>
    </row>
    <row r="124" spans="1:6" ht="15.6" x14ac:dyDescent="0.3">
      <c r="A124" s="127">
        <v>328</v>
      </c>
      <c r="B124" s="128">
        <v>43405</v>
      </c>
      <c r="C124" s="129" t="s">
        <v>69</v>
      </c>
      <c r="D124" s="129" t="s">
        <v>1524</v>
      </c>
      <c r="E124" s="169"/>
      <c r="F124" s="253">
        <v>50115</v>
      </c>
    </row>
    <row r="125" spans="1:6" ht="15.6" x14ac:dyDescent="0.3">
      <c r="A125" s="127">
        <v>330</v>
      </c>
      <c r="B125" s="128">
        <v>43407</v>
      </c>
      <c r="C125" s="133" t="s">
        <v>1550</v>
      </c>
      <c r="D125" s="133" t="s">
        <v>1520</v>
      </c>
      <c r="E125" s="169">
        <v>50000</v>
      </c>
      <c r="F125" s="254"/>
    </row>
    <row r="126" spans="1:6" ht="15.6" x14ac:dyDescent="0.3">
      <c r="A126" s="127">
        <v>331</v>
      </c>
      <c r="B126" s="128">
        <v>43407</v>
      </c>
      <c r="C126" s="129" t="s">
        <v>1548</v>
      </c>
      <c r="D126" s="129" t="s">
        <v>1526</v>
      </c>
      <c r="E126" s="169"/>
      <c r="F126" s="253">
        <v>30000</v>
      </c>
    </row>
    <row r="127" spans="1:6" ht="15.6" x14ac:dyDescent="0.3">
      <c r="A127" s="127">
        <v>332</v>
      </c>
      <c r="B127" s="128">
        <v>43407</v>
      </c>
      <c r="C127" s="129" t="s">
        <v>1551</v>
      </c>
      <c r="D127" s="129" t="s">
        <v>1471</v>
      </c>
      <c r="E127" s="169"/>
      <c r="F127" s="253">
        <v>20000</v>
      </c>
    </row>
    <row r="128" spans="1:6" ht="15.6" x14ac:dyDescent="0.3">
      <c r="A128" s="127">
        <v>333</v>
      </c>
      <c r="B128" s="128">
        <v>43409</v>
      </c>
      <c r="C128" s="129" t="s">
        <v>1571</v>
      </c>
      <c r="D128" s="129" t="s">
        <v>1517</v>
      </c>
      <c r="E128" s="169"/>
      <c r="F128" s="253">
        <v>60000</v>
      </c>
    </row>
    <row r="129" spans="1:6" ht="15.6" x14ac:dyDescent="0.3">
      <c r="A129" s="127">
        <v>334</v>
      </c>
      <c r="B129" s="128">
        <v>43409</v>
      </c>
      <c r="C129" s="129" t="s">
        <v>1572</v>
      </c>
      <c r="D129" s="129" t="s">
        <v>1516</v>
      </c>
      <c r="E129" s="169"/>
      <c r="F129" s="253">
        <v>7450</v>
      </c>
    </row>
    <row r="130" spans="1:6" ht="15.6" x14ac:dyDescent="0.3">
      <c r="A130" s="127">
        <v>335</v>
      </c>
      <c r="B130" s="128">
        <v>43409</v>
      </c>
      <c r="C130" s="129" t="s">
        <v>1573</v>
      </c>
      <c r="D130" s="129" t="s">
        <v>1516</v>
      </c>
      <c r="E130" s="169"/>
      <c r="F130" s="253">
        <v>12600</v>
      </c>
    </row>
    <row r="131" spans="1:6" ht="15.6" x14ac:dyDescent="0.3">
      <c r="A131" s="127">
        <v>336</v>
      </c>
      <c r="B131" s="128">
        <v>43409</v>
      </c>
      <c r="C131" s="129" t="s">
        <v>1574</v>
      </c>
      <c r="D131" s="129" t="s">
        <v>1516</v>
      </c>
      <c r="E131" s="169"/>
      <c r="F131" s="253">
        <v>12800</v>
      </c>
    </row>
    <row r="132" spans="1:6" ht="15.6" x14ac:dyDescent="0.3">
      <c r="A132" s="127">
        <v>337</v>
      </c>
      <c r="B132" s="128">
        <v>43409</v>
      </c>
      <c r="C132" s="133" t="s">
        <v>1550</v>
      </c>
      <c r="D132" s="133" t="s">
        <v>1520</v>
      </c>
      <c r="E132" s="169">
        <v>50000</v>
      </c>
      <c r="F132" s="254"/>
    </row>
    <row r="133" spans="1:6" ht="15.6" x14ac:dyDescent="0.3">
      <c r="A133" s="127">
        <v>338</v>
      </c>
      <c r="B133" s="128">
        <v>43409</v>
      </c>
      <c r="C133" s="133" t="s">
        <v>1575</v>
      </c>
      <c r="D133" s="133" t="s">
        <v>1523</v>
      </c>
      <c r="E133" s="169"/>
      <c r="F133" s="253">
        <v>100000</v>
      </c>
    </row>
    <row r="134" spans="1:6" ht="15.6" x14ac:dyDescent="0.3">
      <c r="A134" s="127">
        <v>339</v>
      </c>
      <c r="B134" s="128">
        <v>43410</v>
      </c>
      <c r="C134" s="129" t="s">
        <v>26</v>
      </c>
      <c r="D134" s="129" t="s">
        <v>1522</v>
      </c>
      <c r="E134" s="169"/>
      <c r="F134" s="253">
        <v>25000</v>
      </c>
    </row>
    <row r="135" spans="1:6" ht="15.6" x14ac:dyDescent="0.3">
      <c r="A135" s="127">
        <v>340</v>
      </c>
      <c r="B135" s="128">
        <v>43410</v>
      </c>
      <c r="C135" s="133" t="s">
        <v>1576</v>
      </c>
      <c r="D135" s="133" t="s">
        <v>1523</v>
      </c>
      <c r="E135" s="169"/>
      <c r="F135" s="253">
        <v>100000</v>
      </c>
    </row>
    <row r="136" spans="1:6" ht="15.6" x14ac:dyDescent="0.3">
      <c r="A136" s="127">
        <v>341</v>
      </c>
      <c r="B136" s="128">
        <v>43411</v>
      </c>
      <c r="C136" s="129" t="s">
        <v>1551</v>
      </c>
      <c r="D136" s="129" t="s">
        <v>1471</v>
      </c>
      <c r="E136" s="169"/>
      <c r="F136" s="253">
        <v>25000</v>
      </c>
    </row>
    <row r="137" spans="1:6" ht="15.6" x14ac:dyDescent="0.3">
      <c r="A137" s="127">
        <v>342</v>
      </c>
      <c r="B137" s="128">
        <v>43411</v>
      </c>
      <c r="C137" s="129" t="s">
        <v>1548</v>
      </c>
      <c r="D137" s="129" t="s">
        <v>1526</v>
      </c>
      <c r="E137" s="169"/>
      <c r="F137" s="253">
        <v>10000</v>
      </c>
    </row>
    <row r="138" spans="1:6" ht="15.6" x14ac:dyDescent="0.3">
      <c r="A138" s="127">
        <v>338</v>
      </c>
      <c r="B138" s="128">
        <v>43414</v>
      </c>
      <c r="C138" s="133" t="s">
        <v>1550</v>
      </c>
      <c r="D138" s="133" t="s">
        <v>1520</v>
      </c>
      <c r="E138" s="169">
        <v>35000</v>
      </c>
      <c r="F138" s="254"/>
    </row>
    <row r="139" spans="1:6" ht="15.6" x14ac:dyDescent="0.3">
      <c r="A139" s="127">
        <v>343</v>
      </c>
      <c r="B139" s="128">
        <v>43415</v>
      </c>
      <c r="C139" s="133" t="s">
        <v>1550</v>
      </c>
      <c r="D139" s="133" t="s">
        <v>1520</v>
      </c>
      <c r="E139" s="169">
        <v>65000</v>
      </c>
      <c r="F139" s="254"/>
    </row>
    <row r="140" spans="1:6" ht="15.6" x14ac:dyDescent="0.3">
      <c r="A140" s="127">
        <v>344</v>
      </c>
      <c r="B140" s="128">
        <v>43415</v>
      </c>
      <c r="C140" s="129" t="s">
        <v>1551</v>
      </c>
      <c r="D140" s="129" t="s">
        <v>1471</v>
      </c>
      <c r="E140" s="169"/>
      <c r="F140" s="253">
        <v>50000</v>
      </c>
    </row>
    <row r="141" spans="1:6" ht="15.6" x14ac:dyDescent="0.3">
      <c r="A141" s="127">
        <v>345</v>
      </c>
      <c r="B141" s="128">
        <v>43415</v>
      </c>
      <c r="C141" s="130" t="s">
        <v>1577</v>
      </c>
      <c r="D141" s="130" t="s">
        <v>1530</v>
      </c>
      <c r="E141" s="169"/>
      <c r="F141" s="253">
        <v>23000</v>
      </c>
    </row>
    <row r="142" spans="1:6" ht="15.6" x14ac:dyDescent="0.3">
      <c r="A142" s="127">
        <v>346</v>
      </c>
      <c r="B142" s="128">
        <v>43415</v>
      </c>
      <c r="C142" s="129" t="s">
        <v>62</v>
      </c>
      <c r="D142" s="129" t="s">
        <v>1521</v>
      </c>
      <c r="E142" s="169"/>
      <c r="F142" s="253">
        <v>100</v>
      </c>
    </row>
    <row r="143" spans="1:6" ht="15.6" x14ac:dyDescent="0.3">
      <c r="A143" s="127">
        <v>347</v>
      </c>
      <c r="B143" s="128">
        <v>43415</v>
      </c>
      <c r="C143" s="129" t="s">
        <v>7</v>
      </c>
      <c r="D143" s="129" t="s">
        <v>1516</v>
      </c>
      <c r="E143" s="169"/>
      <c r="F143" s="253">
        <v>2000</v>
      </c>
    </row>
    <row r="144" spans="1:6" ht="15.6" x14ac:dyDescent="0.3">
      <c r="A144" s="127">
        <v>348</v>
      </c>
      <c r="B144" s="128">
        <v>43415</v>
      </c>
      <c r="C144" s="129" t="s">
        <v>77</v>
      </c>
      <c r="D144" s="129" t="s">
        <v>1516</v>
      </c>
      <c r="E144" s="169"/>
      <c r="F144" s="253">
        <v>1000</v>
      </c>
    </row>
    <row r="145" spans="1:6" ht="15.6" x14ac:dyDescent="0.3">
      <c r="A145" s="127">
        <v>349</v>
      </c>
      <c r="B145" s="128">
        <v>43415</v>
      </c>
      <c r="C145" s="129" t="s">
        <v>42</v>
      </c>
      <c r="D145" s="129" t="s">
        <v>1521</v>
      </c>
      <c r="E145" s="169"/>
      <c r="F145" s="253">
        <v>200</v>
      </c>
    </row>
    <row r="146" spans="1:6" ht="15.6" x14ac:dyDescent="0.3">
      <c r="A146" s="127">
        <v>350</v>
      </c>
      <c r="B146" s="128">
        <v>43416</v>
      </c>
      <c r="C146" s="133" t="s">
        <v>1562</v>
      </c>
      <c r="D146" s="133" t="s">
        <v>1520</v>
      </c>
      <c r="E146" s="169">
        <v>50000</v>
      </c>
      <c r="F146" s="254"/>
    </row>
    <row r="147" spans="1:6" ht="15.6" x14ac:dyDescent="0.3">
      <c r="A147" s="127">
        <v>351</v>
      </c>
      <c r="B147" s="128">
        <v>43416</v>
      </c>
      <c r="C147" s="133" t="s">
        <v>1562</v>
      </c>
      <c r="D147" s="133" t="s">
        <v>1520</v>
      </c>
      <c r="E147" s="169">
        <v>50000</v>
      </c>
      <c r="F147" s="254"/>
    </row>
    <row r="148" spans="1:6" ht="15.6" x14ac:dyDescent="0.3">
      <c r="A148" s="127">
        <v>352</v>
      </c>
      <c r="B148" s="128">
        <v>43416</v>
      </c>
      <c r="C148" s="129" t="s">
        <v>1548</v>
      </c>
      <c r="D148" s="129" t="s">
        <v>1526</v>
      </c>
      <c r="E148" s="169"/>
      <c r="F148" s="253">
        <v>100000</v>
      </c>
    </row>
    <row r="149" spans="1:6" ht="15.6" x14ac:dyDescent="0.3">
      <c r="A149" s="127">
        <v>353</v>
      </c>
      <c r="B149" s="128">
        <v>43416</v>
      </c>
      <c r="C149" s="129" t="s">
        <v>42</v>
      </c>
      <c r="D149" s="129" t="s">
        <v>1521</v>
      </c>
      <c r="E149" s="169"/>
      <c r="F149" s="253">
        <v>50</v>
      </c>
    </row>
    <row r="150" spans="1:6" ht="15.6" x14ac:dyDescent="0.3">
      <c r="A150" s="127">
        <v>354</v>
      </c>
      <c r="B150" s="128">
        <v>43416</v>
      </c>
      <c r="C150" s="129" t="s">
        <v>1578</v>
      </c>
      <c r="D150" s="129" t="s">
        <v>1521</v>
      </c>
      <c r="E150" s="169"/>
      <c r="F150" s="253">
        <v>9100</v>
      </c>
    </row>
    <row r="151" spans="1:6" ht="15.6" x14ac:dyDescent="0.3">
      <c r="A151" s="127">
        <v>355</v>
      </c>
      <c r="B151" s="128">
        <v>43418</v>
      </c>
      <c r="C151" s="129" t="s">
        <v>7</v>
      </c>
      <c r="D151" s="129" t="s">
        <v>1516</v>
      </c>
      <c r="E151" s="169"/>
      <c r="F151" s="253">
        <v>1000</v>
      </c>
    </row>
    <row r="152" spans="1:6" ht="15.6" x14ac:dyDescent="0.3">
      <c r="A152" s="127">
        <v>356</v>
      </c>
      <c r="B152" s="128">
        <v>43420</v>
      </c>
      <c r="C152" s="129" t="s">
        <v>1548</v>
      </c>
      <c r="D152" s="129" t="s">
        <v>1526</v>
      </c>
      <c r="E152" s="169"/>
      <c r="F152" s="253">
        <v>10000</v>
      </c>
    </row>
    <row r="153" spans="1:6" ht="15.6" x14ac:dyDescent="0.3">
      <c r="A153" s="127">
        <v>357</v>
      </c>
      <c r="B153" s="128">
        <v>43420</v>
      </c>
      <c r="C153" s="129" t="s">
        <v>1551</v>
      </c>
      <c r="D153" s="129" t="s">
        <v>1471</v>
      </c>
      <c r="E153" s="169"/>
      <c r="F153" s="253">
        <v>50000</v>
      </c>
    </row>
    <row r="154" spans="1:6" ht="15.6" x14ac:dyDescent="0.3">
      <c r="A154" s="127">
        <v>358</v>
      </c>
      <c r="B154" s="128">
        <v>43420</v>
      </c>
      <c r="C154" s="129" t="s">
        <v>7</v>
      </c>
      <c r="D154" s="129" t="s">
        <v>1516</v>
      </c>
      <c r="E154" s="169"/>
      <c r="F154" s="253">
        <v>1000</v>
      </c>
    </row>
    <row r="155" spans="1:6" ht="15.6" x14ac:dyDescent="0.3">
      <c r="A155" s="127">
        <v>359</v>
      </c>
      <c r="B155" s="128">
        <v>43421</v>
      </c>
      <c r="C155" s="129" t="s">
        <v>1579</v>
      </c>
      <c r="D155" s="129" t="s">
        <v>1533</v>
      </c>
      <c r="E155" s="169"/>
      <c r="F155" s="253">
        <v>3000</v>
      </c>
    </row>
    <row r="156" spans="1:6" ht="15.6" x14ac:dyDescent="0.3">
      <c r="A156" s="127">
        <v>360</v>
      </c>
      <c r="B156" s="128">
        <v>43422</v>
      </c>
      <c r="C156" s="129" t="s">
        <v>7</v>
      </c>
      <c r="D156" s="129" t="s">
        <v>1516</v>
      </c>
      <c r="E156" s="169"/>
      <c r="F156" s="253">
        <v>1000</v>
      </c>
    </row>
    <row r="157" spans="1:6" ht="15.6" x14ac:dyDescent="0.3">
      <c r="A157" s="127">
        <v>361</v>
      </c>
      <c r="B157" s="128">
        <v>43422</v>
      </c>
      <c r="C157" s="129" t="s">
        <v>80</v>
      </c>
      <c r="D157" s="129" t="s">
        <v>1533</v>
      </c>
      <c r="E157" s="169"/>
      <c r="F157" s="253">
        <v>1000</v>
      </c>
    </row>
    <row r="158" spans="1:6" ht="15.6" x14ac:dyDescent="0.3">
      <c r="A158" s="127">
        <v>362</v>
      </c>
      <c r="B158" s="128">
        <v>43422</v>
      </c>
      <c r="C158" s="129" t="s">
        <v>81</v>
      </c>
      <c r="D158" s="129" t="s">
        <v>1521</v>
      </c>
      <c r="E158" s="169"/>
      <c r="F158" s="253">
        <v>95</v>
      </c>
    </row>
    <row r="159" spans="1:6" ht="15.6" x14ac:dyDescent="0.3">
      <c r="A159" s="127">
        <v>363</v>
      </c>
      <c r="B159" s="128">
        <v>43424</v>
      </c>
      <c r="C159" s="129" t="s">
        <v>1548</v>
      </c>
      <c r="D159" s="129" t="s">
        <v>1526</v>
      </c>
      <c r="E159" s="169"/>
      <c r="F159" s="253">
        <v>10000</v>
      </c>
    </row>
    <row r="160" spans="1:6" ht="15.6" x14ac:dyDescent="0.3">
      <c r="A160" s="127">
        <v>364</v>
      </c>
      <c r="B160" s="128">
        <v>43424</v>
      </c>
      <c r="C160" s="129" t="s">
        <v>42</v>
      </c>
      <c r="D160" s="129" t="s">
        <v>1521</v>
      </c>
      <c r="E160" s="169"/>
      <c r="F160" s="253">
        <v>100</v>
      </c>
    </row>
    <row r="161" spans="1:6" ht="15.6" x14ac:dyDescent="0.3">
      <c r="A161" s="127">
        <v>365</v>
      </c>
      <c r="B161" s="128">
        <v>43424</v>
      </c>
      <c r="C161" s="129" t="s">
        <v>7</v>
      </c>
      <c r="D161" s="129" t="s">
        <v>1516</v>
      </c>
      <c r="E161" s="169"/>
      <c r="F161" s="253">
        <v>500</v>
      </c>
    </row>
    <row r="162" spans="1:6" ht="15.6" x14ac:dyDescent="0.3">
      <c r="A162" s="127">
        <v>366</v>
      </c>
      <c r="B162" s="128">
        <v>43424</v>
      </c>
      <c r="C162" s="129" t="s">
        <v>77</v>
      </c>
      <c r="D162" s="129" t="s">
        <v>1516</v>
      </c>
      <c r="E162" s="169"/>
      <c r="F162" s="253">
        <v>1000</v>
      </c>
    </row>
    <row r="163" spans="1:6" ht="15.6" x14ac:dyDescent="0.3">
      <c r="A163" s="127">
        <v>367</v>
      </c>
      <c r="B163" s="128">
        <v>43426</v>
      </c>
      <c r="C163" s="133" t="s">
        <v>1580</v>
      </c>
      <c r="D163" s="133" t="s">
        <v>1520</v>
      </c>
      <c r="E163" s="169">
        <v>50000</v>
      </c>
      <c r="F163" s="254"/>
    </row>
    <row r="164" spans="1:6" ht="15.6" x14ac:dyDescent="0.3">
      <c r="A164" s="127">
        <v>368</v>
      </c>
      <c r="B164" s="128">
        <v>43426</v>
      </c>
      <c r="C164" s="129" t="s">
        <v>1548</v>
      </c>
      <c r="D164" s="129" t="s">
        <v>1526</v>
      </c>
      <c r="E164" s="169"/>
      <c r="F164" s="253">
        <v>25000</v>
      </c>
    </row>
    <row r="165" spans="1:6" ht="15.6" x14ac:dyDescent="0.3">
      <c r="A165" s="127">
        <v>369</v>
      </c>
      <c r="B165" s="128">
        <v>43426</v>
      </c>
      <c r="C165" s="129" t="s">
        <v>1581</v>
      </c>
      <c r="D165" s="129" t="s">
        <v>1529</v>
      </c>
      <c r="E165" s="169"/>
      <c r="F165" s="253">
        <v>20000</v>
      </c>
    </row>
    <row r="166" spans="1:6" ht="15.6" x14ac:dyDescent="0.3">
      <c r="A166" s="127">
        <v>370</v>
      </c>
      <c r="B166" s="128">
        <v>43426</v>
      </c>
      <c r="C166" s="129" t="s">
        <v>84</v>
      </c>
      <c r="D166" s="129" t="s">
        <v>1533</v>
      </c>
      <c r="E166" s="169"/>
      <c r="F166" s="253">
        <v>5000</v>
      </c>
    </row>
    <row r="167" spans="1:6" ht="15.6" x14ac:dyDescent="0.3">
      <c r="A167" s="127">
        <v>371</v>
      </c>
      <c r="B167" s="128">
        <v>43427</v>
      </c>
      <c r="C167" s="129" t="s">
        <v>7</v>
      </c>
      <c r="D167" s="129" t="s">
        <v>1516</v>
      </c>
      <c r="E167" s="169"/>
      <c r="F167" s="253">
        <v>3000</v>
      </c>
    </row>
    <row r="168" spans="1:6" ht="15.6" x14ac:dyDescent="0.3">
      <c r="A168" s="127">
        <v>373</v>
      </c>
      <c r="B168" s="128">
        <v>43428</v>
      </c>
      <c r="C168" s="129" t="s">
        <v>85</v>
      </c>
      <c r="D168" s="129" t="s">
        <v>1521</v>
      </c>
      <c r="E168" s="169"/>
      <c r="F168" s="253">
        <v>700</v>
      </c>
    </row>
    <row r="169" spans="1:6" ht="15.6" x14ac:dyDescent="0.3">
      <c r="A169" s="127">
        <v>374</v>
      </c>
      <c r="B169" s="128">
        <v>43428</v>
      </c>
      <c r="C169" s="129" t="s">
        <v>86</v>
      </c>
      <c r="D169" s="129" t="s">
        <v>1526</v>
      </c>
      <c r="E169" s="169"/>
      <c r="F169" s="253">
        <v>50</v>
      </c>
    </row>
    <row r="170" spans="1:6" ht="15.6" x14ac:dyDescent="0.3">
      <c r="A170" s="127">
        <v>375</v>
      </c>
      <c r="B170" s="128">
        <v>43428</v>
      </c>
      <c r="C170" s="129" t="s">
        <v>69</v>
      </c>
      <c r="D170" s="129" t="s">
        <v>1524</v>
      </c>
      <c r="E170" s="169"/>
      <c r="F170" s="253">
        <v>8000</v>
      </c>
    </row>
    <row r="171" spans="1:6" ht="15.6" x14ac:dyDescent="0.3">
      <c r="A171" s="127">
        <v>376</v>
      </c>
      <c r="B171" s="128">
        <v>43429</v>
      </c>
      <c r="C171" s="129" t="s">
        <v>1551</v>
      </c>
      <c r="D171" s="129" t="s">
        <v>1471</v>
      </c>
      <c r="E171" s="169"/>
      <c r="F171" s="253">
        <v>10000</v>
      </c>
    </row>
    <row r="172" spans="1:6" ht="15.6" x14ac:dyDescent="0.3">
      <c r="A172" s="127">
        <v>377</v>
      </c>
      <c r="B172" s="128">
        <v>43429</v>
      </c>
      <c r="C172" s="129" t="s">
        <v>84</v>
      </c>
      <c r="D172" s="129" t="s">
        <v>1533</v>
      </c>
      <c r="E172" s="169"/>
      <c r="F172" s="253">
        <v>3000</v>
      </c>
    </row>
    <row r="173" spans="1:6" ht="15.6" x14ac:dyDescent="0.3">
      <c r="A173" s="127">
        <v>378</v>
      </c>
      <c r="B173" s="128">
        <v>43429</v>
      </c>
      <c r="C173" s="133" t="s">
        <v>1582</v>
      </c>
      <c r="D173" s="133" t="s">
        <v>1520</v>
      </c>
      <c r="E173" s="169">
        <v>50000</v>
      </c>
      <c r="F173" s="254"/>
    </row>
    <row r="174" spans="1:6" ht="15.6" x14ac:dyDescent="0.3">
      <c r="A174" s="127">
        <v>379</v>
      </c>
      <c r="B174" s="128">
        <v>43430</v>
      </c>
      <c r="C174" s="129" t="s">
        <v>1548</v>
      </c>
      <c r="D174" s="129" t="s">
        <v>1526</v>
      </c>
      <c r="E174" s="169"/>
      <c r="F174" s="253">
        <v>10000</v>
      </c>
    </row>
    <row r="175" spans="1:6" ht="15.6" x14ac:dyDescent="0.3">
      <c r="A175" s="127">
        <v>380</v>
      </c>
      <c r="B175" s="128">
        <v>43430</v>
      </c>
      <c r="C175" s="129" t="s">
        <v>42</v>
      </c>
      <c r="D175" s="129" t="s">
        <v>1521</v>
      </c>
      <c r="E175" s="169"/>
      <c r="F175" s="253">
        <v>100</v>
      </c>
    </row>
    <row r="176" spans="1:6" ht="15.6" x14ac:dyDescent="0.3">
      <c r="A176" s="127">
        <v>381</v>
      </c>
      <c r="B176" s="128">
        <v>43431</v>
      </c>
      <c r="C176" s="129" t="s">
        <v>1548</v>
      </c>
      <c r="D176" s="129" t="s">
        <v>1526</v>
      </c>
      <c r="E176" s="169"/>
      <c r="F176" s="253">
        <v>5000</v>
      </c>
    </row>
    <row r="177" spans="1:6" ht="15.6" x14ac:dyDescent="0.3">
      <c r="A177" s="127">
        <v>382</v>
      </c>
      <c r="B177" s="128">
        <v>43432</v>
      </c>
      <c r="C177" s="129" t="s">
        <v>1583</v>
      </c>
      <c r="D177" s="129" t="s">
        <v>1521</v>
      </c>
      <c r="E177" s="169"/>
      <c r="F177" s="253">
        <v>15560</v>
      </c>
    </row>
    <row r="178" spans="1:6" ht="15.6" x14ac:dyDescent="0.3">
      <c r="A178" s="127">
        <v>383</v>
      </c>
      <c r="B178" s="128">
        <v>43433</v>
      </c>
      <c r="C178" s="129" t="s">
        <v>1548</v>
      </c>
      <c r="D178" s="129" t="s">
        <v>1526</v>
      </c>
      <c r="E178" s="169"/>
      <c r="F178" s="253">
        <v>5000</v>
      </c>
    </row>
    <row r="179" spans="1:6" ht="15.6" x14ac:dyDescent="0.3">
      <c r="A179" s="127">
        <v>384</v>
      </c>
      <c r="B179" s="128">
        <v>43434</v>
      </c>
      <c r="C179" s="129" t="s">
        <v>42</v>
      </c>
      <c r="D179" s="129" t="s">
        <v>1521</v>
      </c>
      <c r="E179" s="169"/>
      <c r="F179" s="253">
        <v>500</v>
      </c>
    </row>
    <row r="180" spans="1:6" ht="15.6" x14ac:dyDescent="0.3">
      <c r="A180" s="127">
        <v>385</v>
      </c>
      <c r="B180" s="128">
        <v>43434</v>
      </c>
      <c r="C180" s="129" t="s">
        <v>7</v>
      </c>
      <c r="D180" s="129" t="s">
        <v>1516</v>
      </c>
      <c r="E180" s="169"/>
      <c r="F180" s="253">
        <v>100</v>
      </c>
    </row>
    <row r="181" spans="1:6" ht="15.6" x14ac:dyDescent="0.3">
      <c r="A181" s="127">
        <v>386</v>
      </c>
      <c r="B181" s="128">
        <v>43435</v>
      </c>
      <c r="C181" s="129" t="s">
        <v>42</v>
      </c>
      <c r="D181" s="129" t="s">
        <v>1521</v>
      </c>
      <c r="E181" s="169"/>
      <c r="F181" s="253">
        <v>100</v>
      </c>
    </row>
    <row r="182" spans="1:6" ht="15.6" x14ac:dyDescent="0.3">
      <c r="A182" s="127">
        <v>387</v>
      </c>
      <c r="B182" s="128">
        <v>43435</v>
      </c>
      <c r="C182" s="129" t="s">
        <v>80</v>
      </c>
      <c r="D182" s="129" t="s">
        <v>1533</v>
      </c>
      <c r="E182" s="169"/>
      <c r="F182" s="253">
        <v>3000</v>
      </c>
    </row>
    <row r="183" spans="1:6" ht="15.6" x14ac:dyDescent="0.3">
      <c r="A183" s="127">
        <v>388</v>
      </c>
      <c r="B183" s="128">
        <v>43436</v>
      </c>
      <c r="C183" s="129" t="s">
        <v>42</v>
      </c>
      <c r="D183" s="129" t="s">
        <v>1521</v>
      </c>
      <c r="E183" s="169"/>
      <c r="F183" s="253">
        <v>200</v>
      </c>
    </row>
    <row r="184" spans="1:6" ht="15.6" x14ac:dyDescent="0.3">
      <c r="A184" s="127">
        <v>389</v>
      </c>
      <c r="B184" s="128">
        <v>43436</v>
      </c>
      <c r="C184" s="129" t="s">
        <v>7</v>
      </c>
      <c r="D184" s="129" t="s">
        <v>1516</v>
      </c>
      <c r="E184" s="169"/>
      <c r="F184" s="253">
        <v>1000</v>
      </c>
    </row>
    <row r="185" spans="1:6" ht="15.6" x14ac:dyDescent="0.3">
      <c r="A185" s="127">
        <v>390</v>
      </c>
      <c r="B185" s="128">
        <v>43436</v>
      </c>
      <c r="C185" s="133" t="s">
        <v>1582</v>
      </c>
      <c r="D185" s="133" t="s">
        <v>1520</v>
      </c>
      <c r="E185" s="169">
        <v>75000</v>
      </c>
      <c r="F185" s="254"/>
    </row>
    <row r="186" spans="1:6" ht="15.6" x14ac:dyDescent="0.3">
      <c r="A186" s="127">
        <v>391</v>
      </c>
      <c r="B186" s="128">
        <v>43436</v>
      </c>
      <c r="C186" s="129" t="s">
        <v>1551</v>
      </c>
      <c r="D186" s="129" t="s">
        <v>1471</v>
      </c>
      <c r="E186" s="169"/>
      <c r="F186" s="253">
        <v>50000</v>
      </c>
    </row>
    <row r="187" spans="1:6" ht="15.6" x14ac:dyDescent="0.3">
      <c r="A187" s="127">
        <v>392</v>
      </c>
      <c r="B187" s="128">
        <v>43438</v>
      </c>
      <c r="C187" s="129" t="s">
        <v>1584</v>
      </c>
      <c r="D187" s="129" t="s">
        <v>1516</v>
      </c>
      <c r="E187" s="169"/>
      <c r="F187" s="253">
        <v>13300</v>
      </c>
    </row>
    <row r="188" spans="1:6" ht="15.6" x14ac:dyDescent="0.3">
      <c r="A188" s="127">
        <v>393</v>
      </c>
      <c r="B188" s="128">
        <v>43438</v>
      </c>
      <c r="C188" s="129" t="s">
        <v>1585</v>
      </c>
      <c r="D188" s="129" t="s">
        <v>1516</v>
      </c>
      <c r="E188" s="169"/>
      <c r="F188" s="253">
        <v>16100</v>
      </c>
    </row>
    <row r="189" spans="1:6" ht="15.6" x14ac:dyDescent="0.3">
      <c r="A189" s="127">
        <v>394</v>
      </c>
      <c r="B189" s="128">
        <v>43438</v>
      </c>
      <c r="C189" s="129" t="s">
        <v>84</v>
      </c>
      <c r="D189" s="129" t="s">
        <v>1533</v>
      </c>
      <c r="E189" s="169"/>
      <c r="F189" s="253">
        <v>3000</v>
      </c>
    </row>
    <row r="190" spans="1:6" ht="15.6" x14ac:dyDescent="0.3">
      <c r="A190" s="127">
        <v>395</v>
      </c>
      <c r="B190" s="128">
        <v>43438</v>
      </c>
      <c r="C190" s="129" t="s">
        <v>1699</v>
      </c>
      <c r="D190" s="129" t="s">
        <v>1522</v>
      </c>
      <c r="E190" s="169"/>
      <c r="F190" s="253">
        <v>2000</v>
      </c>
    </row>
    <row r="191" spans="1:6" ht="15.6" x14ac:dyDescent="0.3">
      <c r="A191" s="127">
        <v>396</v>
      </c>
      <c r="B191" s="128">
        <v>43438</v>
      </c>
      <c r="C191" s="129" t="s">
        <v>26</v>
      </c>
      <c r="D191" s="129" t="s">
        <v>1522</v>
      </c>
      <c r="E191" s="169"/>
      <c r="F191" s="253">
        <v>5000</v>
      </c>
    </row>
    <row r="192" spans="1:6" ht="15.6" x14ac:dyDescent="0.3">
      <c r="A192" s="127">
        <v>397</v>
      </c>
      <c r="B192" s="128">
        <v>43438</v>
      </c>
      <c r="C192" s="133" t="s">
        <v>1582</v>
      </c>
      <c r="D192" s="133" t="s">
        <v>1520</v>
      </c>
      <c r="E192" s="169">
        <v>50000</v>
      </c>
      <c r="F192" s="254"/>
    </row>
    <row r="193" spans="1:6" ht="15.6" x14ac:dyDescent="0.3">
      <c r="A193" s="127">
        <v>398</v>
      </c>
      <c r="B193" s="128">
        <v>43438</v>
      </c>
      <c r="C193" s="129" t="s">
        <v>1548</v>
      </c>
      <c r="D193" s="129" t="s">
        <v>1526</v>
      </c>
      <c r="E193" s="169"/>
      <c r="F193" s="253">
        <v>15000</v>
      </c>
    </row>
    <row r="194" spans="1:6" ht="15.6" x14ac:dyDescent="0.3">
      <c r="A194" s="127">
        <v>399</v>
      </c>
      <c r="B194" s="128">
        <v>43438</v>
      </c>
      <c r="C194" s="129" t="s">
        <v>84</v>
      </c>
      <c r="D194" s="129" t="s">
        <v>1533</v>
      </c>
      <c r="E194" s="169"/>
      <c r="F194" s="253">
        <v>5050</v>
      </c>
    </row>
    <row r="195" spans="1:6" ht="15.6" x14ac:dyDescent="0.3">
      <c r="A195" s="127">
        <v>400</v>
      </c>
      <c r="B195" s="128">
        <v>43438</v>
      </c>
      <c r="C195" s="129" t="s">
        <v>14</v>
      </c>
      <c r="D195" s="129" t="s">
        <v>1521</v>
      </c>
      <c r="E195" s="169"/>
      <c r="F195" s="253">
        <v>170</v>
      </c>
    </row>
    <row r="196" spans="1:6" ht="15.6" x14ac:dyDescent="0.3">
      <c r="A196" s="127">
        <v>401</v>
      </c>
      <c r="B196" s="128">
        <v>43438</v>
      </c>
      <c r="C196" s="129" t="s">
        <v>1581</v>
      </c>
      <c r="D196" s="129" t="s">
        <v>1529</v>
      </c>
      <c r="E196" s="169"/>
      <c r="F196" s="253">
        <v>30000</v>
      </c>
    </row>
    <row r="197" spans="1:6" ht="15.6" x14ac:dyDescent="0.3">
      <c r="A197" s="127">
        <v>402</v>
      </c>
      <c r="B197" s="128">
        <v>43439</v>
      </c>
      <c r="C197" s="129" t="s">
        <v>26</v>
      </c>
      <c r="D197" s="129" t="s">
        <v>1522</v>
      </c>
      <c r="E197" s="169"/>
      <c r="F197" s="253">
        <v>5000</v>
      </c>
    </row>
    <row r="198" spans="1:6" ht="15.6" x14ac:dyDescent="0.3">
      <c r="A198" s="127">
        <v>403</v>
      </c>
      <c r="B198" s="128">
        <v>43440</v>
      </c>
      <c r="C198" s="129" t="s">
        <v>42</v>
      </c>
      <c r="D198" s="129" t="s">
        <v>1521</v>
      </c>
      <c r="E198" s="169"/>
      <c r="F198" s="253">
        <v>100</v>
      </c>
    </row>
    <row r="199" spans="1:6" ht="15.6" x14ac:dyDescent="0.3">
      <c r="A199" s="127">
        <v>404</v>
      </c>
      <c r="B199" s="128">
        <v>43440</v>
      </c>
      <c r="C199" s="129" t="s">
        <v>1586</v>
      </c>
      <c r="D199" s="129" t="s">
        <v>1516</v>
      </c>
      <c r="E199" s="169"/>
      <c r="F199" s="253">
        <v>5650</v>
      </c>
    </row>
    <row r="200" spans="1:6" ht="15.6" x14ac:dyDescent="0.3">
      <c r="A200" s="127">
        <v>405</v>
      </c>
      <c r="B200" s="128">
        <v>43440</v>
      </c>
      <c r="C200" s="129" t="s">
        <v>92</v>
      </c>
      <c r="D200" s="129" t="s">
        <v>1516</v>
      </c>
      <c r="E200" s="169"/>
      <c r="F200" s="253">
        <v>850</v>
      </c>
    </row>
    <row r="201" spans="1:6" ht="15.6" x14ac:dyDescent="0.3">
      <c r="A201" s="127">
        <v>406</v>
      </c>
      <c r="B201" s="128">
        <v>43440</v>
      </c>
      <c r="C201" s="129" t="s">
        <v>93</v>
      </c>
      <c r="D201" s="129" t="s">
        <v>1516</v>
      </c>
      <c r="E201" s="169"/>
      <c r="F201" s="253">
        <v>850</v>
      </c>
    </row>
    <row r="202" spans="1:6" ht="15.6" x14ac:dyDescent="0.3">
      <c r="A202" s="127">
        <v>407</v>
      </c>
      <c r="B202" s="128">
        <v>43440</v>
      </c>
      <c r="C202" s="133" t="s">
        <v>1582</v>
      </c>
      <c r="D202" s="133" t="s">
        <v>1520</v>
      </c>
      <c r="E202" s="169">
        <v>60000</v>
      </c>
      <c r="F202" s="254"/>
    </row>
    <row r="203" spans="1:6" ht="15.6" x14ac:dyDescent="0.3">
      <c r="A203" s="127">
        <v>408</v>
      </c>
      <c r="B203" s="128">
        <v>43440</v>
      </c>
      <c r="C203" s="129" t="s">
        <v>1548</v>
      </c>
      <c r="D203" s="129" t="s">
        <v>1526</v>
      </c>
      <c r="E203" s="169"/>
      <c r="F203" s="253">
        <v>10000</v>
      </c>
    </row>
    <row r="204" spans="1:6" ht="15.6" x14ac:dyDescent="0.3">
      <c r="A204" s="127">
        <v>409</v>
      </c>
      <c r="B204" s="128">
        <v>43440</v>
      </c>
      <c r="C204" s="129" t="s">
        <v>26</v>
      </c>
      <c r="D204" s="129" t="s">
        <v>1522</v>
      </c>
      <c r="E204" s="169"/>
      <c r="F204" s="253">
        <v>5000</v>
      </c>
    </row>
    <row r="205" spans="1:6" ht="15.6" x14ac:dyDescent="0.3">
      <c r="A205" s="127">
        <v>410</v>
      </c>
      <c r="B205" s="128">
        <v>43441</v>
      </c>
      <c r="C205" s="129" t="s">
        <v>26</v>
      </c>
      <c r="D205" s="129" t="s">
        <v>1522</v>
      </c>
      <c r="E205" s="169"/>
      <c r="F205" s="253">
        <v>10000</v>
      </c>
    </row>
    <row r="206" spans="1:6" ht="15.6" x14ac:dyDescent="0.3">
      <c r="A206" s="127">
        <v>411</v>
      </c>
      <c r="B206" s="128">
        <v>43443</v>
      </c>
      <c r="C206" s="129" t="s">
        <v>26</v>
      </c>
      <c r="D206" s="129" t="s">
        <v>1522</v>
      </c>
      <c r="E206" s="169"/>
      <c r="F206" s="253">
        <v>10000</v>
      </c>
    </row>
    <row r="207" spans="1:6" ht="15.6" x14ac:dyDescent="0.3">
      <c r="A207" s="127">
        <v>412</v>
      </c>
      <c r="B207" s="128">
        <v>43443</v>
      </c>
      <c r="C207" s="129" t="s">
        <v>94</v>
      </c>
      <c r="D207" s="129" t="s">
        <v>1516</v>
      </c>
      <c r="E207" s="169"/>
      <c r="F207" s="253">
        <v>1000</v>
      </c>
    </row>
    <row r="208" spans="1:6" ht="15.6" x14ac:dyDescent="0.3">
      <c r="A208" s="127">
        <v>413</v>
      </c>
      <c r="B208" s="128">
        <v>43444</v>
      </c>
      <c r="C208" s="129" t="s">
        <v>95</v>
      </c>
      <c r="D208" s="129" t="s">
        <v>1521</v>
      </c>
      <c r="E208" s="169"/>
      <c r="F208" s="253">
        <v>350</v>
      </c>
    </row>
    <row r="209" spans="1:6" ht="15.6" x14ac:dyDescent="0.3">
      <c r="A209" s="127">
        <v>414</v>
      </c>
      <c r="B209" s="128">
        <v>43445</v>
      </c>
      <c r="C209" s="129" t="s">
        <v>26</v>
      </c>
      <c r="D209" s="129" t="s">
        <v>1522</v>
      </c>
      <c r="E209" s="169"/>
      <c r="F209" s="253">
        <v>5000</v>
      </c>
    </row>
    <row r="210" spans="1:6" ht="15.6" x14ac:dyDescent="0.3">
      <c r="A210" s="127">
        <v>415</v>
      </c>
      <c r="B210" s="128">
        <v>43445</v>
      </c>
      <c r="C210" s="129" t="s">
        <v>7</v>
      </c>
      <c r="D210" s="129" t="s">
        <v>1516</v>
      </c>
      <c r="E210" s="169"/>
      <c r="F210" s="253">
        <v>1000</v>
      </c>
    </row>
    <row r="211" spans="1:6" ht="15.6" x14ac:dyDescent="0.3">
      <c r="A211" s="127">
        <v>416</v>
      </c>
      <c r="B211" s="128">
        <v>43446</v>
      </c>
      <c r="C211" s="129" t="s">
        <v>26</v>
      </c>
      <c r="D211" s="129" t="s">
        <v>1522</v>
      </c>
      <c r="E211" s="169"/>
      <c r="F211" s="253">
        <v>4000</v>
      </c>
    </row>
    <row r="212" spans="1:6" ht="15.6" x14ac:dyDescent="0.3">
      <c r="A212" s="127">
        <v>417</v>
      </c>
      <c r="B212" s="128">
        <v>43446</v>
      </c>
      <c r="C212" s="129" t="s">
        <v>42</v>
      </c>
      <c r="D212" s="129" t="s">
        <v>1521</v>
      </c>
      <c r="E212" s="169"/>
      <c r="F212" s="253">
        <v>150</v>
      </c>
    </row>
    <row r="213" spans="1:6" ht="15.6" x14ac:dyDescent="0.3">
      <c r="A213" s="127">
        <v>418</v>
      </c>
      <c r="B213" s="128">
        <v>43446</v>
      </c>
      <c r="C213" s="133" t="s">
        <v>1582</v>
      </c>
      <c r="D213" s="133" t="s">
        <v>1520</v>
      </c>
      <c r="E213" s="169">
        <v>20000</v>
      </c>
      <c r="F213" s="254"/>
    </row>
    <row r="214" spans="1:6" ht="15.6" x14ac:dyDescent="0.3">
      <c r="A214" s="127">
        <v>419</v>
      </c>
      <c r="B214" s="128">
        <v>43447</v>
      </c>
      <c r="C214" s="129" t="s">
        <v>26</v>
      </c>
      <c r="D214" s="129" t="s">
        <v>1522</v>
      </c>
      <c r="E214" s="169"/>
      <c r="F214" s="253">
        <v>6000</v>
      </c>
    </row>
    <row r="215" spans="1:6" ht="15.6" x14ac:dyDescent="0.3">
      <c r="A215" s="127">
        <v>420</v>
      </c>
      <c r="B215" s="128">
        <v>43447</v>
      </c>
      <c r="C215" s="129" t="s">
        <v>1548</v>
      </c>
      <c r="D215" s="129" t="s">
        <v>1526</v>
      </c>
      <c r="E215" s="169"/>
      <c r="F215" s="253">
        <v>5000</v>
      </c>
    </row>
    <row r="216" spans="1:6" ht="15.6" x14ac:dyDescent="0.3">
      <c r="A216" s="127">
        <v>421</v>
      </c>
      <c r="B216" s="128">
        <v>43447</v>
      </c>
      <c r="C216" s="129" t="s">
        <v>1551</v>
      </c>
      <c r="D216" s="129" t="s">
        <v>1471</v>
      </c>
      <c r="E216" s="169"/>
      <c r="F216" s="253">
        <v>5000</v>
      </c>
    </row>
    <row r="217" spans="1:6" ht="15.6" x14ac:dyDescent="0.3">
      <c r="A217" s="127">
        <v>422</v>
      </c>
      <c r="B217" s="128">
        <v>43447</v>
      </c>
      <c r="C217" s="129" t="s">
        <v>96</v>
      </c>
      <c r="D217" s="129" t="s">
        <v>1521</v>
      </c>
      <c r="E217" s="169"/>
      <c r="F217" s="253">
        <v>260</v>
      </c>
    </row>
    <row r="218" spans="1:6" ht="15.6" x14ac:dyDescent="0.3">
      <c r="A218" s="127">
        <v>423</v>
      </c>
      <c r="B218" s="128">
        <v>43447</v>
      </c>
      <c r="C218" s="129" t="s">
        <v>42</v>
      </c>
      <c r="D218" s="129" t="s">
        <v>1521</v>
      </c>
      <c r="E218" s="169"/>
      <c r="F218" s="253">
        <v>100</v>
      </c>
    </row>
    <row r="219" spans="1:6" ht="15.6" x14ac:dyDescent="0.3">
      <c r="A219" s="127">
        <v>424</v>
      </c>
      <c r="B219" s="128">
        <v>43447</v>
      </c>
      <c r="C219" s="133" t="s">
        <v>1582</v>
      </c>
      <c r="D219" s="133" t="s">
        <v>1520</v>
      </c>
      <c r="E219" s="169">
        <v>30000</v>
      </c>
      <c r="F219" s="254"/>
    </row>
    <row r="220" spans="1:6" ht="15.6" x14ac:dyDescent="0.3">
      <c r="A220" s="127">
        <v>425</v>
      </c>
      <c r="B220" s="128">
        <v>43447</v>
      </c>
      <c r="C220" s="133" t="s">
        <v>10</v>
      </c>
      <c r="D220" s="133" t="s">
        <v>1516</v>
      </c>
      <c r="E220" s="169"/>
      <c r="F220" s="253">
        <v>1000</v>
      </c>
    </row>
    <row r="221" spans="1:6" ht="15.6" x14ac:dyDescent="0.3">
      <c r="A221" s="127">
        <v>426</v>
      </c>
      <c r="B221" s="128">
        <v>43447</v>
      </c>
      <c r="C221" s="133" t="s">
        <v>97</v>
      </c>
      <c r="D221" s="133" t="s">
        <v>1516</v>
      </c>
      <c r="E221" s="169"/>
      <c r="F221" s="253">
        <v>1000</v>
      </c>
    </row>
    <row r="222" spans="1:6" ht="15.6" x14ac:dyDescent="0.3">
      <c r="A222" s="127">
        <v>427</v>
      </c>
      <c r="B222" s="128">
        <v>43448</v>
      </c>
      <c r="C222" s="133" t="s">
        <v>26</v>
      </c>
      <c r="D222" s="133" t="s">
        <v>1522</v>
      </c>
      <c r="E222" s="169"/>
      <c r="F222" s="253">
        <v>5000</v>
      </c>
    </row>
    <row r="223" spans="1:6" ht="15.6" x14ac:dyDescent="0.3">
      <c r="A223" s="127">
        <v>428</v>
      </c>
      <c r="B223" s="128">
        <v>43450</v>
      </c>
      <c r="C223" s="133" t="s">
        <v>42</v>
      </c>
      <c r="D223" s="133" t="s">
        <v>1521</v>
      </c>
      <c r="E223" s="169"/>
      <c r="F223" s="253">
        <v>150</v>
      </c>
    </row>
    <row r="224" spans="1:6" ht="15.6" x14ac:dyDescent="0.3">
      <c r="A224" s="127">
        <v>429</v>
      </c>
      <c r="B224" s="128">
        <v>43450</v>
      </c>
      <c r="C224" s="129" t="s">
        <v>98</v>
      </c>
      <c r="D224" s="129" t="s">
        <v>1521</v>
      </c>
      <c r="E224" s="169"/>
      <c r="F224" s="253">
        <v>50</v>
      </c>
    </row>
    <row r="225" spans="1:6" ht="15.6" x14ac:dyDescent="0.3">
      <c r="A225" s="127">
        <v>430</v>
      </c>
      <c r="B225" s="128">
        <v>43450</v>
      </c>
      <c r="C225" s="133" t="s">
        <v>26</v>
      </c>
      <c r="D225" s="133" t="s">
        <v>1522</v>
      </c>
      <c r="E225" s="169"/>
      <c r="F225" s="253">
        <v>5000</v>
      </c>
    </row>
    <row r="226" spans="1:6" ht="15.6" x14ac:dyDescent="0.3">
      <c r="A226" s="127">
        <v>431</v>
      </c>
      <c r="B226" s="128">
        <v>43451</v>
      </c>
      <c r="C226" s="133" t="s">
        <v>1587</v>
      </c>
      <c r="D226" s="133" t="s">
        <v>1520</v>
      </c>
      <c r="E226" s="169">
        <v>300000</v>
      </c>
      <c r="F226" s="254"/>
    </row>
    <row r="227" spans="1:6" ht="15.6" x14ac:dyDescent="0.3">
      <c r="A227" s="127">
        <v>432</v>
      </c>
      <c r="B227" s="128">
        <v>43451</v>
      </c>
      <c r="C227" s="129" t="s">
        <v>1548</v>
      </c>
      <c r="D227" s="129" t="s">
        <v>1526</v>
      </c>
      <c r="E227" s="169"/>
      <c r="F227" s="253">
        <v>12000</v>
      </c>
    </row>
    <row r="228" spans="1:6" ht="15.6" x14ac:dyDescent="0.3">
      <c r="A228" s="127">
        <v>433</v>
      </c>
      <c r="B228" s="128">
        <v>43451</v>
      </c>
      <c r="C228" s="133" t="s">
        <v>42</v>
      </c>
      <c r="D228" s="133" t="s">
        <v>1521</v>
      </c>
      <c r="E228" s="169"/>
      <c r="F228" s="253">
        <v>350</v>
      </c>
    </row>
    <row r="229" spans="1:6" ht="15.6" x14ac:dyDescent="0.3">
      <c r="A229" s="127">
        <v>434</v>
      </c>
      <c r="B229" s="128">
        <v>43451</v>
      </c>
      <c r="C229" s="133" t="s">
        <v>100</v>
      </c>
      <c r="D229" s="133" t="s">
        <v>1516</v>
      </c>
      <c r="E229" s="169"/>
      <c r="F229" s="253">
        <v>2000</v>
      </c>
    </row>
    <row r="230" spans="1:6" ht="15.6" x14ac:dyDescent="0.3">
      <c r="A230" s="127">
        <v>435</v>
      </c>
      <c r="B230" s="128">
        <v>43451</v>
      </c>
      <c r="C230" s="133" t="s">
        <v>10</v>
      </c>
      <c r="D230" s="133" t="s">
        <v>1516</v>
      </c>
      <c r="E230" s="169"/>
      <c r="F230" s="253">
        <v>2000</v>
      </c>
    </row>
    <row r="231" spans="1:6" ht="15.6" x14ac:dyDescent="0.3">
      <c r="A231" s="127">
        <v>436</v>
      </c>
      <c r="B231" s="128">
        <v>43451</v>
      </c>
      <c r="C231" s="129" t="s">
        <v>7</v>
      </c>
      <c r="D231" s="129" t="s">
        <v>1516</v>
      </c>
      <c r="E231" s="169"/>
      <c r="F231" s="253">
        <v>2000</v>
      </c>
    </row>
    <row r="232" spans="1:6" ht="15.6" x14ac:dyDescent="0.3">
      <c r="A232" s="127">
        <v>437</v>
      </c>
      <c r="B232" s="128">
        <v>43451</v>
      </c>
      <c r="C232" s="133" t="s">
        <v>97</v>
      </c>
      <c r="D232" s="133" t="s">
        <v>1516</v>
      </c>
      <c r="E232" s="169"/>
      <c r="F232" s="253">
        <v>1000</v>
      </c>
    </row>
    <row r="233" spans="1:6" ht="15.6" x14ac:dyDescent="0.3">
      <c r="A233" s="127">
        <v>438</v>
      </c>
      <c r="B233" s="128">
        <v>43451</v>
      </c>
      <c r="C233" s="130" t="s">
        <v>1588</v>
      </c>
      <c r="D233" s="130" t="s">
        <v>1530</v>
      </c>
      <c r="E233" s="169"/>
      <c r="F233" s="253">
        <v>66000</v>
      </c>
    </row>
    <row r="234" spans="1:6" ht="15.6" x14ac:dyDescent="0.3">
      <c r="A234" s="127">
        <v>439</v>
      </c>
      <c r="B234" s="128">
        <v>43451</v>
      </c>
      <c r="C234" s="133" t="s">
        <v>102</v>
      </c>
      <c r="D234" s="133" t="s">
        <v>1471</v>
      </c>
      <c r="E234" s="169"/>
      <c r="F234" s="253">
        <v>30000</v>
      </c>
    </row>
    <row r="235" spans="1:6" ht="15.6" x14ac:dyDescent="0.3">
      <c r="A235" s="127">
        <v>440</v>
      </c>
      <c r="B235" s="128">
        <v>43451</v>
      </c>
      <c r="C235" s="133" t="s">
        <v>6</v>
      </c>
      <c r="D235" s="133" t="s">
        <v>1523</v>
      </c>
      <c r="E235" s="169"/>
      <c r="F235" s="253">
        <v>100000</v>
      </c>
    </row>
    <row r="236" spans="1:6" ht="15.6" x14ac:dyDescent="0.3">
      <c r="A236" s="127">
        <v>441</v>
      </c>
      <c r="B236" s="128">
        <v>43451</v>
      </c>
      <c r="C236" s="129" t="s">
        <v>1589</v>
      </c>
      <c r="D236" s="129" t="s">
        <v>1517</v>
      </c>
      <c r="E236" s="169"/>
      <c r="F236" s="253">
        <v>60000</v>
      </c>
    </row>
    <row r="237" spans="1:6" ht="15.6" x14ac:dyDescent="0.3">
      <c r="A237" s="127">
        <v>442</v>
      </c>
      <c r="B237" s="128">
        <v>43451</v>
      </c>
      <c r="C237" s="133" t="s">
        <v>62</v>
      </c>
      <c r="D237" s="133" t="s">
        <v>1521</v>
      </c>
      <c r="E237" s="169"/>
      <c r="F237" s="253">
        <v>100</v>
      </c>
    </row>
    <row r="238" spans="1:6" ht="15.6" x14ac:dyDescent="0.3">
      <c r="A238" s="127">
        <v>443</v>
      </c>
      <c r="B238" s="128">
        <v>43452</v>
      </c>
      <c r="C238" s="133" t="s">
        <v>26</v>
      </c>
      <c r="D238" s="133" t="s">
        <v>1522</v>
      </c>
      <c r="E238" s="169"/>
      <c r="F238" s="253">
        <v>2000</v>
      </c>
    </row>
    <row r="239" spans="1:6" ht="15.6" x14ac:dyDescent="0.3">
      <c r="A239" s="127">
        <v>444</v>
      </c>
      <c r="B239" s="128">
        <v>43452</v>
      </c>
      <c r="C239" s="129" t="s">
        <v>1548</v>
      </c>
      <c r="D239" s="129" t="s">
        <v>1526</v>
      </c>
      <c r="E239" s="169"/>
      <c r="F239" s="253">
        <v>2000</v>
      </c>
    </row>
    <row r="240" spans="1:6" ht="15.6" x14ac:dyDescent="0.3">
      <c r="A240" s="127">
        <v>445</v>
      </c>
      <c r="B240" s="128">
        <v>43452</v>
      </c>
      <c r="C240" s="129" t="s">
        <v>42</v>
      </c>
      <c r="D240" s="129" t="s">
        <v>1521</v>
      </c>
      <c r="E240" s="169"/>
      <c r="F240" s="253">
        <v>240</v>
      </c>
    </row>
    <row r="241" spans="1:6" ht="15.6" x14ac:dyDescent="0.3">
      <c r="A241" s="127">
        <v>446</v>
      </c>
      <c r="B241" s="128">
        <v>43453</v>
      </c>
      <c r="C241" s="129" t="s">
        <v>84</v>
      </c>
      <c r="D241" s="129" t="s">
        <v>1533</v>
      </c>
      <c r="E241" s="169"/>
      <c r="F241" s="253">
        <v>3750</v>
      </c>
    </row>
    <row r="242" spans="1:6" ht="15.6" x14ac:dyDescent="0.3">
      <c r="A242" s="127">
        <v>447</v>
      </c>
      <c r="B242" s="128">
        <v>43453</v>
      </c>
      <c r="C242" s="133" t="s">
        <v>104</v>
      </c>
      <c r="D242" s="133" t="s">
        <v>1521</v>
      </c>
      <c r="E242" s="169"/>
      <c r="F242" s="253">
        <v>240</v>
      </c>
    </row>
    <row r="243" spans="1:6" ht="15.6" x14ac:dyDescent="0.3">
      <c r="A243" s="127">
        <v>448</v>
      </c>
      <c r="B243" s="128">
        <v>43453</v>
      </c>
      <c r="C243" s="129" t="s">
        <v>1548</v>
      </c>
      <c r="D243" s="129" t="s">
        <v>1526</v>
      </c>
      <c r="E243" s="169"/>
      <c r="F243" s="253">
        <v>10000</v>
      </c>
    </row>
    <row r="244" spans="1:6" ht="15.6" x14ac:dyDescent="0.3">
      <c r="A244" s="127">
        <v>449</v>
      </c>
      <c r="B244" s="128">
        <v>43453</v>
      </c>
      <c r="C244" s="133" t="s">
        <v>26</v>
      </c>
      <c r="D244" s="133" t="s">
        <v>1522</v>
      </c>
      <c r="E244" s="169"/>
      <c r="F244" s="253">
        <v>6000</v>
      </c>
    </row>
    <row r="245" spans="1:6" ht="15.6" x14ac:dyDescent="0.3">
      <c r="A245" s="127">
        <v>450</v>
      </c>
      <c r="B245" s="128">
        <v>43453</v>
      </c>
      <c r="C245" s="133" t="s">
        <v>10</v>
      </c>
      <c r="D245" s="133" t="s">
        <v>1516</v>
      </c>
      <c r="E245" s="169"/>
      <c r="F245" s="253">
        <v>500</v>
      </c>
    </row>
    <row r="246" spans="1:6" ht="15.6" x14ac:dyDescent="0.3">
      <c r="A246" s="127">
        <v>451</v>
      </c>
      <c r="B246" s="128">
        <v>43454</v>
      </c>
      <c r="C246" s="133" t="s">
        <v>26</v>
      </c>
      <c r="D246" s="133" t="s">
        <v>1522</v>
      </c>
      <c r="E246" s="169"/>
      <c r="F246" s="253">
        <v>3000</v>
      </c>
    </row>
    <row r="247" spans="1:6" ht="15.6" x14ac:dyDescent="0.3">
      <c r="A247" s="127">
        <v>452</v>
      </c>
      <c r="B247" s="128">
        <v>43454</v>
      </c>
      <c r="C247" s="129" t="s">
        <v>105</v>
      </c>
      <c r="D247" s="129" t="s">
        <v>1521</v>
      </c>
      <c r="E247" s="169"/>
      <c r="F247" s="253">
        <v>70</v>
      </c>
    </row>
    <row r="248" spans="1:6" ht="15.6" x14ac:dyDescent="0.3">
      <c r="A248" s="127">
        <v>453</v>
      </c>
      <c r="B248" s="128">
        <v>43455</v>
      </c>
      <c r="C248" s="133" t="s">
        <v>42</v>
      </c>
      <c r="D248" s="133" t="s">
        <v>1521</v>
      </c>
      <c r="E248" s="169"/>
      <c r="F248" s="253">
        <v>75</v>
      </c>
    </row>
    <row r="249" spans="1:6" ht="15.6" x14ac:dyDescent="0.3">
      <c r="A249" s="127">
        <v>454</v>
      </c>
      <c r="B249" s="128">
        <v>43455</v>
      </c>
      <c r="C249" s="129" t="s">
        <v>7</v>
      </c>
      <c r="D249" s="129" t="s">
        <v>1516</v>
      </c>
      <c r="E249" s="169"/>
      <c r="F249" s="253">
        <v>1000</v>
      </c>
    </row>
    <row r="250" spans="1:6" ht="15.6" x14ac:dyDescent="0.3">
      <c r="A250" s="127">
        <v>455</v>
      </c>
      <c r="B250" s="128">
        <v>43455</v>
      </c>
      <c r="C250" s="129" t="s">
        <v>94</v>
      </c>
      <c r="D250" s="129" t="s">
        <v>1516</v>
      </c>
      <c r="E250" s="169"/>
      <c r="F250" s="253">
        <v>1000</v>
      </c>
    </row>
    <row r="251" spans="1:6" ht="15.6" x14ac:dyDescent="0.3">
      <c r="A251" s="127">
        <v>456</v>
      </c>
      <c r="B251" s="128">
        <v>43455</v>
      </c>
      <c r="C251" s="129" t="s">
        <v>26</v>
      </c>
      <c r="D251" s="129" t="s">
        <v>1522</v>
      </c>
      <c r="E251" s="169"/>
      <c r="F251" s="253">
        <v>7000</v>
      </c>
    </row>
    <row r="252" spans="1:6" ht="15.6" x14ac:dyDescent="0.3">
      <c r="A252" s="127">
        <v>457</v>
      </c>
      <c r="B252" s="128">
        <v>43456</v>
      </c>
      <c r="C252" s="129" t="s">
        <v>1548</v>
      </c>
      <c r="D252" s="129" t="s">
        <v>1526</v>
      </c>
      <c r="E252" s="169"/>
      <c r="F252" s="253">
        <v>4000</v>
      </c>
    </row>
    <row r="253" spans="1:6" ht="15.6" x14ac:dyDescent="0.3">
      <c r="A253" s="127">
        <v>458</v>
      </c>
      <c r="B253" s="128">
        <v>43456</v>
      </c>
      <c r="C253" s="129" t="s">
        <v>26</v>
      </c>
      <c r="D253" s="129" t="s">
        <v>1522</v>
      </c>
      <c r="E253" s="169"/>
      <c r="F253" s="253">
        <v>3000</v>
      </c>
    </row>
    <row r="254" spans="1:6" ht="15.6" x14ac:dyDescent="0.3">
      <c r="A254" s="127">
        <v>459</v>
      </c>
      <c r="B254" s="128">
        <v>43456</v>
      </c>
      <c r="C254" s="129" t="s">
        <v>42</v>
      </c>
      <c r="D254" s="129" t="s">
        <v>1521</v>
      </c>
      <c r="E254" s="169"/>
      <c r="F254" s="253">
        <v>100</v>
      </c>
    </row>
    <row r="255" spans="1:6" ht="15.6" x14ac:dyDescent="0.3">
      <c r="A255" s="127">
        <v>460</v>
      </c>
      <c r="B255" s="128">
        <v>43457</v>
      </c>
      <c r="C255" s="133" t="s">
        <v>1582</v>
      </c>
      <c r="D255" s="133" t="s">
        <v>1520</v>
      </c>
      <c r="E255" s="169">
        <v>49000</v>
      </c>
      <c r="F255" s="254"/>
    </row>
    <row r="256" spans="1:6" ht="15.6" x14ac:dyDescent="0.3">
      <c r="A256" s="127">
        <v>461</v>
      </c>
      <c r="B256" s="128">
        <v>43457</v>
      </c>
      <c r="C256" s="133" t="s">
        <v>106</v>
      </c>
      <c r="D256" s="133" t="s">
        <v>1471</v>
      </c>
      <c r="E256" s="169"/>
      <c r="F256" s="253">
        <v>850</v>
      </c>
    </row>
    <row r="257" spans="1:6" ht="15.6" x14ac:dyDescent="0.3">
      <c r="A257" s="127">
        <v>462</v>
      </c>
      <c r="B257" s="128">
        <v>43457</v>
      </c>
      <c r="C257" s="133" t="s">
        <v>107</v>
      </c>
      <c r="D257" s="133" t="s">
        <v>1521</v>
      </c>
      <c r="E257" s="169"/>
      <c r="F257" s="253">
        <v>60</v>
      </c>
    </row>
    <row r="258" spans="1:6" ht="15.6" x14ac:dyDescent="0.3">
      <c r="A258" s="127">
        <v>463</v>
      </c>
      <c r="B258" s="128">
        <v>43457</v>
      </c>
      <c r="C258" s="133" t="s">
        <v>26</v>
      </c>
      <c r="D258" s="133" t="s">
        <v>1522</v>
      </c>
      <c r="E258" s="169"/>
      <c r="F258" s="253">
        <v>1000</v>
      </c>
    </row>
    <row r="259" spans="1:6" ht="15.6" x14ac:dyDescent="0.3">
      <c r="A259" s="127">
        <v>464</v>
      </c>
      <c r="B259" s="128">
        <v>43457</v>
      </c>
      <c r="C259" s="133" t="s">
        <v>102</v>
      </c>
      <c r="D259" s="133" t="s">
        <v>1471</v>
      </c>
      <c r="E259" s="169"/>
      <c r="F259" s="253">
        <v>30000</v>
      </c>
    </row>
    <row r="260" spans="1:6" ht="15.6" x14ac:dyDescent="0.3">
      <c r="A260" s="127">
        <v>465</v>
      </c>
      <c r="B260" s="128">
        <v>43457</v>
      </c>
      <c r="C260" s="129" t="s">
        <v>1548</v>
      </c>
      <c r="D260" s="129" t="s">
        <v>1526</v>
      </c>
      <c r="E260" s="169"/>
      <c r="F260" s="253">
        <v>10000</v>
      </c>
    </row>
    <row r="261" spans="1:6" ht="15.6" x14ac:dyDescent="0.3">
      <c r="A261" s="127">
        <v>466</v>
      </c>
      <c r="B261" s="128">
        <v>43459</v>
      </c>
      <c r="C261" s="129" t="s">
        <v>1548</v>
      </c>
      <c r="D261" s="129" t="s">
        <v>1526</v>
      </c>
      <c r="E261" s="169"/>
      <c r="F261" s="253">
        <v>5000</v>
      </c>
    </row>
    <row r="262" spans="1:6" ht="15.6" x14ac:dyDescent="0.3">
      <c r="A262" s="127">
        <v>467</v>
      </c>
      <c r="B262" s="128">
        <v>43459</v>
      </c>
      <c r="C262" s="129" t="s">
        <v>7</v>
      </c>
      <c r="D262" s="129" t="s">
        <v>1516</v>
      </c>
      <c r="E262" s="169"/>
      <c r="F262" s="253">
        <v>1000</v>
      </c>
    </row>
    <row r="263" spans="1:6" ht="15.6" x14ac:dyDescent="0.3">
      <c r="A263" s="127">
        <v>468</v>
      </c>
      <c r="B263" s="128">
        <v>43459</v>
      </c>
      <c r="C263" s="129" t="s">
        <v>94</v>
      </c>
      <c r="D263" s="129" t="s">
        <v>1516</v>
      </c>
      <c r="E263" s="169"/>
      <c r="F263" s="253">
        <v>1000</v>
      </c>
    </row>
    <row r="264" spans="1:6" ht="15.6" x14ac:dyDescent="0.3">
      <c r="A264" s="127">
        <v>469</v>
      </c>
      <c r="B264" s="128">
        <v>43459</v>
      </c>
      <c r="C264" s="133" t="s">
        <v>42</v>
      </c>
      <c r="D264" s="133" t="s">
        <v>1521</v>
      </c>
      <c r="E264" s="169"/>
      <c r="F264" s="253">
        <v>50</v>
      </c>
    </row>
    <row r="265" spans="1:6" ht="15.6" x14ac:dyDescent="0.3">
      <c r="A265" s="127">
        <v>470</v>
      </c>
      <c r="B265" s="128">
        <v>43460</v>
      </c>
      <c r="C265" s="133" t="s">
        <v>1582</v>
      </c>
      <c r="D265" s="133" t="s">
        <v>1520</v>
      </c>
      <c r="E265" s="169">
        <v>50000</v>
      </c>
      <c r="F265" s="254"/>
    </row>
    <row r="266" spans="1:6" ht="15.6" x14ac:dyDescent="0.3">
      <c r="A266" s="127">
        <v>471</v>
      </c>
      <c r="B266" s="128">
        <v>43460</v>
      </c>
      <c r="C266" s="129" t="s">
        <v>1548</v>
      </c>
      <c r="D266" s="129" t="s">
        <v>1526</v>
      </c>
      <c r="E266" s="169"/>
      <c r="F266" s="253">
        <v>20000</v>
      </c>
    </row>
    <row r="267" spans="1:6" ht="15.6" x14ac:dyDescent="0.3">
      <c r="A267" s="127">
        <v>472</v>
      </c>
      <c r="B267" s="128">
        <v>43460</v>
      </c>
      <c r="C267" s="129" t="s">
        <v>7</v>
      </c>
      <c r="D267" s="129" t="s">
        <v>1516</v>
      </c>
      <c r="E267" s="169"/>
      <c r="F267" s="253">
        <v>1000</v>
      </c>
    </row>
    <row r="268" spans="1:6" ht="15.6" x14ac:dyDescent="0.3">
      <c r="A268" s="127">
        <v>473</v>
      </c>
      <c r="B268" s="128">
        <v>43460</v>
      </c>
      <c r="C268" s="133" t="s">
        <v>108</v>
      </c>
      <c r="D268" s="133" t="s">
        <v>1521</v>
      </c>
      <c r="E268" s="169"/>
      <c r="F268" s="253">
        <v>40</v>
      </c>
    </row>
    <row r="269" spans="1:6" ht="15.6" x14ac:dyDescent="0.3">
      <c r="A269" s="127">
        <v>474</v>
      </c>
      <c r="B269" s="128">
        <v>43461</v>
      </c>
      <c r="C269" s="133" t="s">
        <v>42</v>
      </c>
      <c r="D269" s="133" t="s">
        <v>1521</v>
      </c>
      <c r="E269" s="169"/>
      <c r="F269" s="253">
        <v>50</v>
      </c>
    </row>
    <row r="270" spans="1:6" ht="15.6" x14ac:dyDescent="0.3">
      <c r="A270" s="127">
        <v>475</v>
      </c>
      <c r="B270" s="128">
        <v>43463</v>
      </c>
      <c r="C270" s="133" t="s">
        <v>1582</v>
      </c>
      <c r="D270" s="133" t="s">
        <v>1520</v>
      </c>
      <c r="E270" s="169">
        <v>100000</v>
      </c>
      <c r="F270" s="254"/>
    </row>
    <row r="271" spans="1:6" ht="15.6" x14ac:dyDescent="0.3">
      <c r="A271" s="127">
        <v>476</v>
      </c>
      <c r="B271" s="128">
        <v>43463</v>
      </c>
      <c r="C271" s="133" t="s">
        <v>102</v>
      </c>
      <c r="D271" s="133" t="s">
        <v>1471</v>
      </c>
      <c r="E271" s="169"/>
      <c r="F271" s="253">
        <v>30000</v>
      </c>
    </row>
    <row r="272" spans="1:6" ht="15.6" x14ac:dyDescent="0.3">
      <c r="A272" s="127">
        <v>477</v>
      </c>
      <c r="B272" s="128">
        <v>43463</v>
      </c>
      <c r="C272" s="130" t="s">
        <v>1590</v>
      </c>
      <c r="D272" s="130" t="s">
        <v>1530</v>
      </c>
      <c r="E272" s="169"/>
      <c r="F272" s="253">
        <v>22000</v>
      </c>
    </row>
    <row r="273" spans="1:6" ht="15.6" x14ac:dyDescent="0.3">
      <c r="A273" s="127">
        <v>478</v>
      </c>
      <c r="B273" s="128">
        <v>43463</v>
      </c>
      <c r="C273" s="133" t="s">
        <v>110</v>
      </c>
      <c r="D273" s="133" t="s">
        <v>1521</v>
      </c>
      <c r="E273" s="169"/>
      <c r="F273" s="253">
        <v>2000</v>
      </c>
    </row>
    <row r="274" spans="1:6" ht="15.6" x14ac:dyDescent="0.3">
      <c r="A274" s="127">
        <v>479</v>
      </c>
      <c r="B274" s="128">
        <v>43463</v>
      </c>
      <c r="C274" s="133" t="s">
        <v>62</v>
      </c>
      <c r="D274" s="133" t="s">
        <v>1521</v>
      </c>
      <c r="E274" s="169"/>
      <c r="F274" s="253">
        <v>150</v>
      </c>
    </row>
    <row r="275" spans="1:6" ht="15.6" x14ac:dyDescent="0.3">
      <c r="A275" s="127">
        <v>480</v>
      </c>
      <c r="B275" s="128">
        <v>43463</v>
      </c>
      <c r="C275" s="129" t="s">
        <v>1548</v>
      </c>
      <c r="D275" s="129" t="s">
        <v>1526</v>
      </c>
      <c r="E275" s="169"/>
      <c r="F275" s="253">
        <v>20000</v>
      </c>
    </row>
    <row r="276" spans="1:6" ht="15.6" x14ac:dyDescent="0.3">
      <c r="A276" s="127">
        <v>481</v>
      </c>
      <c r="B276" s="128">
        <v>43463</v>
      </c>
      <c r="C276" s="129" t="s">
        <v>94</v>
      </c>
      <c r="D276" s="129" t="s">
        <v>1516</v>
      </c>
      <c r="E276" s="169"/>
      <c r="F276" s="253">
        <v>1000</v>
      </c>
    </row>
    <row r="277" spans="1:6" ht="15.6" x14ac:dyDescent="0.3">
      <c r="A277" s="127">
        <v>482</v>
      </c>
      <c r="B277" s="128">
        <v>43463</v>
      </c>
      <c r="C277" s="133" t="s">
        <v>69</v>
      </c>
      <c r="D277" s="133" t="s">
        <v>1524</v>
      </c>
      <c r="E277" s="169"/>
      <c r="F277" s="253">
        <v>30000</v>
      </c>
    </row>
    <row r="278" spans="1:6" ht="15.6" x14ac:dyDescent="0.3">
      <c r="A278" s="127">
        <v>483</v>
      </c>
      <c r="B278" s="128">
        <v>43463</v>
      </c>
      <c r="C278" s="129" t="s">
        <v>7</v>
      </c>
      <c r="D278" s="129" t="s">
        <v>1516</v>
      </c>
      <c r="E278" s="169"/>
      <c r="F278" s="253">
        <v>1000</v>
      </c>
    </row>
    <row r="279" spans="1:6" ht="15.6" x14ac:dyDescent="0.3">
      <c r="A279" s="127">
        <v>484</v>
      </c>
      <c r="B279" s="128">
        <v>43463</v>
      </c>
      <c r="C279" s="133" t="s">
        <v>97</v>
      </c>
      <c r="D279" s="133" t="s">
        <v>1516</v>
      </c>
      <c r="E279" s="169"/>
      <c r="F279" s="253">
        <v>1000</v>
      </c>
    </row>
    <row r="280" spans="1:6" ht="15.6" x14ac:dyDescent="0.3">
      <c r="A280" s="127">
        <v>485</v>
      </c>
      <c r="B280" s="128">
        <v>43463</v>
      </c>
      <c r="C280" s="133" t="s">
        <v>42</v>
      </c>
      <c r="D280" s="133" t="s">
        <v>1521</v>
      </c>
      <c r="E280" s="169"/>
      <c r="F280" s="253">
        <v>200</v>
      </c>
    </row>
    <row r="281" spans="1:6" ht="15.6" x14ac:dyDescent="0.3">
      <c r="A281" s="127">
        <v>486</v>
      </c>
      <c r="B281" s="128">
        <v>43463</v>
      </c>
      <c r="C281" s="129" t="s">
        <v>100</v>
      </c>
      <c r="D281" s="129" t="s">
        <v>1516</v>
      </c>
      <c r="E281" s="169"/>
      <c r="F281" s="253">
        <v>1000</v>
      </c>
    </row>
    <row r="282" spans="1:6" ht="15.6" x14ac:dyDescent="0.3">
      <c r="A282" s="127">
        <v>487</v>
      </c>
      <c r="B282" s="128">
        <v>43464</v>
      </c>
      <c r="C282" s="129" t="s">
        <v>1548</v>
      </c>
      <c r="D282" s="129" t="s">
        <v>1526</v>
      </c>
      <c r="E282" s="169"/>
      <c r="F282" s="253">
        <v>13000</v>
      </c>
    </row>
    <row r="283" spans="1:6" ht="15.6" x14ac:dyDescent="0.3">
      <c r="A283" s="127">
        <v>488</v>
      </c>
      <c r="B283" s="128">
        <v>43465</v>
      </c>
      <c r="C283" s="129" t="s">
        <v>42</v>
      </c>
      <c r="D283" s="129" t="s">
        <v>1521</v>
      </c>
      <c r="E283" s="169"/>
      <c r="F283" s="253">
        <v>75</v>
      </c>
    </row>
    <row r="284" spans="1:6" ht="15.6" x14ac:dyDescent="0.3">
      <c r="A284" s="127">
        <v>489</v>
      </c>
      <c r="B284" s="128">
        <v>43466</v>
      </c>
      <c r="C284" s="129" t="s">
        <v>1548</v>
      </c>
      <c r="D284" s="129" t="s">
        <v>1526</v>
      </c>
      <c r="E284" s="169"/>
      <c r="F284" s="253">
        <v>3000</v>
      </c>
    </row>
    <row r="285" spans="1:6" ht="15.6" x14ac:dyDescent="0.3">
      <c r="A285" s="127">
        <v>490</v>
      </c>
      <c r="B285" s="128">
        <v>43466</v>
      </c>
      <c r="C285" s="129" t="s">
        <v>42</v>
      </c>
      <c r="D285" s="129" t="s">
        <v>1521</v>
      </c>
      <c r="E285" s="169"/>
      <c r="F285" s="253">
        <v>50</v>
      </c>
    </row>
    <row r="286" spans="1:6" ht="15.6" x14ac:dyDescent="0.3">
      <c r="A286" s="127">
        <v>491</v>
      </c>
      <c r="B286" s="128">
        <v>43467</v>
      </c>
      <c r="C286" s="129" t="s">
        <v>1548</v>
      </c>
      <c r="D286" s="129" t="s">
        <v>1526</v>
      </c>
      <c r="E286" s="169"/>
      <c r="F286" s="253">
        <v>10000</v>
      </c>
    </row>
    <row r="287" spans="1:6" ht="15.6" x14ac:dyDescent="0.3">
      <c r="A287" s="127">
        <v>492</v>
      </c>
      <c r="B287" s="128">
        <v>43467</v>
      </c>
      <c r="C287" s="129" t="s">
        <v>106</v>
      </c>
      <c r="D287" s="129" t="s">
        <v>1471</v>
      </c>
      <c r="E287" s="169"/>
      <c r="F287" s="253">
        <v>560</v>
      </c>
    </row>
    <row r="288" spans="1:6" ht="15.6" x14ac:dyDescent="0.3">
      <c r="A288" s="127">
        <v>493</v>
      </c>
      <c r="B288" s="128">
        <v>43468</v>
      </c>
      <c r="C288" s="133" t="s">
        <v>1582</v>
      </c>
      <c r="D288" s="133" t="s">
        <v>1520</v>
      </c>
      <c r="E288" s="169">
        <v>250000</v>
      </c>
      <c r="F288" s="254"/>
    </row>
    <row r="289" spans="1:6" ht="15.6" x14ac:dyDescent="0.3">
      <c r="A289" s="127">
        <v>494</v>
      </c>
      <c r="B289" s="128">
        <v>43468</v>
      </c>
      <c r="C289" s="129" t="s">
        <v>1548</v>
      </c>
      <c r="D289" s="129" t="s">
        <v>1526</v>
      </c>
      <c r="E289" s="169"/>
      <c r="F289" s="253">
        <v>100000</v>
      </c>
    </row>
    <row r="290" spans="1:6" ht="15.6" x14ac:dyDescent="0.3">
      <c r="A290" s="127">
        <v>495</v>
      </c>
      <c r="B290" s="128">
        <v>43468</v>
      </c>
      <c r="C290" s="129" t="s">
        <v>26</v>
      </c>
      <c r="D290" s="129" t="s">
        <v>1522</v>
      </c>
      <c r="E290" s="169"/>
      <c r="F290" s="253">
        <v>20000</v>
      </c>
    </row>
    <row r="291" spans="1:6" ht="15.6" x14ac:dyDescent="0.3">
      <c r="A291" s="127">
        <v>496</v>
      </c>
      <c r="B291" s="128">
        <v>43468</v>
      </c>
      <c r="C291" s="129" t="s">
        <v>102</v>
      </c>
      <c r="D291" s="129" t="s">
        <v>1471</v>
      </c>
      <c r="E291" s="169"/>
      <c r="F291" s="253">
        <v>40000</v>
      </c>
    </row>
    <row r="292" spans="1:6" ht="15.6" x14ac:dyDescent="0.3">
      <c r="A292" s="127">
        <v>497</v>
      </c>
      <c r="B292" s="128">
        <v>43468</v>
      </c>
      <c r="C292" s="129" t="s">
        <v>1591</v>
      </c>
      <c r="D292" s="129" t="s">
        <v>1516</v>
      </c>
      <c r="E292" s="169"/>
      <c r="F292" s="253">
        <v>15800</v>
      </c>
    </row>
    <row r="293" spans="1:6" ht="15.6" x14ac:dyDescent="0.3">
      <c r="A293" s="127">
        <v>498</v>
      </c>
      <c r="B293" s="128">
        <v>43469</v>
      </c>
      <c r="C293" s="129" t="s">
        <v>69</v>
      </c>
      <c r="D293" s="129" t="s">
        <v>1524</v>
      </c>
      <c r="E293" s="169"/>
      <c r="F293" s="253">
        <v>30000</v>
      </c>
    </row>
    <row r="294" spans="1:6" ht="15.6" x14ac:dyDescent="0.3">
      <c r="A294" s="127">
        <v>499</v>
      </c>
      <c r="B294" s="128">
        <v>43469</v>
      </c>
      <c r="C294" s="129" t="s">
        <v>1592</v>
      </c>
      <c r="D294" s="129" t="s">
        <v>1516</v>
      </c>
      <c r="E294" s="169"/>
      <c r="F294" s="253">
        <v>22650</v>
      </c>
    </row>
    <row r="295" spans="1:6" ht="15.6" x14ac:dyDescent="0.3">
      <c r="A295" s="127">
        <v>500</v>
      </c>
      <c r="B295" s="128">
        <v>43469</v>
      </c>
      <c r="C295" s="129" t="s">
        <v>113</v>
      </c>
      <c r="D295" s="129" t="s">
        <v>1529</v>
      </c>
      <c r="E295" s="169"/>
      <c r="F295" s="253">
        <v>20000</v>
      </c>
    </row>
    <row r="296" spans="1:6" ht="15.6" x14ac:dyDescent="0.3">
      <c r="A296" s="127">
        <v>501</v>
      </c>
      <c r="B296" s="128">
        <v>43469</v>
      </c>
      <c r="C296" s="129" t="s">
        <v>42</v>
      </c>
      <c r="D296" s="129" t="s">
        <v>1521</v>
      </c>
      <c r="E296" s="169"/>
      <c r="F296" s="253">
        <v>50</v>
      </c>
    </row>
    <row r="297" spans="1:6" ht="15.6" x14ac:dyDescent="0.3">
      <c r="A297" s="127">
        <v>502</v>
      </c>
      <c r="B297" s="128">
        <v>43469</v>
      </c>
      <c r="C297" s="129" t="s">
        <v>1593</v>
      </c>
      <c r="D297" s="129" t="s">
        <v>1516</v>
      </c>
      <c r="E297" s="169"/>
      <c r="F297" s="253">
        <v>9600</v>
      </c>
    </row>
    <row r="298" spans="1:6" ht="15.6" x14ac:dyDescent="0.3">
      <c r="A298" s="127">
        <v>503</v>
      </c>
      <c r="B298" s="128">
        <v>43470</v>
      </c>
      <c r="C298" s="133" t="s">
        <v>1582</v>
      </c>
      <c r="D298" s="133" t="s">
        <v>1520</v>
      </c>
      <c r="E298" s="169">
        <v>200000</v>
      </c>
      <c r="F298" s="254"/>
    </row>
    <row r="299" spans="1:6" ht="15.6" x14ac:dyDescent="0.3">
      <c r="A299" s="127">
        <v>504</v>
      </c>
      <c r="B299" s="128">
        <v>43470</v>
      </c>
      <c r="C299" s="129" t="s">
        <v>6</v>
      </c>
      <c r="D299" s="129" t="s">
        <v>1523</v>
      </c>
      <c r="E299" s="169"/>
      <c r="F299" s="253">
        <v>100000</v>
      </c>
    </row>
    <row r="300" spans="1:6" ht="15.6" x14ac:dyDescent="0.3">
      <c r="A300" s="127">
        <v>505</v>
      </c>
      <c r="B300" s="128">
        <v>43470</v>
      </c>
      <c r="C300" s="129" t="s">
        <v>42</v>
      </c>
      <c r="D300" s="129" t="s">
        <v>1521</v>
      </c>
      <c r="E300" s="169"/>
      <c r="F300" s="253">
        <v>50</v>
      </c>
    </row>
    <row r="301" spans="1:6" ht="15.6" x14ac:dyDescent="0.3">
      <c r="A301" s="127">
        <v>506</v>
      </c>
      <c r="B301" s="128">
        <v>43471</v>
      </c>
      <c r="C301" s="129" t="s">
        <v>106</v>
      </c>
      <c r="D301" s="129" t="s">
        <v>1471</v>
      </c>
      <c r="E301" s="169"/>
      <c r="F301" s="253">
        <v>6615</v>
      </c>
    </row>
    <row r="302" spans="1:6" ht="15.6" x14ac:dyDescent="0.3">
      <c r="A302" s="127">
        <v>507</v>
      </c>
      <c r="B302" s="128">
        <v>43472</v>
      </c>
      <c r="C302" s="129" t="s">
        <v>94</v>
      </c>
      <c r="D302" s="129" t="s">
        <v>1516</v>
      </c>
      <c r="E302" s="169"/>
      <c r="F302" s="253">
        <v>400</v>
      </c>
    </row>
    <row r="303" spans="1:6" ht="15.6" x14ac:dyDescent="0.3">
      <c r="A303" s="127">
        <v>508</v>
      </c>
      <c r="B303" s="128">
        <v>43472</v>
      </c>
      <c r="C303" s="129" t="s">
        <v>42</v>
      </c>
      <c r="D303" s="129" t="s">
        <v>1521</v>
      </c>
      <c r="E303" s="169"/>
      <c r="F303" s="253">
        <v>100</v>
      </c>
    </row>
    <row r="304" spans="1:6" ht="15.6" x14ac:dyDescent="0.3">
      <c r="A304" s="127">
        <v>509</v>
      </c>
      <c r="B304" s="128">
        <v>43472</v>
      </c>
      <c r="C304" s="129" t="s">
        <v>1594</v>
      </c>
      <c r="D304" s="129" t="s">
        <v>1517</v>
      </c>
      <c r="E304" s="169"/>
      <c r="F304" s="253">
        <v>60000</v>
      </c>
    </row>
    <row r="305" spans="1:6" ht="15.6" x14ac:dyDescent="0.3">
      <c r="A305" s="127">
        <v>510</v>
      </c>
      <c r="B305" s="128">
        <v>43472</v>
      </c>
      <c r="C305" s="129" t="s">
        <v>69</v>
      </c>
      <c r="D305" s="129" t="s">
        <v>1524</v>
      </c>
      <c r="E305" s="169"/>
      <c r="F305" s="253">
        <v>2000</v>
      </c>
    </row>
    <row r="306" spans="1:6" ht="15.6" x14ac:dyDescent="0.3">
      <c r="A306" s="127">
        <v>511</v>
      </c>
      <c r="B306" s="128">
        <v>43473</v>
      </c>
      <c r="C306" s="133" t="s">
        <v>1550</v>
      </c>
      <c r="D306" s="133" t="s">
        <v>1520</v>
      </c>
      <c r="E306" s="169">
        <v>100000</v>
      </c>
      <c r="F306" s="254"/>
    </row>
    <row r="307" spans="1:6" ht="15.6" x14ac:dyDescent="0.3">
      <c r="A307" s="127">
        <v>512</v>
      </c>
      <c r="B307" s="128">
        <v>43473</v>
      </c>
      <c r="C307" s="129" t="s">
        <v>1548</v>
      </c>
      <c r="D307" s="129" t="s">
        <v>1526</v>
      </c>
      <c r="E307" s="169"/>
      <c r="F307" s="253">
        <v>30000</v>
      </c>
    </row>
    <row r="308" spans="1:6" ht="15.6" x14ac:dyDescent="0.3">
      <c r="A308" s="127">
        <v>513</v>
      </c>
      <c r="B308" s="128">
        <v>43474</v>
      </c>
      <c r="C308" s="133" t="s">
        <v>1582</v>
      </c>
      <c r="D308" s="133" t="s">
        <v>1520</v>
      </c>
      <c r="E308" s="169">
        <v>130000</v>
      </c>
      <c r="F308" s="254"/>
    </row>
    <row r="309" spans="1:6" ht="15.6" x14ac:dyDescent="0.3">
      <c r="A309" s="127">
        <v>514</v>
      </c>
      <c r="B309" s="128">
        <v>43474</v>
      </c>
      <c r="C309" s="133" t="s">
        <v>1582</v>
      </c>
      <c r="D309" s="133" t="s">
        <v>1520</v>
      </c>
      <c r="E309" s="169">
        <v>70000</v>
      </c>
      <c r="F309" s="254"/>
    </row>
    <row r="310" spans="1:6" ht="15.6" x14ac:dyDescent="0.3">
      <c r="A310" s="127">
        <v>515</v>
      </c>
      <c r="B310" s="128">
        <v>43474</v>
      </c>
      <c r="C310" s="129" t="s">
        <v>7</v>
      </c>
      <c r="D310" s="129" t="s">
        <v>1516</v>
      </c>
      <c r="E310" s="169"/>
      <c r="F310" s="253">
        <v>2000</v>
      </c>
    </row>
    <row r="311" spans="1:6" ht="15.6" x14ac:dyDescent="0.3">
      <c r="A311" s="127">
        <v>516</v>
      </c>
      <c r="B311" s="128">
        <v>43474</v>
      </c>
      <c r="C311" s="129" t="s">
        <v>1595</v>
      </c>
      <c r="D311" s="129" t="s">
        <v>1516</v>
      </c>
      <c r="E311" s="169"/>
      <c r="F311" s="253">
        <v>1600</v>
      </c>
    </row>
    <row r="312" spans="1:6" ht="15.6" x14ac:dyDescent="0.3">
      <c r="A312" s="127">
        <v>517</v>
      </c>
      <c r="B312" s="128">
        <v>43474</v>
      </c>
      <c r="C312" s="129" t="s">
        <v>1596</v>
      </c>
      <c r="D312" s="129" t="s">
        <v>1516</v>
      </c>
      <c r="E312" s="169"/>
      <c r="F312" s="253">
        <v>2950</v>
      </c>
    </row>
    <row r="313" spans="1:6" ht="15.6" x14ac:dyDescent="0.3">
      <c r="A313" s="127">
        <v>518</v>
      </c>
      <c r="B313" s="128">
        <v>43474</v>
      </c>
      <c r="C313" s="129" t="s">
        <v>1597</v>
      </c>
      <c r="D313" s="129" t="s">
        <v>1516</v>
      </c>
      <c r="E313" s="169"/>
      <c r="F313" s="253">
        <v>1250</v>
      </c>
    </row>
    <row r="314" spans="1:6" ht="15.6" x14ac:dyDescent="0.3">
      <c r="A314" s="127">
        <v>519</v>
      </c>
      <c r="B314" s="128">
        <v>43474</v>
      </c>
      <c r="C314" s="129" t="s">
        <v>102</v>
      </c>
      <c r="D314" s="129" t="s">
        <v>1471</v>
      </c>
      <c r="E314" s="169"/>
      <c r="F314" s="253">
        <v>20000</v>
      </c>
    </row>
    <row r="315" spans="1:6" ht="15.6" x14ac:dyDescent="0.3">
      <c r="A315" s="127">
        <v>520</v>
      </c>
      <c r="B315" s="128">
        <v>43474</v>
      </c>
      <c r="C315" s="129" t="s">
        <v>1548</v>
      </c>
      <c r="D315" s="129" t="s">
        <v>1526</v>
      </c>
      <c r="E315" s="169"/>
      <c r="F315" s="253">
        <v>100000</v>
      </c>
    </row>
    <row r="316" spans="1:6" ht="15.6" x14ac:dyDescent="0.3">
      <c r="A316" s="127">
        <v>521</v>
      </c>
      <c r="B316" s="128">
        <v>43474</v>
      </c>
      <c r="C316" s="129" t="s">
        <v>6</v>
      </c>
      <c r="D316" s="129" t="s">
        <v>1523</v>
      </c>
      <c r="E316" s="169"/>
      <c r="F316" s="253">
        <v>50000</v>
      </c>
    </row>
    <row r="317" spans="1:6" ht="15.6" x14ac:dyDescent="0.3">
      <c r="A317" s="127">
        <v>522</v>
      </c>
      <c r="B317" s="128">
        <v>43474</v>
      </c>
      <c r="C317" s="129" t="s">
        <v>1548</v>
      </c>
      <c r="D317" s="129" t="s">
        <v>1526</v>
      </c>
      <c r="E317" s="169"/>
      <c r="F317" s="253">
        <v>25000</v>
      </c>
    </row>
    <row r="318" spans="1:6" ht="15.6" x14ac:dyDescent="0.3">
      <c r="A318" s="127">
        <v>523</v>
      </c>
      <c r="B318" s="128">
        <v>43475</v>
      </c>
      <c r="C318" s="129" t="s">
        <v>106</v>
      </c>
      <c r="D318" s="129" t="s">
        <v>1471</v>
      </c>
      <c r="E318" s="169"/>
      <c r="F318" s="253">
        <v>3150</v>
      </c>
    </row>
    <row r="319" spans="1:6" ht="15.6" x14ac:dyDescent="0.3">
      <c r="A319" s="127">
        <v>524</v>
      </c>
      <c r="B319" s="128">
        <v>43477</v>
      </c>
      <c r="C319" s="129" t="s">
        <v>119</v>
      </c>
      <c r="D319" s="129" t="s">
        <v>1521</v>
      </c>
      <c r="E319" s="169"/>
      <c r="F319" s="253">
        <v>580</v>
      </c>
    </row>
    <row r="320" spans="1:6" ht="15.6" x14ac:dyDescent="0.3">
      <c r="A320" s="127">
        <v>525</v>
      </c>
      <c r="B320" s="128">
        <v>43477</v>
      </c>
      <c r="C320" s="129" t="s">
        <v>42</v>
      </c>
      <c r="D320" s="129" t="s">
        <v>1521</v>
      </c>
      <c r="E320" s="169"/>
      <c r="F320" s="253">
        <v>50</v>
      </c>
    </row>
    <row r="321" spans="1:6" ht="15.6" x14ac:dyDescent="0.3">
      <c r="A321" s="127">
        <v>526</v>
      </c>
      <c r="B321" s="128">
        <v>43477</v>
      </c>
      <c r="C321" s="129" t="s">
        <v>106</v>
      </c>
      <c r="D321" s="129" t="s">
        <v>1471</v>
      </c>
      <c r="E321" s="169"/>
      <c r="F321" s="253">
        <v>6540</v>
      </c>
    </row>
    <row r="322" spans="1:6" ht="15.6" x14ac:dyDescent="0.3">
      <c r="A322" s="127">
        <v>527</v>
      </c>
      <c r="B322" s="128">
        <v>43477</v>
      </c>
      <c r="C322" s="129" t="s">
        <v>120</v>
      </c>
      <c r="D322" s="129" t="s">
        <v>1521</v>
      </c>
      <c r="E322" s="169"/>
      <c r="F322" s="253">
        <v>700</v>
      </c>
    </row>
    <row r="323" spans="1:6" ht="15.6" x14ac:dyDescent="0.3">
      <c r="A323" s="127">
        <v>528</v>
      </c>
      <c r="B323" s="128">
        <v>43477</v>
      </c>
      <c r="C323" s="129" t="s">
        <v>1598</v>
      </c>
      <c r="D323" s="129" t="s">
        <v>1521</v>
      </c>
      <c r="E323" s="169"/>
      <c r="F323" s="253">
        <v>2600</v>
      </c>
    </row>
    <row r="324" spans="1:6" ht="15.6" x14ac:dyDescent="0.3">
      <c r="A324" s="127">
        <v>529</v>
      </c>
      <c r="B324" s="128">
        <v>43479</v>
      </c>
      <c r="C324" s="129" t="s">
        <v>1548</v>
      </c>
      <c r="D324" s="129" t="s">
        <v>1526</v>
      </c>
      <c r="E324" s="169"/>
      <c r="F324" s="253">
        <v>10000</v>
      </c>
    </row>
    <row r="325" spans="1:6" ht="15.6" x14ac:dyDescent="0.3">
      <c r="A325" s="127">
        <v>530</v>
      </c>
      <c r="B325" s="128">
        <v>43479</v>
      </c>
      <c r="C325" s="129" t="s">
        <v>42</v>
      </c>
      <c r="D325" s="129" t="s">
        <v>1521</v>
      </c>
      <c r="E325" s="169"/>
      <c r="F325" s="253">
        <v>100</v>
      </c>
    </row>
    <row r="326" spans="1:6" ht="15.6" x14ac:dyDescent="0.3">
      <c r="A326" s="127">
        <v>531</v>
      </c>
      <c r="B326" s="128">
        <v>43479</v>
      </c>
      <c r="C326" s="129" t="s">
        <v>119</v>
      </c>
      <c r="D326" s="129" t="s">
        <v>1521</v>
      </c>
      <c r="E326" s="169"/>
      <c r="F326" s="253">
        <v>300</v>
      </c>
    </row>
    <row r="327" spans="1:6" ht="15.6" x14ac:dyDescent="0.3">
      <c r="A327" s="127">
        <v>532</v>
      </c>
      <c r="B327" s="128">
        <v>43479</v>
      </c>
      <c r="C327" s="129" t="s">
        <v>94</v>
      </c>
      <c r="D327" s="129" t="s">
        <v>1516</v>
      </c>
      <c r="E327" s="169"/>
      <c r="F327" s="253">
        <v>1000</v>
      </c>
    </row>
    <row r="328" spans="1:6" ht="15.6" x14ac:dyDescent="0.3">
      <c r="A328" s="127">
        <v>533</v>
      </c>
      <c r="B328" s="128">
        <v>43479</v>
      </c>
      <c r="C328" s="129" t="s">
        <v>7</v>
      </c>
      <c r="D328" s="129" t="s">
        <v>1516</v>
      </c>
      <c r="E328" s="169"/>
      <c r="F328" s="253">
        <v>1000</v>
      </c>
    </row>
    <row r="329" spans="1:6" ht="15.6" x14ac:dyDescent="0.3">
      <c r="A329" s="127">
        <v>534</v>
      </c>
      <c r="B329" s="128">
        <v>43479</v>
      </c>
      <c r="C329" s="129" t="s">
        <v>42</v>
      </c>
      <c r="D329" s="129" t="s">
        <v>1521</v>
      </c>
      <c r="E329" s="169"/>
      <c r="F329" s="253">
        <v>100</v>
      </c>
    </row>
    <row r="330" spans="1:6" ht="15.6" x14ac:dyDescent="0.3">
      <c r="A330" s="127">
        <v>535</v>
      </c>
      <c r="B330" s="128">
        <v>43479</v>
      </c>
      <c r="C330" s="129" t="s">
        <v>122</v>
      </c>
      <c r="D330" s="129" t="s">
        <v>1521</v>
      </c>
      <c r="E330" s="169"/>
      <c r="F330" s="253">
        <v>70</v>
      </c>
    </row>
    <row r="331" spans="1:6" ht="15.6" x14ac:dyDescent="0.3">
      <c r="A331" s="127">
        <v>536</v>
      </c>
      <c r="B331" s="128">
        <v>43479</v>
      </c>
      <c r="C331" s="129" t="s">
        <v>123</v>
      </c>
      <c r="D331" s="129" t="s">
        <v>1521</v>
      </c>
      <c r="E331" s="169"/>
      <c r="F331" s="253">
        <v>40</v>
      </c>
    </row>
    <row r="332" spans="1:6" ht="15.6" x14ac:dyDescent="0.3">
      <c r="A332" s="127">
        <v>537</v>
      </c>
      <c r="B332" s="128">
        <v>43480</v>
      </c>
      <c r="C332" s="133" t="s">
        <v>1599</v>
      </c>
      <c r="D332" s="133" t="s">
        <v>1520</v>
      </c>
      <c r="E332" s="169">
        <v>300000</v>
      </c>
      <c r="F332" s="254"/>
    </row>
    <row r="333" spans="1:6" ht="15.6" x14ac:dyDescent="0.3">
      <c r="A333" s="127">
        <v>538</v>
      </c>
      <c r="B333" s="128">
        <v>43480</v>
      </c>
      <c r="C333" s="129" t="s">
        <v>102</v>
      </c>
      <c r="D333" s="129" t="s">
        <v>1471</v>
      </c>
      <c r="E333" s="169"/>
      <c r="F333" s="253">
        <v>10000</v>
      </c>
    </row>
    <row r="334" spans="1:6" ht="15.6" x14ac:dyDescent="0.3">
      <c r="A334" s="127">
        <v>539</v>
      </c>
      <c r="B334" s="128">
        <v>43480</v>
      </c>
      <c r="C334" s="129" t="s">
        <v>42</v>
      </c>
      <c r="D334" s="129" t="s">
        <v>1521</v>
      </c>
      <c r="E334" s="169"/>
      <c r="F334" s="253">
        <v>75</v>
      </c>
    </row>
    <row r="335" spans="1:6" ht="15.6" x14ac:dyDescent="0.3">
      <c r="A335" s="127">
        <v>540</v>
      </c>
      <c r="B335" s="128">
        <v>43481</v>
      </c>
      <c r="C335" s="129" t="s">
        <v>26</v>
      </c>
      <c r="D335" s="129" t="s">
        <v>1522</v>
      </c>
      <c r="E335" s="169"/>
      <c r="F335" s="253">
        <v>20000</v>
      </c>
    </row>
    <row r="336" spans="1:6" ht="15.6" x14ac:dyDescent="0.3">
      <c r="A336" s="127">
        <v>541</v>
      </c>
      <c r="B336" s="128">
        <v>43481</v>
      </c>
      <c r="C336" s="129" t="s">
        <v>1548</v>
      </c>
      <c r="D336" s="129" t="s">
        <v>1526</v>
      </c>
      <c r="E336" s="169"/>
      <c r="F336" s="253">
        <v>22000</v>
      </c>
    </row>
    <row r="337" spans="1:6" ht="15.6" x14ac:dyDescent="0.3">
      <c r="A337" s="127">
        <v>542</v>
      </c>
      <c r="B337" s="128">
        <v>43481</v>
      </c>
      <c r="C337" s="129" t="s">
        <v>94</v>
      </c>
      <c r="D337" s="129" t="s">
        <v>1516</v>
      </c>
      <c r="E337" s="169"/>
      <c r="F337" s="253">
        <v>1000</v>
      </c>
    </row>
    <row r="338" spans="1:6" ht="15.6" x14ac:dyDescent="0.3">
      <c r="A338" s="127">
        <v>543</v>
      </c>
      <c r="B338" s="128">
        <v>43481</v>
      </c>
      <c r="C338" s="129" t="s">
        <v>42</v>
      </c>
      <c r="D338" s="129" t="s">
        <v>1521</v>
      </c>
      <c r="E338" s="169"/>
      <c r="F338" s="253">
        <v>100</v>
      </c>
    </row>
    <row r="339" spans="1:6" ht="15.6" x14ac:dyDescent="0.3">
      <c r="A339" s="127">
        <v>544</v>
      </c>
      <c r="B339" s="128">
        <v>43483</v>
      </c>
      <c r="C339" s="129" t="s">
        <v>106</v>
      </c>
      <c r="D339" s="129" t="s">
        <v>1471</v>
      </c>
      <c r="E339" s="169"/>
      <c r="F339" s="253">
        <v>3150</v>
      </c>
    </row>
    <row r="340" spans="1:6" ht="15.6" x14ac:dyDescent="0.3">
      <c r="A340" s="127">
        <v>545</v>
      </c>
      <c r="B340" s="128">
        <v>43483</v>
      </c>
      <c r="C340" s="129" t="s">
        <v>1548</v>
      </c>
      <c r="D340" s="129" t="s">
        <v>1526</v>
      </c>
      <c r="E340" s="169"/>
      <c r="F340" s="253">
        <v>2000</v>
      </c>
    </row>
    <row r="341" spans="1:6" ht="15.6" x14ac:dyDescent="0.3">
      <c r="A341" s="127">
        <v>546</v>
      </c>
      <c r="B341" s="128">
        <v>43484</v>
      </c>
      <c r="C341" s="129" t="s">
        <v>1548</v>
      </c>
      <c r="D341" s="129" t="s">
        <v>1526</v>
      </c>
      <c r="E341" s="169"/>
      <c r="F341" s="253">
        <v>50000</v>
      </c>
    </row>
    <row r="342" spans="1:6" ht="15.6" x14ac:dyDescent="0.3">
      <c r="A342" s="127">
        <v>547</v>
      </c>
      <c r="B342" s="128">
        <v>43484</v>
      </c>
      <c r="C342" s="129" t="s">
        <v>26</v>
      </c>
      <c r="D342" s="129" t="s">
        <v>1522</v>
      </c>
      <c r="E342" s="169"/>
      <c r="F342" s="253">
        <v>30000</v>
      </c>
    </row>
    <row r="343" spans="1:6" ht="15.6" x14ac:dyDescent="0.3">
      <c r="A343" s="127">
        <v>548</v>
      </c>
      <c r="B343" s="128">
        <v>43484</v>
      </c>
      <c r="C343" s="129" t="s">
        <v>102</v>
      </c>
      <c r="D343" s="129" t="s">
        <v>1471</v>
      </c>
      <c r="E343" s="169"/>
      <c r="F343" s="253">
        <v>20000</v>
      </c>
    </row>
    <row r="344" spans="1:6" ht="15.6" x14ac:dyDescent="0.3">
      <c r="A344" s="127">
        <v>549</v>
      </c>
      <c r="B344" s="128">
        <v>43484</v>
      </c>
      <c r="C344" s="129" t="s">
        <v>42</v>
      </c>
      <c r="D344" s="129" t="s">
        <v>1521</v>
      </c>
      <c r="E344" s="169"/>
      <c r="F344" s="253">
        <v>50</v>
      </c>
    </row>
    <row r="345" spans="1:6" ht="15.6" x14ac:dyDescent="0.3">
      <c r="A345" s="127">
        <v>550</v>
      </c>
      <c r="B345" s="128">
        <v>43485</v>
      </c>
      <c r="C345" s="129" t="s">
        <v>125</v>
      </c>
      <c r="D345" s="129" t="s">
        <v>1521</v>
      </c>
      <c r="E345" s="169"/>
      <c r="F345" s="253">
        <v>3000</v>
      </c>
    </row>
    <row r="346" spans="1:6" ht="15.6" x14ac:dyDescent="0.3">
      <c r="A346" s="127">
        <v>551</v>
      </c>
      <c r="B346" s="128">
        <v>43487</v>
      </c>
      <c r="C346" s="129" t="s">
        <v>7</v>
      </c>
      <c r="D346" s="129" t="s">
        <v>1516</v>
      </c>
      <c r="E346" s="169"/>
      <c r="F346" s="253">
        <v>3000</v>
      </c>
    </row>
    <row r="347" spans="1:6" ht="15.6" x14ac:dyDescent="0.3">
      <c r="A347" s="127">
        <v>552</v>
      </c>
      <c r="B347" s="128">
        <v>43488</v>
      </c>
      <c r="C347" s="129" t="s">
        <v>1548</v>
      </c>
      <c r="D347" s="129" t="s">
        <v>1526</v>
      </c>
      <c r="E347" s="169"/>
      <c r="F347" s="253">
        <v>30000</v>
      </c>
    </row>
    <row r="348" spans="1:6" ht="15.6" x14ac:dyDescent="0.3">
      <c r="A348" s="127">
        <v>553</v>
      </c>
      <c r="B348" s="128">
        <v>43489</v>
      </c>
      <c r="C348" s="133" t="s">
        <v>1582</v>
      </c>
      <c r="D348" s="133" t="s">
        <v>1520</v>
      </c>
      <c r="E348" s="169">
        <v>80000</v>
      </c>
      <c r="F348" s="254"/>
    </row>
    <row r="349" spans="1:6" ht="15.6" x14ac:dyDescent="0.3">
      <c r="A349" s="127">
        <v>554</v>
      </c>
      <c r="B349" s="128">
        <v>43489</v>
      </c>
      <c r="C349" s="129" t="s">
        <v>1548</v>
      </c>
      <c r="D349" s="129" t="s">
        <v>1526</v>
      </c>
      <c r="E349" s="169"/>
      <c r="F349" s="253">
        <v>30000</v>
      </c>
    </row>
    <row r="350" spans="1:6" ht="15.6" x14ac:dyDescent="0.3">
      <c r="A350" s="127">
        <v>555</v>
      </c>
      <c r="B350" s="128">
        <v>43489</v>
      </c>
      <c r="C350" s="129" t="s">
        <v>26</v>
      </c>
      <c r="D350" s="129" t="s">
        <v>1522</v>
      </c>
      <c r="E350" s="169"/>
      <c r="F350" s="253">
        <v>10000</v>
      </c>
    </row>
    <row r="351" spans="1:6" ht="15.6" x14ac:dyDescent="0.3">
      <c r="A351" s="127">
        <v>556</v>
      </c>
      <c r="B351" s="128">
        <v>43489</v>
      </c>
      <c r="C351" s="129" t="s">
        <v>106</v>
      </c>
      <c r="D351" s="129" t="s">
        <v>1471</v>
      </c>
      <c r="E351" s="169"/>
      <c r="F351" s="253">
        <v>525</v>
      </c>
    </row>
    <row r="352" spans="1:6" ht="15.6" x14ac:dyDescent="0.3">
      <c r="A352" s="127">
        <v>557</v>
      </c>
      <c r="B352" s="128">
        <v>43491</v>
      </c>
      <c r="C352" s="129" t="s">
        <v>69</v>
      </c>
      <c r="D352" s="129" t="s">
        <v>1524</v>
      </c>
      <c r="E352" s="169"/>
      <c r="F352" s="253">
        <v>15000</v>
      </c>
    </row>
    <row r="353" spans="1:6" ht="15.6" x14ac:dyDescent="0.3">
      <c r="A353" s="127">
        <v>558</v>
      </c>
      <c r="B353" s="128">
        <v>43491</v>
      </c>
      <c r="C353" s="129" t="s">
        <v>42</v>
      </c>
      <c r="D353" s="129" t="s">
        <v>1521</v>
      </c>
      <c r="E353" s="169"/>
      <c r="F353" s="253">
        <v>150</v>
      </c>
    </row>
    <row r="354" spans="1:6" ht="15.6" x14ac:dyDescent="0.3">
      <c r="A354" s="127">
        <v>559</v>
      </c>
      <c r="B354" s="128">
        <v>43492</v>
      </c>
      <c r="C354" s="133" t="s">
        <v>1587</v>
      </c>
      <c r="D354" s="133" t="s">
        <v>1520</v>
      </c>
      <c r="E354" s="169">
        <v>250000</v>
      </c>
      <c r="F354" s="254"/>
    </row>
    <row r="355" spans="1:6" ht="15.6" x14ac:dyDescent="0.3">
      <c r="A355" s="127">
        <v>560</v>
      </c>
      <c r="B355" s="128">
        <v>43492</v>
      </c>
      <c r="C355" s="130" t="s">
        <v>1600</v>
      </c>
      <c r="D355" s="130" t="s">
        <v>1530</v>
      </c>
      <c r="E355" s="169"/>
      <c r="F355" s="253">
        <v>66000</v>
      </c>
    </row>
    <row r="356" spans="1:6" ht="15.6" x14ac:dyDescent="0.3">
      <c r="A356" s="127">
        <v>561</v>
      </c>
      <c r="B356" s="128">
        <v>43492</v>
      </c>
      <c r="C356" s="129" t="s">
        <v>6</v>
      </c>
      <c r="D356" s="129" t="s">
        <v>1523</v>
      </c>
      <c r="E356" s="169"/>
      <c r="F356" s="253">
        <v>75000</v>
      </c>
    </row>
    <row r="357" spans="1:6" ht="15.6" x14ac:dyDescent="0.3">
      <c r="A357" s="127">
        <v>562</v>
      </c>
      <c r="B357" s="128">
        <v>43492</v>
      </c>
      <c r="C357" s="129" t="s">
        <v>102</v>
      </c>
      <c r="D357" s="129" t="s">
        <v>1471</v>
      </c>
      <c r="E357" s="169"/>
      <c r="F357" s="253">
        <v>50000</v>
      </c>
    </row>
    <row r="358" spans="1:6" ht="15.6" x14ac:dyDescent="0.3">
      <c r="A358" s="127">
        <v>563</v>
      </c>
      <c r="B358" s="128">
        <v>43492</v>
      </c>
      <c r="C358" s="129" t="s">
        <v>1548</v>
      </c>
      <c r="D358" s="129" t="s">
        <v>1526</v>
      </c>
      <c r="E358" s="169"/>
      <c r="F358" s="253">
        <v>20000</v>
      </c>
    </row>
    <row r="359" spans="1:6" ht="15.6" x14ac:dyDescent="0.3">
      <c r="A359" s="127">
        <v>564</v>
      </c>
      <c r="B359" s="128">
        <v>43492</v>
      </c>
      <c r="C359" s="129" t="s">
        <v>69</v>
      </c>
      <c r="D359" s="129" t="s">
        <v>1524</v>
      </c>
      <c r="E359" s="169"/>
      <c r="F359" s="253">
        <v>20000</v>
      </c>
    </row>
    <row r="360" spans="1:6" ht="15.6" x14ac:dyDescent="0.3">
      <c r="A360" s="127">
        <v>565</v>
      </c>
      <c r="B360" s="128">
        <v>43492</v>
      </c>
      <c r="C360" s="129" t="s">
        <v>7</v>
      </c>
      <c r="D360" s="129" t="s">
        <v>1516</v>
      </c>
      <c r="E360" s="169"/>
      <c r="F360" s="253">
        <v>2000</v>
      </c>
    </row>
    <row r="361" spans="1:6" ht="15.6" x14ac:dyDescent="0.3">
      <c r="A361" s="127">
        <v>566</v>
      </c>
      <c r="B361" s="128">
        <v>43492</v>
      </c>
      <c r="C361" s="129" t="s">
        <v>127</v>
      </c>
      <c r="D361" s="129" t="s">
        <v>1516</v>
      </c>
      <c r="E361" s="169"/>
      <c r="F361" s="253">
        <v>1500</v>
      </c>
    </row>
    <row r="362" spans="1:6" ht="15.6" x14ac:dyDescent="0.3">
      <c r="A362" s="127">
        <v>567</v>
      </c>
      <c r="B362" s="128">
        <v>43492</v>
      </c>
      <c r="C362" s="129" t="s">
        <v>42</v>
      </c>
      <c r="D362" s="129" t="s">
        <v>1521</v>
      </c>
      <c r="E362" s="169"/>
      <c r="F362" s="253">
        <v>200</v>
      </c>
    </row>
    <row r="363" spans="1:6" ht="15.6" x14ac:dyDescent="0.3">
      <c r="A363" s="127">
        <v>568</v>
      </c>
      <c r="B363" s="128">
        <v>43492</v>
      </c>
      <c r="C363" s="129" t="s">
        <v>62</v>
      </c>
      <c r="D363" s="129" t="s">
        <v>1521</v>
      </c>
      <c r="E363" s="169"/>
      <c r="F363" s="253">
        <v>150</v>
      </c>
    </row>
    <row r="364" spans="1:6" ht="15.6" x14ac:dyDescent="0.3">
      <c r="A364" s="127">
        <v>569</v>
      </c>
      <c r="B364" s="128">
        <v>43493</v>
      </c>
      <c r="C364" s="129" t="s">
        <v>104</v>
      </c>
      <c r="D364" s="129" t="s">
        <v>1521</v>
      </c>
      <c r="E364" s="169"/>
      <c r="F364" s="253">
        <v>200</v>
      </c>
    </row>
    <row r="365" spans="1:6" ht="15.6" x14ac:dyDescent="0.3">
      <c r="A365" s="127">
        <v>570</v>
      </c>
      <c r="B365" s="128">
        <v>43493</v>
      </c>
      <c r="C365" s="129" t="s">
        <v>42</v>
      </c>
      <c r="D365" s="129" t="s">
        <v>1521</v>
      </c>
      <c r="E365" s="169"/>
      <c r="F365" s="253">
        <v>50</v>
      </c>
    </row>
    <row r="366" spans="1:6" ht="15.6" x14ac:dyDescent="0.3">
      <c r="A366" s="127">
        <v>571</v>
      </c>
      <c r="B366" s="128">
        <v>43494</v>
      </c>
      <c r="C366" s="129" t="s">
        <v>67</v>
      </c>
      <c r="D366" s="129" t="s">
        <v>1516</v>
      </c>
      <c r="E366" s="169"/>
      <c r="F366" s="253">
        <v>2500</v>
      </c>
    </row>
    <row r="367" spans="1:6" ht="15.6" x14ac:dyDescent="0.3">
      <c r="A367" s="127">
        <v>572</v>
      </c>
      <c r="B367" s="128">
        <v>43494</v>
      </c>
      <c r="C367" s="129" t="s">
        <v>26</v>
      </c>
      <c r="D367" s="129" t="s">
        <v>1522</v>
      </c>
      <c r="E367" s="169"/>
      <c r="F367" s="253">
        <v>3000</v>
      </c>
    </row>
    <row r="368" spans="1:6" ht="15.6" x14ac:dyDescent="0.3">
      <c r="A368" s="127">
        <v>573</v>
      </c>
      <c r="B368" s="128">
        <v>43494</v>
      </c>
      <c r="C368" s="129" t="s">
        <v>113</v>
      </c>
      <c r="D368" s="129" t="s">
        <v>1529</v>
      </c>
      <c r="E368" s="169"/>
      <c r="F368" s="253">
        <v>5000</v>
      </c>
    </row>
    <row r="369" spans="1:6" ht="15.6" x14ac:dyDescent="0.3">
      <c r="A369" s="127">
        <v>574</v>
      </c>
      <c r="B369" s="128">
        <v>43496</v>
      </c>
      <c r="C369" s="129" t="s">
        <v>1601</v>
      </c>
      <c r="D369" s="129" t="s">
        <v>1516</v>
      </c>
      <c r="E369" s="169"/>
      <c r="F369" s="253">
        <v>9500</v>
      </c>
    </row>
    <row r="370" spans="1:6" ht="15.6" x14ac:dyDescent="0.3">
      <c r="A370" s="127">
        <v>575</v>
      </c>
      <c r="B370" s="128">
        <v>43496</v>
      </c>
      <c r="C370" s="129" t="s">
        <v>106</v>
      </c>
      <c r="D370" s="129" t="s">
        <v>1471</v>
      </c>
      <c r="E370" s="169"/>
      <c r="F370" s="253">
        <v>2530</v>
      </c>
    </row>
    <row r="371" spans="1:6" ht="15.6" x14ac:dyDescent="0.3">
      <c r="A371" s="127">
        <v>576</v>
      </c>
      <c r="B371" s="128">
        <v>43496</v>
      </c>
      <c r="C371" s="129" t="s">
        <v>7</v>
      </c>
      <c r="D371" s="129" t="s">
        <v>1516</v>
      </c>
      <c r="E371" s="169"/>
      <c r="F371" s="253">
        <v>5000</v>
      </c>
    </row>
    <row r="372" spans="1:6" ht="15.6" x14ac:dyDescent="0.3">
      <c r="A372" s="127">
        <v>577</v>
      </c>
      <c r="B372" s="128">
        <v>43496</v>
      </c>
      <c r="C372" s="129" t="s">
        <v>26</v>
      </c>
      <c r="D372" s="129" t="s">
        <v>1522</v>
      </c>
      <c r="E372" s="169"/>
      <c r="F372" s="253">
        <v>10000</v>
      </c>
    </row>
    <row r="373" spans="1:6" ht="15.6" x14ac:dyDescent="0.3">
      <c r="A373" s="127">
        <v>578</v>
      </c>
      <c r="B373" s="128">
        <v>43496</v>
      </c>
      <c r="C373" s="129" t="s">
        <v>1548</v>
      </c>
      <c r="D373" s="129" t="s">
        <v>1526</v>
      </c>
      <c r="E373" s="169"/>
      <c r="F373" s="253">
        <v>20000</v>
      </c>
    </row>
    <row r="374" spans="1:6" ht="15.6" x14ac:dyDescent="0.3">
      <c r="A374" s="127">
        <v>579</v>
      </c>
      <c r="B374" s="128">
        <v>43496</v>
      </c>
      <c r="C374" s="129" t="s">
        <v>127</v>
      </c>
      <c r="D374" s="129" t="s">
        <v>1516</v>
      </c>
      <c r="E374" s="169"/>
      <c r="F374" s="253">
        <v>300</v>
      </c>
    </row>
    <row r="375" spans="1:6" ht="15.6" x14ac:dyDescent="0.3">
      <c r="A375" s="127">
        <v>580</v>
      </c>
      <c r="B375" s="128">
        <v>43498</v>
      </c>
      <c r="C375" s="133" t="s">
        <v>1602</v>
      </c>
      <c r="D375" s="133" t="s">
        <v>1520</v>
      </c>
      <c r="E375" s="169">
        <v>200000</v>
      </c>
      <c r="F375" s="254"/>
    </row>
    <row r="376" spans="1:6" ht="15.6" x14ac:dyDescent="0.3">
      <c r="A376" s="127">
        <v>581</v>
      </c>
      <c r="B376" s="128">
        <v>43498</v>
      </c>
      <c r="C376" s="133" t="s">
        <v>1603</v>
      </c>
      <c r="D376" s="133" t="s">
        <v>1520</v>
      </c>
      <c r="E376" s="169">
        <v>50000</v>
      </c>
      <c r="F376" s="254"/>
    </row>
    <row r="377" spans="1:6" ht="15.6" x14ac:dyDescent="0.3">
      <c r="A377" s="127">
        <v>582</v>
      </c>
      <c r="B377" s="128">
        <v>43498</v>
      </c>
      <c r="C377" s="129" t="s">
        <v>26</v>
      </c>
      <c r="D377" s="129" t="s">
        <v>1522</v>
      </c>
      <c r="E377" s="169"/>
      <c r="F377" s="253">
        <v>10000</v>
      </c>
    </row>
    <row r="378" spans="1:6" ht="15.6" x14ac:dyDescent="0.3">
      <c r="A378" s="127">
        <v>583</v>
      </c>
      <c r="B378" s="128">
        <v>43498</v>
      </c>
      <c r="C378" s="129" t="s">
        <v>102</v>
      </c>
      <c r="D378" s="129" t="s">
        <v>1471</v>
      </c>
      <c r="E378" s="169"/>
      <c r="F378" s="253">
        <v>40000</v>
      </c>
    </row>
    <row r="379" spans="1:6" ht="15.6" x14ac:dyDescent="0.3">
      <c r="A379" s="127">
        <v>584</v>
      </c>
      <c r="B379" s="128">
        <v>43499</v>
      </c>
      <c r="C379" s="129" t="s">
        <v>106</v>
      </c>
      <c r="D379" s="129" t="s">
        <v>1471</v>
      </c>
      <c r="E379" s="169"/>
      <c r="F379" s="253">
        <v>1050</v>
      </c>
    </row>
    <row r="380" spans="1:6" ht="15.6" x14ac:dyDescent="0.3">
      <c r="A380" s="127">
        <v>585</v>
      </c>
      <c r="B380" s="128">
        <v>43501</v>
      </c>
      <c r="C380" s="129" t="s">
        <v>1548</v>
      </c>
      <c r="D380" s="129" t="s">
        <v>1526</v>
      </c>
      <c r="E380" s="169"/>
      <c r="F380" s="253">
        <v>28000</v>
      </c>
    </row>
    <row r="381" spans="1:6" ht="15.6" x14ac:dyDescent="0.3">
      <c r="A381" s="127">
        <v>586</v>
      </c>
      <c r="B381" s="128">
        <v>43501</v>
      </c>
      <c r="C381" s="129" t="s">
        <v>7</v>
      </c>
      <c r="D381" s="129" t="s">
        <v>1516</v>
      </c>
      <c r="E381" s="169"/>
      <c r="F381" s="253">
        <v>2000</v>
      </c>
    </row>
    <row r="382" spans="1:6" ht="15.6" x14ac:dyDescent="0.3">
      <c r="A382" s="127">
        <v>587</v>
      </c>
      <c r="B382" s="128">
        <v>43502</v>
      </c>
      <c r="C382" s="129" t="s">
        <v>69</v>
      </c>
      <c r="D382" s="129" t="s">
        <v>1524</v>
      </c>
      <c r="E382" s="169"/>
      <c r="F382" s="253">
        <v>15000</v>
      </c>
    </row>
    <row r="383" spans="1:6" ht="15.6" x14ac:dyDescent="0.3">
      <c r="A383" s="127">
        <v>588</v>
      </c>
      <c r="B383" s="128">
        <v>43502</v>
      </c>
      <c r="C383" s="129" t="s">
        <v>102</v>
      </c>
      <c r="D383" s="129" t="s">
        <v>1471</v>
      </c>
      <c r="E383" s="169"/>
      <c r="F383" s="253">
        <v>50000</v>
      </c>
    </row>
    <row r="384" spans="1:6" ht="15.6" x14ac:dyDescent="0.3">
      <c r="A384" s="127">
        <v>589</v>
      </c>
      <c r="B384" s="128">
        <v>43502</v>
      </c>
      <c r="C384" s="130" t="s">
        <v>1604</v>
      </c>
      <c r="D384" s="130" t="s">
        <v>1530</v>
      </c>
      <c r="E384" s="169"/>
      <c r="F384" s="253">
        <v>22000</v>
      </c>
    </row>
    <row r="385" spans="1:6" ht="15.6" x14ac:dyDescent="0.3">
      <c r="A385" s="127">
        <v>590</v>
      </c>
      <c r="B385" s="128">
        <v>43502</v>
      </c>
      <c r="C385" s="133" t="s">
        <v>1605</v>
      </c>
      <c r="D385" s="133" t="s">
        <v>1520</v>
      </c>
      <c r="E385" s="169">
        <v>100000</v>
      </c>
      <c r="F385" s="254"/>
    </row>
    <row r="386" spans="1:6" ht="15.6" x14ac:dyDescent="0.3">
      <c r="A386" s="127">
        <v>591</v>
      </c>
      <c r="B386" s="128">
        <v>43502</v>
      </c>
      <c r="C386" s="129" t="s">
        <v>133</v>
      </c>
      <c r="D386" s="129" t="s">
        <v>1516</v>
      </c>
      <c r="E386" s="169"/>
      <c r="F386" s="253">
        <v>850</v>
      </c>
    </row>
    <row r="387" spans="1:6" ht="15.6" x14ac:dyDescent="0.3">
      <c r="A387" s="127">
        <v>592</v>
      </c>
      <c r="B387" s="128">
        <v>43502</v>
      </c>
      <c r="C387" s="129" t="s">
        <v>134</v>
      </c>
      <c r="D387" s="129" t="s">
        <v>1516</v>
      </c>
      <c r="E387" s="169"/>
      <c r="F387" s="253">
        <v>850</v>
      </c>
    </row>
    <row r="388" spans="1:6" ht="15.6" x14ac:dyDescent="0.3">
      <c r="A388" s="127">
        <v>593</v>
      </c>
      <c r="B388" s="128">
        <v>43502</v>
      </c>
      <c r="C388" s="129" t="s">
        <v>135</v>
      </c>
      <c r="D388" s="129" t="s">
        <v>1516</v>
      </c>
      <c r="E388" s="169"/>
      <c r="F388" s="253">
        <v>850</v>
      </c>
    </row>
    <row r="389" spans="1:6" ht="15.6" x14ac:dyDescent="0.3">
      <c r="A389" s="127">
        <v>594</v>
      </c>
      <c r="B389" s="128">
        <v>43502</v>
      </c>
      <c r="C389" s="129" t="s">
        <v>136</v>
      </c>
      <c r="D389" s="129" t="s">
        <v>1516</v>
      </c>
      <c r="E389" s="169"/>
      <c r="F389" s="253">
        <v>500</v>
      </c>
    </row>
    <row r="390" spans="1:6" ht="15.6" x14ac:dyDescent="0.3">
      <c r="A390" s="127">
        <v>595</v>
      </c>
      <c r="B390" s="128">
        <v>43502</v>
      </c>
      <c r="C390" s="129" t="s">
        <v>1548</v>
      </c>
      <c r="D390" s="129" t="s">
        <v>1526</v>
      </c>
      <c r="E390" s="169"/>
      <c r="F390" s="253">
        <v>20000</v>
      </c>
    </row>
    <row r="391" spans="1:6" ht="15.6" x14ac:dyDescent="0.3">
      <c r="A391" s="127">
        <v>596</v>
      </c>
      <c r="B391" s="128">
        <v>43503</v>
      </c>
      <c r="C391" s="129" t="s">
        <v>137</v>
      </c>
      <c r="D391" s="129" t="s">
        <v>1516</v>
      </c>
      <c r="E391" s="169"/>
      <c r="F391" s="253">
        <v>4600</v>
      </c>
    </row>
    <row r="392" spans="1:6" ht="15.6" x14ac:dyDescent="0.3">
      <c r="A392" s="127">
        <v>597</v>
      </c>
      <c r="B392" s="128">
        <v>43503</v>
      </c>
      <c r="C392" s="129" t="s">
        <v>138</v>
      </c>
      <c r="D392" s="129" t="s">
        <v>1516</v>
      </c>
      <c r="E392" s="169"/>
      <c r="F392" s="253">
        <v>800</v>
      </c>
    </row>
    <row r="393" spans="1:6" ht="15.6" x14ac:dyDescent="0.3">
      <c r="A393" s="127">
        <v>598</v>
      </c>
      <c r="B393" s="128">
        <v>43503</v>
      </c>
      <c r="C393" s="129" t="s">
        <v>139</v>
      </c>
      <c r="D393" s="129" t="s">
        <v>1521</v>
      </c>
      <c r="E393" s="169"/>
      <c r="F393" s="253">
        <v>250</v>
      </c>
    </row>
    <row r="394" spans="1:6" ht="15.6" x14ac:dyDescent="0.3">
      <c r="A394" s="127">
        <v>599</v>
      </c>
      <c r="B394" s="128">
        <v>43503</v>
      </c>
      <c r="C394" s="129" t="s">
        <v>42</v>
      </c>
      <c r="D394" s="129" t="s">
        <v>1521</v>
      </c>
      <c r="E394" s="169"/>
      <c r="F394" s="253">
        <v>100</v>
      </c>
    </row>
    <row r="395" spans="1:6" ht="15.6" x14ac:dyDescent="0.3">
      <c r="A395" s="127">
        <v>600</v>
      </c>
      <c r="B395" s="128">
        <v>43503</v>
      </c>
      <c r="C395" s="129" t="s">
        <v>1700</v>
      </c>
      <c r="D395" s="129" t="s">
        <v>1523</v>
      </c>
      <c r="E395" s="169"/>
      <c r="F395" s="253">
        <v>200000</v>
      </c>
    </row>
    <row r="396" spans="1:6" ht="15.6" x14ac:dyDescent="0.3">
      <c r="A396" s="127">
        <v>601</v>
      </c>
      <c r="B396" s="128">
        <v>43503</v>
      </c>
      <c r="C396" s="133" t="s">
        <v>1606</v>
      </c>
      <c r="D396" s="133" t="s">
        <v>1520</v>
      </c>
      <c r="E396" s="169">
        <v>200000</v>
      </c>
      <c r="F396" s="254"/>
    </row>
    <row r="397" spans="1:6" ht="15.6" x14ac:dyDescent="0.3">
      <c r="A397" s="127">
        <v>602</v>
      </c>
      <c r="B397" s="128">
        <v>43503</v>
      </c>
      <c r="C397" s="133" t="s">
        <v>1607</v>
      </c>
      <c r="D397" s="133" t="s">
        <v>1520</v>
      </c>
      <c r="E397" s="169">
        <v>300000</v>
      </c>
      <c r="F397" s="254"/>
    </row>
    <row r="398" spans="1:6" ht="15.6" x14ac:dyDescent="0.3">
      <c r="A398" s="127">
        <v>603</v>
      </c>
      <c r="B398" s="128">
        <v>43504</v>
      </c>
      <c r="C398" s="129" t="s">
        <v>26</v>
      </c>
      <c r="D398" s="129" t="s">
        <v>1522</v>
      </c>
      <c r="E398" s="169"/>
      <c r="F398" s="253">
        <v>50000</v>
      </c>
    </row>
    <row r="399" spans="1:6" ht="15.6" x14ac:dyDescent="0.3">
      <c r="A399" s="127">
        <v>604</v>
      </c>
      <c r="B399" s="128">
        <v>43504</v>
      </c>
      <c r="C399" s="129" t="s">
        <v>1608</v>
      </c>
      <c r="D399" s="129" t="s">
        <v>1516</v>
      </c>
      <c r="E399" s="169"/>
      <c r="F399" s="253">
        <v>13350</v>
      </c>
    </row>
    <row r="400" spans="1:6" ht="15.6" x14ac:dyDescent="0.3">
      <c r="A400" s="127">
        <v>605</v>
      </c>
      <c r="B400" s="128">
        <v>43504</v>
      </c>
      <c r="C400" s="129" t="s">
        <v>1609</v>
      </c>
      <c r="D400" s="129" t="s">
        <v>1517</v>
      </c>
      <c r="E400" s="169"/>
      <c r="F400" s="253">
        <v>60000</v>
      </c>
    </row>
    <row r="401" spans="1:6" ht="15.6" x14ac:dyDescent="0.3">
      <c r="A401" s="127">
        <v>606</v>
      </c>
      <c r="B401" s="128">
        <v>43504</v>
      </c>
      <c r="C401" s="129" t="s">
        <v>144</v>
      </c>
      <c r="D401" s="129" t="s">
        <v>1516</v>
      </c>
      <c r="E401" s="169"/>
      <c r="F401" s="253">
        <v>2000</v>
      </c>
    </row>
    <row r="402" spans="1:6" ht="15.6" x14ac:dyDescent="0.3">
      <c r="A402" s="127">
        <v>607</v>
      </c>
      <c r="B402" s="128">
        <v>43506</v>
      </c>
      <c r="C402" s="129" t="s">
        <v>106</v>
      </c>
      <c r="D402" s="129" t="s">
        <v>1471</v>
      </c>
      <c r="E402" s="169"/>
      <c r="F402" s="253">
        <v>510</v>
      </c>
    </row>
    <row r="403" spans="1:6" ht="15.6" x14ac:dyDescent="0.3">
      <c r="A403" s="127">
        <v>608</v>
      </c>
      <c r="B403" s="128">
        <v>43506</v>
      </c>
      <c r="C403" s="129" t="s">
        <v>1548</v>
      </c>
      <c r="D403" s="129" t="s">
        <v>1526</v>
      </c>
      <c r="E403" s="169"/>
      <c r="F403" s="253">
        <v>40000</v>
      </c>
    </row>
    <row r="404" spans="1:6" ht="15.6" x14ac:dyDescent="0.3">
      <c r="A404" s="127">
        <v>609</v>
      </c>
      <c r="B404" s="128">
        <v>43508</v>
      </c>
      <c r="C404" s="129" t="s">
        <v>106</v>
      </c>
      <c r="D404" s="129" t="s">
        <v>1471</v>
      </c>
      <c r="E404" s="169"/>
      <c r="F404" s="253">
        <v>2750</v>
      </c>
    </row>
    <row r="405" spans="1:6" ht="15.6" x14ac:dyDescent="0.3">
      <c r="A405" s="127">
        <v>610</v>
      </c>
      <c r="B405" s="128">
        <v>43508</v>
      </c>
      <c r="C405" s="129" t="s">
        <v>1548</v>
      </c>
      <c r="D405" s="129" t="s">
        <v>1526</v>
      </c>
      <c r="E405" s="169"/>
      <c r="F405" s="253">
        <v>50000</v>
      </c>
    </row>
    <row r="406" spans="1:6" ht="15.6" x14ac:dyDescent="0.3">
      <c r="A406" s="127">
        <v>611</v>
      </c>
      <c r="B406" s="128">
        <v>43508</v>
      </c>
      <c r="C406" s="129" t="s">
        <v>145</v>
      </c>
      <c r="D406" s="129" t="s">
        <v>1516</v>
      </c>
      <c r="E406" s="169"/>
      <c r="F406" s="253">
        <v>1000</v>
      </c>
    </row>
    <row r="407" spans="1:6" ht="15.6" x14ac:dyDescent="0.3">
      <c r="A407" s="127">
        <v>612</v>
      </c>
      <c r="B407" s="128">
        <v>43510</v>
      </c>
      <c r="C407" s="129" t="s">
        <v>102</v>
      </c>
      <c r="D407" s="129" t="s">
        <v>1471</v>
      </c>
      <c r="E407" s="169"/>
      <c r="F407" s="253">
        <v>15000</v>
      </c>
    </row>
    <row r="408" spans="1:6" ht="15.6" x14ac:dyDescent="0.3">
      <c r="A408" s="127">
        <v>613</v>
      </c>
      <c r="B408" s="128">
        <v>43510</v>
      </c>
      <c r="C408" s="129" t="s">
        <v>50</v>
      </c>
      <c r="D408" s="129" t="s">
        <v>1527</v>
      </c>
      <c r="E408" s="169"/>
      <c r="F408" s="253">
        <v>12600</v>
      </c>
    </row>
    <row r="409" spans="1:6" ht="15.6" x14ac:dyDescent="0.3">
      <c r="A409" s="127">
        <v>614</v>
      </c>
      <c r="B409" s="128">
        <v>43511</v>
      </c>
      <c r="C409" s="129" t="s">
        <v>1548</v>
      </c>
      <c r="D409" s="129" t="s">
        <v>1526</v>
      </c>
      <c r="E409" s="169"/>
      <c r="F409" s="253">
        <v>25000</v>
      </c>
    </row>
    <row r="410" spans="1:6" ht="15.6" x14ac:dyDescent="0.3">
      <c r="A410" s="127">
        <v>615</v>
      </c>
      <c r="B410" s="128">
        <v>43511</v>
      </c>
      <c r="C410" s="129" t="s">
        <v>145</v>
      </c>
      <c r="D410" s="129" t="s">
        <v>1516</v>
      </c>
      <c r="E410" s="169"/>
      <c r="F410" s="253">
        <v>3000</v>
      </c>
    </row>
    <row r="411" spans="1:6" ht="15.6" x14ac:dyDescent="0.3">
      <c r="A411" s="127">
        <v>616</v>
      </c>
      <c r="B411" s="128">
        <v>43512</v>
      </c>
      <c r="C411" s="129" t="s">
        <v>1548</v>
      </c>
      <c r="D411" s="129" t="s">
        <v>1526</v>
      </c>
      <c r="E411" s="169"/>
      <c r="F411" s="253">
        <v>20000</v>
      </c>
    </row>
    <row r="412" spans="1:6" ht="15.6" x14ac:dyDescent="0.3">
      <c r="A412" s="127">
        <v>617</v>
      </c>
      <c r="B412" s="128">
        <v>43512</v>
      </c>
      <c r="C412" s="129" t="s">
        <v>106</v>
      </c>
      <c r="D412" s="129" t="s">
        <v>1471</v>
      </c>
      <c r="E412" s="169"/>
      <c r="F412" s="253">
        <v>3300</v>
      </c>
    </row>
    <row r="413" spans="1:6" ht="15.6" x14ac:dyDescent="0.3">
      <c r="A413" s="127">
        <v>618</v>
      </c>
      <c r="B413" s="128">
        <v>43512</v>
      </c>
      <c r="C413" s="129" t="s">
        <v>42</v>
      </c>
      <c r="D413" s="129" t="s">
        <v>1521</v>
      </c>
      <c r="E413" s="169"/>
      <c r="F413" s="253">
        <v>50</v>
      </c>
    </row>
    <row r="414" spans="1:6" ht="15.6" x14ac:dyDescent="0.3">
      <c r="A414" s="127">
        <v>619</v>
      </c>
      <c r="B414" s="128">
        <v>43514</v>
      </c>
      <c r="C414" s="129" t="s">
        <v>106</v>
      </c>
      <c r="D414" s="129" t="s">
        <v>1471</v>
      </c>
      <c r="E414" s="169"/>
      <c r="F414" s="253">
        <v>425</v>
      </c>
    </row>
    <row r="415" spans="1:6" ht="15.6" x14ac:dyDescent="0.3">
      <c r="A415" s="127">
        <v>620</v>
      </c>
      <c r="B415" s="128">
        <v>43514</v>
      </c>
      <c r="C415" s="129" t="s">
        <v>50</v>
      </c>
      <c r="D415" s="129" t="s">
        <v>1527</v>
      </c>
      <c r="E415" s="169"/>
      <c r="F415" s="253">
        <v>12600</v>
      </c>
    </row>
    <row r="416" spans="1:6" ht="15.6" x14ac:dyDescent="0.3">
      <c r="A416" s="127">
        <v>621</v>
      </c>
      <c r="B416" s="128">
        <v>43514</v>
      </c>
      <c r="C416" s="129" t="s">
        <v>42</v>
      </c>
      <c r="D416" s="129" t="s">
        <v>1521</v>
      </c>
      <c r="E416" s="169"/>
      <c r="F416" s="253">
        <v>50</v>
      </c>
    </row>
    <row r="417" spans="1:6" ht="15.6" x14ac:dyDescent="0.3">
      <c r="A417" s="127">
        <v>622</v>
      </c>
      <c r="B417" s="128">
        <v>43514</v>
      </c>
      <c r="C417" s="129" t="s">
        <v>102</v>
      </c>
      <c r="D417" s="129" t="s">
        <v>1471</v>
      </c>
      <c r="E417" s="169"/>
      <c r="F417" s="253">
        <v>10000</v>
      </c>
    </row>
    <row r="418" spans="1:6" ht="15.6" x14ac:dyDescent="0.3">
      <c r="A418" s="127">
        <v>623</v>
      </c>
      <c r="B418" s="128">
        <v>43515</v>
      </c>
      <c r="C418" s="133" t="s">
        <v>1610</v>
      </c>
      <c r="D418" s="133" t="s">
        <v>1520</v>
      </c>
      <c r="E418" s="169">
        <v>200000</v>
      </c>
      <c r="F418" s="254"/>
    </row>
    <row r="419" spans="1:6" ht="15.6" x14ac:dyDescent="0.3">
      <c r="A419" s="127">
        <v>624</v>
      </c>
      <c r="B419" s="128">
        <v>43515</v>
      </c>
      <c r="C419" s="129" t="s">
        <v>1548</v>
      </c>
      <c r="D419" s="129" t="s">
        <v>1526</v>
      </c>
      <c r="E419" s="169"/>
      <c r="F419" s="253">
        <v>75000</v>
      </c>
    </row>
    <row r="420" spans="1:6" ht="15.6" x14ac:dyDescent="0.3">
      <c r="A420" s="127">
        <v>625</v>
      </c>
      <c r="B420" s="128">
        <v>43515</v>
      </c>
      <c r="C420" s="129" t="s">
        <v>102</v>
      </c>
      <c r="D420" s="129" t="s">
        <v>1471</v>
      </c>
      <c r="E420" s="169"/>
      <c r="F420" s="253">
        <v>25000</v>
      </c>
    </row>
    <row r="421" spans="1:6" ht="15.6" x14ac:dyDescent="0.3">
      <c r="A421" s="127">
        <v>626</v>
      </c>
      <c r="B421" s="128">
        <v>43515</v>
      </c>
      <c r="C421" s="129" t="s">
        <v>42</v>
      </c>
      <c r="D421" s="129" t="s">
        <v>1521</v>
      </c>
      <c r="E421" s="169"/>
      <c r="F421" s="253">
        <v>50</v>
      </c>
    </row>
    <row r="422" spans="1:6" ht="15.6" x14ac:dyDescent="0.3">
      <c r="A422" s="127">
        <v>627</v>
      </c>
      <c r="B422" s="128">
        <v>43516</v>
      </c>
      <c r="C422" s="129" t="s">
        <v>106</v>
      </c>
      <c r="D422" s="129" t="s">
        <v>1471</v>
      </c>
      <c r="E422" s="169"/>
      <c r="F422" s="253">
        <v>3750</v>
      </c>
    </row>
    <row r="423" spans="1:6" ht="15.6" x14ac:dyDescent="0.3">
      <c r="A423" s="127">
        <v>628</v>
      </c>
      <c r="B423" s="128">
        <v>43516</v>
      </c>
      <c r="C423" s="129" t="s">
        <v>108</v>
      </c>
      <c r="D423" s="129" t="s">
        <v>1521</v>
      </c>
      <c r="E423" s="169"/>
      <c r="F423" s="253">
        <v>100</v>
      </c>
    </row>
    <row r="424" spans="1:6" ht="15.6" x14ac:dyDescent="0.3">
      <c r="A424" s="127">
        <v>629</v>
      </c>
      <c r="B424" s="128">
        <v>43516</v>
      </c>
      <c r="C424" s="129" t="s">
        <v>26</v>
      </c>
      <c r="D424" s="129" t="s">
        <v>1522</v>
      </c>
      <c r="E424" s="169"/>
      <c r="F424" s="253">
        <v>10000</v>
      </c>
    </row>
    <row r="425" spans="1:6" ht="15.6" x14ac:dyDescent="0.3">
      <c r="A425" s="127">
        <v>630</v>
      </c>
      <c r="B425" s="128">
        <v>43517</v>
      </c>
      <c r="C425" s="133" t="s">
        <v>1611</v>
      </c>
      <c r="D425" s="133" t="s">
        <v>1520</v>
      </c>
      <c r="E425" s="169">
        <v>500000</v>
      </c>
      <c r="F425" s="254"/>
    </row>
    <row r="426" spans="1:6" ht="15.6" x14ac:dyDescent="0.3">
      <c r="A426" s="127">
        <v>631</v>
      </c>
      <c r="B426" s="128">
        <v>43517</v>
      </c>
      <c r="C426" s="133" t="s">
        <v>1612</v>
      </c>
      <c r="D426" s="133" t="s">
        <v>1520</v>
      </c>
      <c r="E426" s="169">
        <v>500000</v>
      </c>
      <c r="F426" s="254"/>
    </row>
    <row r="427" spans="1:6" ht="15.6" x14ac:dyDescent="0.3">
      <c r="A427" s="127">
        <v>632</v>
      </c>
      <c r="B427" s="128">
        <v>43519</v>
      </c>
      <c r="C427" s="129" t="s">
        <v>106</v>
      </c>
      <c r="D427" s="129" t="s">
        <v>1471</v>
      </c>
      <c r="E427" s="169"/>
      <c r="F427" s="253">
        <v>3520</v>
      </c>
    </row>
    <row r="428" spans="1:6" ht="15.6" x14ac:dyDescent="0.3">
      <c r="A428" s="127">
        <v>633</v>
      </c>
      <c r="B428" s="128">
        <v>43519</v>
      </c>
      <c r="C428" s="129" t="s">
        <v>42</v>
      </c>
      <c r="D428" s="129" t="s">
        <v>1521</v>
      </c>
      <c r="E428" s="169"/>
      <c r="F428" s="253">
        <v>100</v>
      </c>
    </row>
    <row r="429" spans="1:6" ht="15.6" x14ac:dyDescent="0.3">
      <c r="A429" s="127">
        <v>634</v>
      </c>
      <c r="B429" s="128">
        <v>43519</v>
      </c>
      <c r="C429" s="129" t="s">
        <v>145</v>
      </c>
      <c r="D429" s="129" t="s">
        <v>1516</v>
      </c>
      <c r="E429" s="169"/>
      <c r="F429" s="253">
        <v>3000</v>
      </c>
    </row>
    <row r="430" spans="1:6" ht="15.6" x14ac:dyDescent="0.3">
      <c r="A430" s="127">
        <v>635</v>
      </c>
      <c r="B430" s="128">
        <v>43519</v>
      </c>
      <c r="C430" s="129" t="s">
        <v>1548</v>
      </c>
      <c r="D430" s="129" t="s">
        <v>1526</v>
      </c>
      <c r="E430" s="169"/>
      <c r="F430" s="253">
        <v>10000</v>
      </c>
    </row>
    <row r="431" spans="1:6" ht="15.6" x14ac:dyDescent="0.3">
      <c r="A431" s="127">
        <v>636</v>
      </c>
      <c r="B431" s="128">
        <v>43521</v>
      </c>
      <c r="C431" s="129" t="s">
        <v>1548</v>
      </c>
      <c r="D431" s="129" t="s">
        <v>1526</v>
      </c>
      <c r="E431" s="169"/>
      <c r="F431" s="253">
        <v>25000</v>
      </c>
    </row>
    <row r="432" spans="1:6" ht="15.6" x14ac:dyDescent="0.3">
      <c r="A432" s="127">
        <v>637</v>
      </c>
      <c r="B432" s="128">
        <v>43522</v>
      </c>
      <c r="C432" s="129" t="s">
        <v>102</v>
      </c>
      <c r="D432" s="129" t="s">
        <v>1471</v>
      </c>
      <c r="E432" s="169"/>
      <c r="F432" s="253">
        <v>20000</v>
      </c>
    </row>
    <row r="433" spans="1:6" ht="15.6" x14ac:dyDescent="0.3">
      <c r="A433" s="127">
        <v>638</v>
      </c>
      <c r="B433" s="128">
        <v>43522</v>
      </c>
      <c r="C433" s="129" t="s">
        <v>1548</v>
      </c>
      <c r="D433" s="129" t="s">
        <v>1526</v>
      </c>
      <c r="E433" s="169"/>
      <c r="F433" s="253">
        <v>35000</v>
      </c>
    </row>
    <row r="434" spans="1:6" ht="15.6" x14ac:dyDescent="0.3">
      <c r="A434" s="127">
        <v>639</v>
      </c>
      <c r="B434" s="128">
        <v>43522</v>
      </c>
      <c r="C434" s="129" t="s">
        <v>145</v>
      </c>
      <c r="D434" s="129" t="s">
        <v>1516</v>
      </c>
      <c r="E434" s="169"/>
      <c r="F434" s="253">
        <v>1000</v>
      </c>
    </row>
    <row r="435" spans="1:6" ht="15.6" x14ac:dyDescent="0.3">
      <c r="A435" s="127">
        <v>640</v>
      </c>
      <c r="B435" s="128">
        <v>43523</v>
      </c>
      <c r="C435" s="129" t="s">
        <v>26</v>
      </c>
      <c r="D435" s="129" t="s">
        <v>1522</v>
      </c>
      <c r="E435" s="169"/>
      <c r="F435" s="253">
        <v>20000</v>
      </c>
    </row>
    <row r="436" spans="1:6" ht="15.6" x14ac:dyDescent="0.3">
      <c r="A436" s="127">
        <v>641</v>
      </c>
      <c r="B436" s="128">
        <v>43523</v>
      </c>
      <c r="C436" s="129" t="s">
        <v>122</v>
      </c>
      <c r="D436" s="129" t="s">
        <v>1521</v>
      </c>
      <c r="E436" s="169"/>
      <c r="F436" s="253">
        <v>100</v>
      </c>
    </row>
    <row r="437" spans="1:6" ht="15.6" x14ac:dyDescent="0.3">
      <c r="A437" s="127">
        <v>642</v>
      </c>
      <c r="B437" s="128">
        <v>43523</v>
      </c>
      <c r="C437" s="129" t="s">
        <v>42</v>
      </c>
      <c r="D437" s="129" t="s">
        <v>1521</v>
      </c>
      <c r="E437" s="169"/>
      <c r="F437" s="253">
        <v>50</v>
      </c>
    </row>
    <row r="438" spans="1:6" ht="15.6" x14ac:dyDescent="0.3">
      <c r="A438" s="127">
        <v>643</v>
      </c>
      <c r="B438" s="128">
        <v>43523</v>
      </c>
      <c r="C438" s="129" t="s">
        <v>113</v>
      </c>
      <c r="D438" s="129" t="s">
        <v>1529</v>
      </c>
      <c r="E438" s="169"/>
      <c r="F438" s="253">
        <v>5000</v>
      </c>
    </row>
    <row r="439" spans="1:6" ht="15.6" x14ac:dyDescent="0.3">
      <c r="A439" s="127">
        <v>644</v>
      </c>
      <c r="B439" s="128">
        <v>43528</v>
      </c>
      <c r="C439" s="129" t="s">
        <v>26</v>
      </c>
      <c r="D439" s="129" t="s">
        <v>1522</v>
      </c>
      <c r="E439" s="169"/>
      <c r="F439" s="253">
        <v>20000</v>
      </c>
    </row>
    <row r="440" spans="1:6" ht="15.6" x14ac:dyDescent="0.3">
      <c r="A440" s="127">
        <v>645</v>
      </c>
      <c r="B440" s="128">
        <v>43528</v>
      </c>
      <c r="C440" s="129" t="s">
        <v>1548</v>
      </c>
      <c r="D440" s="129" t="s">
        <v>1526</v>
      </c>
      <c r="E440" s="169"/>
      <c r="F440" s="253">
        <v>25000</v>
      </c>
    </row>
    <row r="441" spans="1:6" ht="15.6" x14ac:dyDescent="0.3">
      <c r="A441" s="127">
        <v>646</v>
      </c>
      <c r="B441" s="128">
        <v>43528</v>
      </c>
      <c r="C441" s="129" t="s">
        <v>145</v>
      </c>
      <c r="D441" s="129" t="s">
        <v>1516</v>
      </c>
      <c r="E441" s="169"/>
      <c r="F441" s="253">
        <v>2000</v>
      </c>
    </row>
    <row r="442" spans="1:6" ht="15.6" x14ac:dyDescent="0.3">
      <c r="A442" s="127">
        <v>647</v>
      </c>
      <c r="B442" s="128">
        <v>43529</v>
      </c>
      <c r="C442" s="129" t="s">
        <v>1613</v>
      </c>
      <c r="D442" s="129" t="s">
        <v>1523</v>
      </c>
      <c r="E442" s="169"/>
      <c r="F442" s="253">
        <v>33000</v>
      </c>
    </row>
    <row r="443" spans="1:6" ht="15.6" x14ac:dyDescent="0.3">
      <c r="A443" s="127">
        <v>648</v>
      </c>
      <c r="B443" s="128">
        <v>43529</v>
      </c>
      <c r="C443" s="129" t="s">
        <v>1614</v>
      </c>
      <c r="D443" s="129" t="s">
        <v>1516</v>
      </c>
      <c r="E443" s="169"/>
      <c r="F443" s="253">
        <v>8400</v>
      </c>
    </row>
    <row r="444" spans="1:6" ht="15.6" x14ac:dyDescent="0.3">
      <c r="A444" s="127">
        <v>649</v>
      </c>
      <c r="B444" s="128">
        <v>43529</v>
      </c>
      <c r="C444" s="129" t="s">
        <v>1615</v>
      </c>
      <c r="D444" s="129" t="s">
        <v>1516</v>
      </c>
      <c r="E444" s="169"/>
      <c r="F444" s="253">
        <v>2700</v>
      </c>
    </row>
    <row r="445" spans="1:6" ht="15.6" x14ac:dyDescent="0.3">
      <c r="A445" s="127">
        <v>650</v>
      </c>
      <c r="B445" s="128">
        <v>43530</v>
      </c>
      <c r="C445" s="129" t="s">
        <v>1548</v>
      </c>
      <c r="D445" s="129" t="s">
        <v>1526</v>
      </c>
      <c r="E445" s="169"/>
      <c r="F445" s="253">
        <v>25000</v>
      </c>
    </row>
    <row r="446" spans="1:6" ht="15.6" x14ac:dyDescent="0.3">
      <c r="A446" s="127">
        <v>651</v>
      </c>
      <c r="B446" s="128">
        <v>43530</v>
      </c>
      <c r="C446" s="129" t="s">
        <v>42</v>
      </c>
      <c r="D446" s="129" t="s">
        <v>1521</v>
      </c>
      <c r="E446" s="169"/>
      <c r="F446" s="253">
        <v>50</v>
      </c>
    </row>
    <row r="447" spans="1:6" ht="15.6" x14ac:dyDescent="0.3">
      <c r="A447" s="127">
        <v>652</v>
      </c>
      <c r="B447" s="128">
        <v>43530</v>
      </c>
      <c r="C447" s="133" t="s">
        <v>1610</v>
      </c>
      <c r="D447" s="133" t="s">
        <v>1520</v>
      </c>
      <c r="E447" s="169">
        <v>100000</v>
      </c>
      <c r="F447" s="254"/>
    </row>
    <row r="448" spans="1:6" ht="15.6" x14ac:dyDescent="0.3">
      <c r="A448" s="127">
        <v>653</v>
      </c>
      <c r="B448" s="128">
        <v>43530</v>
      </c>
      <c r="C448" s="129" t="s">
        <v>26</v>
      </c>
      <c r="D448" s="129" t="s">
        <v>1522</v>
      </c>
      <c r="E448" s="169"/>
      <c r="F448" s="253">
        <v>20000</v>
      </c>
    </row>
    <row r="449" spans="1:6" ht="15.6" x14ac:dyDescent="0.3">
      <c r="A449" s="127">
        <v>654</v>
      </c>
      <c r="B449" s="128">
        <v>43530</v>
      </c>
      <c r="C449" s="129" t="s">
        <v>102</v>
      </c>
      <c r="D449" s="129" t="s">
        <v>1471</v>
      </c>
      <c r="E449" s="169"/>
      <c r="F449" s="253">
        <v>10000</v>
      </c>
    </row>
    <row r="450" spans="1:6" ht="15.6" x14ac:dyDescent="0.3">
      <c r="A450" s="127">
        <v>655</v>
      </c>
      <c r="B450" s="128">
        <v>43530</v>
      </c>
      <c r="C450" s="129" t="s">
        <v>1616</v>
      </c>
      <c r="D450" s="129" t="s">
        <v>1517</v>
      </c>
      <c r="E450" s="169"/>
      <c r="F450" s="253">
        <v>60000</v>
      </c>
    </row>
    <row r="451" spans="1:6" ht="15.6" x14ac:dyDescent="0.3">
      <c r="A451" s="127">
        <v>656</v>
      </c>
      <c r="B451" s="128">
        <v>43531</v>
      </c>
      <c r="C451" s="129" t="s">
        <v>69</v>
      </c>
      <c r="D451" s="129" t="s">
        <v>1524</v>
      </c>
      <c r="E451" s="169"/>
      <c r="F451" s="253">
        <v>20000</v>
      </c>
    </row>
    <row r="452" spans="1:6" ht="15.6" x14ac:dyDescent="0.3">
      <c r="A452" s="127">
        <v>657</v>
      </c>
      <c r="B452" s="128">
        <v>43533</v>
      </c>
      <c r="C452" s="129" t="s">
        <v>1548</v>
      </c>
      <c r="D452" s="129" t="s">
        <v>1526</v>
      </c>
      <c r="E452" s="169"/>
      <c r="F452" s="253">
        <v>20000</v>
      </c>
    </row>
    <row r="453" spans="1:6" ht="15.6" x14ac:dyDescent="0.3">
      <c r="A453" s="127">
        <v>658</v>
      </c>
      <c r="B453" s="128">
        <v>43533</v>
      </c>
      <c r="C453" s="129" t="s">
        <v>153</v>
      </c>
      <c r="D453" s="129" t="s">
        <v>1521</v>
      </c>
      <c r="E453" s="169"/>
      <c r="F453" s="253">
        <v>400</v>
      </c>
    </row>
    <row r="454" spans="1:6" ht="15.6" x14ac:dyDescent="0.3">
      <c r="A454" s="127">
        <v>659</v>
      </c>
      <c r="B454" s="128">
        <v>43533</v>
      </c>
      <c r="C454" s="129" t="s">
        <v>26</v>
      </c>
      <c r="D454" s="129" t="s">
        <v>1522</v>
      </c>
      <c r="E454" s="169"/>
      <c r="F454" s="253">
        <v>3000</v>
      </c>
    </row>
    <row r="455" spans="1:6" ht="15.6" x14ac:dyDescent="0.3">
      <c r="A455" s="127">
        <v>660</v>
      </c>
      <c r="B455" s="128">
        <v>43536</v>
      </c>
      <c r="C455" s="129" t="s">
        <v>119</v>
      </c>
      <c r="D455" s="129" t="s">
        <v>1521</v>
      </c>
      <c r="E455" s="169"/>
      <c r="F455" s="253">
        <v>70</v>
      </c>
    </row>
    <row r="456" spans="1:6" ht="15.6" x14ac:dyDescent="0.3">
      <c r="A456" s="127">
        <v>661</v>
      </c>
      <c r="B456" s="128">
        <v>43536</v>
      </c>
      <c r="C456" s="129" t="s">
        <v>1548</v>
      </c>
      <c r="D456" s="129" t="s">
        <v>1526</v>
      </c>
      <c r="E456" s="169"/>
      <c r="F456" s="253">
        <v>25000</v>
      </c>
    </row>
    <row r="457" spans="1:6" ht="15.6" x14ac:dyDescent="0.3">
      <c r="A457" s="127">
        <v>662</v>
      </c>
      <c r="B457" s="128">
        <v>43536</v>
      </c>
      <c r="C457" s="129" t="s">
        <v>102</v>
      </c>
      <c r="D457" s="129" t="s">
        <v>1471</v>
      </c>
      <c r="E457" s="169"/>
      <c r="F457" s="253">
        <v>10000</v>
      </c>
    </row>
    <row r="458" spans="1:6" ht="15.6" x14ac:dyDescent="0.3">
      <c r="A458" s="127">
        <v>663</v>
      </c>
      <c r="B458" s="128">
        <v>43536</v>
      </c>
      <c r="C458" s="129" t="s">
        <v>42</v>
      </c>
      <c r="D458" s="129" t="s">
        <v>1521</v>
      </c>
      <c r="E458" s="169"/>
      <c r="F458" s="253">
        <v>300</v>
      </c>
    </row>
    <row r="459" spans="1:6" ht="15.6" x14ac:dyDescent="0.3">
      <c r="A459" s="127">
        <v>665</v>
      </c>
      <c r="B459" s="128">
        <v>43538</v>
      </c>
      <c r="C459" s="133" t="s">
        <v>1618</v>
      </c>
      <c r="D459" s="133" t="s">
        <v>1520</v>
      </c>
      <c r="E459" s="169">
        <v>200000</v>
      </c>
      <c r="F459" s="254"/>
    </row>
    <row r="460" spans="1:6" ht="15.6" x14ac:dyDescent="0.3">
      <c r="A460" s="127">
        <v>666</v>
      </c>
      <c r="B460" s="128">
        <v>43538</v>
      </c>
      <c r="C460" s="129" t="s">
        <v>62</v>
      </c>
      <c r="D460" s="129" t="s">
        <v>1521</v>
      </c>
      <c r="E460" s="169"/>
      <c r="F460" s="253">
        <v>100</v>
      </c>
    </row>
    <row r="461" spans="1:6" ht="15.6" x14ac:dyDescent="0.3">
      <c r="A461" s="127">
        <v>667</v>
      </c>
      <c r="B461" s="128">
        <v>43538</v>
      </c>
      <c r="C461" s="130" t="s">
        <v>1619</v>
      </c>
      <c r="D461" s="130" t="s">
        <v>1530</v>
      </c>
      <c r="E461" s="169"/>
      <c r="F461" s="253">
        <v>73000</v>
      </c>
    </row>
    <row r="462" spans="1:6" ht="15.6" x14ac:dyDescent="0.3">
      <c r="A462" s="127">
        <v>668</v>
      </c>
      <c r="B462" s="128">
        <v>43538</v>
      </c>
      <c r="C462" s="129" t="s">
        <v>102</v>
      </c>
      <c r="D462" s="129" t="s">
        <v>1471</v>
      </c>
      <c r="E462" s="169"/>
      <c r="F462" s="253">
        <v>50000</v>
      </c>
    </row>
    <row r="463" spans="1:6" ht="15.6" x14ac:dyDescent="0.3">
      <c r="A463" s="127">
        <v>669</v>
      </c>
      <c r="B463" s="128">
        <v>43538</v>
      </c>
      <c r="C463" s="129" t="s">
        <v>1548</v>
      </c>
      <c r="D463" s="129" t="s">
        <v>1526</v>
      </c>
      <c r="E463" s="169"/>
      <c r="F463" s="253">
        <v>50000</v>
      </c>
    </row>
    <row r="464" spans="1:6" ht="15.6" x14ac:dyDescent="0.3">
      <c r="A464" s="127">
        <v>670</v>
      </c>
      <c r="B464" s="128">
        <v>43538</v>
      </c>
      <c r="C464" s="129" t="s">
        <v>12</v>
      </c>
      <c r="D464" s="129" t="s">
        <v>1516</v>
      </c>
      <c r="E464" s="169"/>
      <c r="F464" s="253">
        <v>850</v>
      </c>
    </row>
    <row r="465" spans="1:6" ht="15.6" x14ac:dyDescent="0.3">
      <c r="A465" s="127">
        <v>671</v>
      </c>
      <c r="B465" s="128">
        <v>43538</v>
      </c>
      <c r="C465" s="129" t="s">
        <v>93</v>
      </c>
      <c r="D465" s="129" t="s">
        <v>1516</v>
      </c>
      <c r="E465" s="169"/>
      <c r="F465" s="253">
        <v>850</v>
      </c>
    </row>
    <row r="466" spans="1:6" ht="15.6" x14ac:dyDescent="0.3">
      <c r="A466" s="127">
        <v>672</v>
      </c>
      <c r="B466" s="128">
        <v>43538</v>
      </c>
      <c r="C466" s="129" t="s">
        <v>1620</v>
      </c>
      <c r="D466" s="129" t="s">
        <v>1523</v>
      </c>
      <c r="E466" s="169"/>
      <c r="F466" s="253">
        <v>20000</v>
      </c>
    </row>
    <row r="467" spans="1:6" ht="15.6" x14ac:dyDescent="0.3">
      <c r="A467" s="127">
        <v>673</v>
      </c>
      <c r="B467" s="128">
        <v>43538</v>
      </c>
      <c r="C467" s="129" t="s">
        <v>145</v>
      </c>
      <c r="D467" s="129" t="s">
        <v>1516</v>
      </c>
      <c r="E467" s="169"/>
      <c r="F467" s="253">
        <v>3000</v>
      </c>
    </row>
    <row r="468" spans="1:6" ht="15.6" x14ac:dyDescent="0.3">
      <c r="A468" s="127">
        <v>674</v>
      </c>
      <c r="B468" s="128">
        <v>43538</v>
      </c>
      <c r="C468" s="129" t="s">
        <v>157</v>
      </c>
      <c r="D468" s="129" t="s">
        <v>1516</v>
      </c>
      <c r="E468" s="169"/>
      <c r="F468" s="253">
        <v>500</v>
      </c>
    </row>
    <row r="469" spans="1:6" ht="15.6" x14ac:dyDescent="0.3">
      <c r="A469" s="127">
        <v>675</v>
      </c>
      <c r="B469" s="128">
        <v>43539</v>
      </c>
      <c r="C469" s="129" t="s">
        <v>157</v>
      </c>
      <c r="D469" s="129" t="s">
        <v>1516</v>
      </c>
      <c r="E469" s="169"/>
      <c r="F469" s="253">
        <v>1000</v>
      </c>
    </row>
    <row r="470" spans="1:6" ht="15.6" x14ac:dyDescent="0.3">
      <c r="A470" s="127">
        <v>676</v>
      </c>
      <c r="B470" s="128">
        <v>43539</v>
      </c>
      <c r="C470" s="129" t="s">
        <v>158</v>
      </c>
      <c r="D470" s="129" t="s">
        <v>1521</v>
      </c>
      <c r="E470" s="169"/>
      <c r="F470" s="253">
        <v>150</v>
      </c>
    </row>
    <row r="471" spans="1:6" ht="15.6" x14ac:dyDescent="0.3">
      <c r="A471" s="127">
        <v>677</v>
      </c>
      <c r="B471" s="128">
        <v>43539</v>
      </c>
      <c r="C471" s="129" t="s">
        <v>1621</v>
      </c>
      <c r="D471" s="129" t="s">
        <v>1522</v>
      </c>
      <c r="E471" s="169"/>
      <c r="F471" s="253">
        <v>50000</v>
      </c>
    </row>
    <row r="472" spans="1:6" ht="15.6" x14ac:dyDescent="0.3">
      <c r="A472" s="127">
        <v>678</v>
      </c>
      <c r="B472" s="128">
        <v>43539</v>
      </c>
      <c r="C472" s="129" t="s">
        <v>42</v>
      </c>
      <c r="D472" s="129" t="s">
        <v>1521</v>
      </c>
      <c r="E472" s="169"/>
      <c r="F472" s="253">
        <v>50</v>
      </c>
    </row>
    <row r="473" spans="1:6" ht="15.6" x14ac:dyDescent="0.3">
      <c r="A473" s="127">
        <v>679</v>
      </c>
      <c r="B473" s="128">
        <v>43540</v>
      </c>
      <c r="C473" s="129" t="s">
        <v>42</v>
      </c>
      <c r="D473" s="129" t="s">
        <v>1521</v>
      </c>
      <c r="E473" s="169"/>
      <c r="F473" s="253">
        <v>50</v>
      </c>
    </row>
    <row r="474" spans="1:6" ht="15.6" x14ac:dyDescent="0.3">
      <c r="A474" s="127">
        <v>680</v>
      </c>
      <c r="B474" s="128">
        <v>43540</v>
      </c>
      <c r="C474" s="129" t="s">
        <v>157</v>
      </c>
      <c r="D474" s="129" t="s">
        <v>1516</v>
      </c>
      <c r="E474" s="169"/>
      <c r="F474" s="253">
        <v>1000</v>
      </c>
    </row>
    <row r="475" spans="1:6" ht="15.6" x14ac:dyDescent="0.3">
      <c r="A475" s="127">
        <v>681</v>
      </c>
      <c r="B475" s="128">
        <v>43543</v>
      </c>
      <c r="C475" s="129" t="s">
        <v>42</v>
      </c>
      <c r="D475" s="129" t="s">
        <v>1521</v>
      </c>
      <c r="E475" s="169"/>
      <c r="F475" s="253">
        <v>50</v>
      </c>
    </row>
    <row r="476" spans="1:6" ht="15.6" x14ac:dyDescent="0.3">
      <c r="A476" s="127">
        <v>682</v>
      </c>
      <c r="B476" s="128">
        <v>43543</v>
      </c>
      <c r="C476" s="133" t="s">
        <v>1622</v>
      </c>
      <c r="D476" s="133" t="s">
        <v>1520</v>
      </c>
      <c r="E476" s="169">
        <v>150000</v>
      </c>
      <c r="F476" s="254"/>
    </row>
    <row r="477" spans="1:6" ht="15.6" x14ac:dyDescent="0.3">
      <c r="A477" s="127">
        <v>683</v>
      </c>
      <c r="B477" s="128">
        <v>43543</v>
      </c>
      <c r="C477" s="129" t="s">
        <v>1548</v>
      </c>
      <c r="D477" s="129" t="s">
        <v>1526</v>
      </c>
      <c r="E477" s="169"/>
      <c r="F477" s="253">
        <v>65000</v>
      </c>
    </row>
    <row r="478" spans="1:6" ht="15.6" x14ac:dyDescent="0.3">
      <c r="A478" s="127">
        <v>684</v>
      </c>
      <c r="B478" s="128">
        <v>43543</v>
      </c>
      <c r="C478" s="129" t="s">
        <v>102</v>
      </c>
      <c r="D478" s="129" t="s">
        <v>1471</v>
      </c>
      <c r="E478" s="169"/>
      <c r="F478" s="253">
        <v>50000</v>
      </c>
    </row>
    <row r="479" spans="1:6" ht="15.6" x14ac:dyDescent="0.3">
      <c r="A479" s="127">
        <v>685</v>
      </c>
      <c r="B479" s="128">
        <v>43543</v>
      </c>
      <c r="C479" s="129" t="s">
        <v>157</v>
      </c>
      <c r="D479" s="129" t="s">
        <v>1516</v>
      </c>
      <c r="E479" s="169"/>
      <c r="F479" s="253">
        <v>2500</v>
      </c>
    </row>
    <row r="480" spans="1:6" ht="15.6" x14ac:dyDescent="0.3">
      <c r="A480" s="127">
        <v>686</v>
      </c>
      <c r="B480" s="128">
        <v>43545</v>
      </c>
      <c r="C480" s="129" t="s">
        <v>1623</v>
      </c>
      <c r="D480" s="129" t="s">
        <v>1523</v>
      </c>
      <c r="E480" s="169"/>
      <c r="F480" s="253">
        <v>100000</v>
      </c>
    </row>
    <row r="481" spans="1:6" ht="15.6" x14ac:dyDescent="0.3">
      <c r="A481" s="127">
        <v>687</v>
      </c>
      <c r="B481" s="128">
        <v>43546</v>
      </c>
      <c r="C481" s="129" t="s">
        <v>145</v>
      </c>
      <c r="D481" s="129" t="s">
        <v>1516</v>
      </c>
      <c r="E481" s="169"/>
      <c r="F481" s="253">
        <v>2000</v>
      </c>
    </row>
    <row r="482" spans="1:6" ht="15.6" x14ac:dyDescent="0.3">
      <c r="A482" s="127">
        <v>688</v>
      </c>
      <c r="B482" s="128">
        <v>43546</v>
      </c>
      <c r="C482" s="129" t="s">
        <v>42</v>
      </c>
      <c r="D482" s="129" t="s">
        <v>1521</v>
      </c>
      <c r="E482" s="169"/>
      <c r="F482" s="253">
        <v>50</v>
      </c>
    </row>
    <row r="483" spans="1:6" ht="15.6" x14ac:dyDescent="0.3">
      <c r="A483" s="127">
        <v>689</v>
      </c>
      <c r="B483" s="128">
        <v>43546</v>
      </c>
      <c r="C483" s="129" t="s">
        <v>1548</v>
      </c>
      <c r="D483" s="129" t="s">
        <v>1526</v>
      </c>
      <c r="E483" s="169"/>
      <c r="F483" s="253">
        <v>10000</v>
      </c>
    </row>
    <row r="484" spans="1:6" ht="15.6" x14ac:dyDescent="0.3">
      <c r="A484" s="127">
        <v>690</v>
      </c>
      <c r="B484" s="128">
        <v>43547</v>
      </c>
      <c r="C484" s="129" t="s">
        <v>1548</v>
      </c>
      <c r="D484" s="129" t="s">
        <v>1526</v>
      </c>
      <c r="E484" s="169"/>
      <c r="F484" s="253">
        <v>10000</v>
      </c>
    </row>
    <row r="485" spans="1:6" ht="15.6" x14ac:dyDescent="0.3">
      <c r="A485" s="127">
        <v>691</v>
      </c>
      <c r="B485" s="128">
        <v>43548</v>
      </c>
      <c r="C485" s="129" t="s">
        <v>157</v>
      </c>
      <c r="D485" s="129" t="s">
        <v>1516</v>
      </c>
      <c r="E485" s="169"/>
      <c r="F485" s="253">
        <v>1100</v>
      </c>
    </row>
    <row r="486" spans="1:6" ht="15.6" x14ac:dyDescent="0.3">
      <c r="A486" s="127">
        <v>692</v>
      </c>
      <c r="B486" s="128">
        <v>43548</v>
      </c>
      <c r="C486" s="129" t="s">
        <v>42</v>
      </c>
      <c r="D486" s="129" t="s">
        <v>1521</v>
      </c>
      <c r="E486" s="169"/>
      <c r="F486" s="253">
        <v>50</v>
      </c>
    </row>
    <row r="487" spans="1:6" ht="15.6" x14ac:dyDescent="0.3">
      <c r="A487" s="127">
        <v>693</v>
      </c>
      <c r="B487" s="128">
        <v>43550</v>
      </c>
      <c r="C487" s="129" t="s">
        <v>42</v>
      </c>
      <c r="D487" s="129" t="s">
        <v>1521</v>
      </c>
      <c r="E487" s="169"/>
      <c r="F487" s="253">
        <v>50</v>
      </c>
    </row>
    <row r="488" spans="1:6" ht="15.6" x14ac:dyDescent="0.3">
      <c r="A488" s="127">
        <v>694</v>
      </c>
      <c r="B488" s="128">
        <v>43550</v>
      </c>
      <c r="C488" s="129" t="s">
        <v>1624</v>
      </c>
      <c r="D488" s="129" t="s">
        <v>1523</v>
      </c>
      <c r="E488" s="169"/>
      <c r="F488" s="253">
        <v>85940</v>
      </c>
    </row>
    <row r="489" spans="1:6" ht="15.6" x14ac:dyDescent="0.3">
      <c r="A489" s="127">
        <v>695</v>
      </c>
      <c r="B489" s="128">
        <v>43550</v>
      </c>
      <c r="C489" s="129" t="s">
        <v>1548</v>
      </c>
      <c r="D489" s="129" t="s">
        <v>1526</v>
      </c>
      <c r="E489" s="169"/>
      <c r="F489" s="253">
        <v>5000</v>
      </c>
    </row>
    <row r="490" spans="1:6" ht="15.6" x14ac:dyDescent="0.3">
      <c r="A490" s="127">
        <v>696</v>
      </c>
      <c r="B490" s="128">
        <v>43550</v>
      </c>
      <c r="C490" s="129" t="s">
        <v>1625</v>
      </c>
      <c r="D490" s="129" t="s">
        <v>1526</v>
      </c>
      <c r="E490" s="169"/>
      <c r="F490" s="253">
        <v>50000</v>
      </c>
    </row>
    <row r="491" spans="1:6" ht="15.6" x14ac:dyDescent="0.3">
      <c r="A491" s="127">
        <v>697</v>
      </c>
      <c r="B491" s="128">
        <v>43550</v>
      </c>
      <c r="C491" s="133" t="s">
        <v>1622</v>
      </c>
      <c r="D491" s="133" t="s">
        <v>1520</v>
      </c>
      <c r="E491" s="169">
        <v>100000</v>
      </c>
      <c r="F491" s="254"/>
    </row>
    <row r="492" spans="1:6" ht="15.6" x14ac:dyDescent="0.3">
      <c r="A492" s="127">
        <v>698</v>
      </c>
      <c r="B492" s="128">
        <v>43550</v>
      </c>
      <c r="C492" s="129" t="s">
        <v>1548</v>
      </c>
      <c r="D492" s="129" t="s">
        <v>1526</v>
      </c>
      <c r="E492" s="169"/>
      <c r="F492" s="253">
        <v>100000</v>
      </c>
    </row>
    <row r="493" spans="1:6" ht="15.6" x14ac:dyDescent="0.3">
      <c r="A493" s="127">
        <v>699</v>
      </c>
      <c r="B493" s="128">
        <v>43552</v>
      </c>
      <c r="C493" s="133" t="s">
        <v>1622</v>
      </c>
      <c r="D493" s="133" t="s">
        <v>1520</v>
      </c>
      <c r="E493" s="169">
        <v>95000</v>
      </c>
      <c r="F493" s="254"/>
    </row>
    <row r="494" spans="1:6" ht="15.6" x14ac:dyDescent="0.3">
      <c r="A494" s="127">
        <v>700</v>
      </c>
      <c r="B494" s="128">
        <v>43552</v>
      </c>
      <c r="C494" s="129" t="s">
        <v>102</v>
      </c>
      <c r="D494" s="129" t="s">
        <v>1471</v>
      </c>
      <c r="E494" s="169"/>
      <c r="F494" s="253">
        <v>50000</v>
      </c>
    </row>
    <row r="495" spans="1:6" ht="15.6" x14ac:dyDescent="0.3">
      <c r="A495" s="127">
        <v>701</v>
      </c>
      <c r="B495" s="128">
        <v>43552</v>
      </c>
      <c r="C495" s="129" t="s">
        <v>145</v>
      </c>
      <c r="D495" s="129" t="s">
        <v>1516</v>
      </c>
      <c r="E495" s="169"/>
      <c r="F495" s="253">
        <v>2000</v>
      </c>
    </row>
    <row r="496" spans="1:6" ht="15.6" x14ac:dyDescent="0.3">
      <c r="A496" s="127">
        <v>702</v>
      </c>
      <c r="B496" s="128">
        <v>43552</v>
      </c>
      <c r="C496" s="129" t="s">
        <v>157</v>
      </c>
      <c r="D496" s="129" t="s">
        <v>1516</v>
      </c>
      <c r="E496" s="169"/>
      <c r="F496" s="253">
        <v>1000</v>
      </c>
    </row>
    <row r="497" spans="1:6" ht="15.6" x14ac:dyDescent="0.3">
      <c r="A497" s="127">
        <v>703</v>
      </c>
      <c r="B497" s="128">
        <v>43552</v>
      </c>
      <c r="C497" s="129" t="s">
        <v>42</v>
      </c>
      <c r="D497" s="129" t="s">
        <v>1521</v>
      </c>
      <c r="E497" s="169"/>
      <c r="F497" s="253">
        <v>50</v>
      </c>
    </row>
    <row r="498" spans="1:6" ht="15.6" x14ac:dyDescent="0.3">
      <c r="A498" s="127">
        <v>704</v>
      </c>
      <c r="B498" s="128">
        <v>43552</v>
      </c>
      <c r="C498" s="129" t="s">
        <v>69</v>
      </c>
      <c r="D498" s="129" t="s">
        <v>1524</v>
      </c>
      <c r="E498" s="169"/>
      <c r="F498" s="253">
        <v>20000</v>
      </c>
    </row>
    <row r="499" spans="1:6" ht="15.6" x14ac:dyDescent="0.3">
      <c r="A499" s="127">
        <v>705</v>
      </c>
      <c r="B499" s="128">
        <v>43552</v>
      </c>
      <c r="C499" s="129" t="s">
        <v>106</v>
      </c>
      <c r="D499" s="129" t="s">
        <v>1471</v>
      </c>
      <c r="E499" s="169"/>
      <c r="F499" s="253">
        <v>2000</v>
      </c>
    </row>
    <row r="500" spans="1:6" ht="15.6" x14ac:dyDescent="0.3">
      <c r="A500" s="127">
        <v>706</v>
      </c>
      <c r="B500" s="128">
        <v>43552</v>
      </c>
      <c r="C500" s="129" t="s">
        <v>166</v>
      </c>
      <c r="D500" s="129" t="s">
        <v>1521</v>
      </c>
      <c r="E500" s="169"/>
      <c r="F500" s="253">
        <v>90</v>
      </c>
    </row>
    <row r="501" spans="1:6" ht="15.6" x14ac:dyDescent="0.3">
      <c r="A501" s="127">
        <v>707</v>
      </c>
      <c r="B501" s="128">
        <v>43552</v>
      </c>
      <c r="C501" s="129" t="s">
        <v>42</v>
      </c>
      <c r="D501" s="129" t="s">
        <v>1521</v>
      </c>
      <c r="E501" s="169"/>
      <c r="F501" s="253">
        <v>50</v>
      </c>
    </row>
    <row r="502" spans="1:6" ht="15.6" x14ac:dyDescent="0.3">
      <c r="A502" s="127">
        <v>708</v>
      </c>
      <c r="B502" s="128">
        <v>43552</v>
      </c>
      <c r="C502" s="129" t="s">
        <v>42</v>
      </c>
      <c r="D502" s="129" t="s">
        <v>1521</v>
      </c>
      <c r="E502" s="169"/>
      <c r="F502" s="253">
        <v>50</v>
      </c>
    </row>
    <row r="503" spans="1:6" ht="15.6" x14ac:dyDescent="0.3">
      <c r="A503" s="127">
        <v>709</v>
      </c>
      <c r="B503" s="128">
        <v>43554</v>
      </c>
      <c r="C503" s="129" t="s">
        <v>145</v>
      </c>
      <c r="D503" s="129" t="s">
        <v>1516</v>
      </c>
      <c r="E503" s="169"/>
      <c r="F503" s="253">
        <v>1000</v>
      </c>
    </row>
    <row r="504" spans="1:6" ht="15.6" x14ac:dyDescent="0.3">
      <c r="A504" s="127">
        <v>710</v>
      </c>
      <c r="B504" s="128">
        <v>43554</v>
      </c>
      <c r="C504" s="129" t="s">
        <v>161</v>
      </c>
      <c r="D504" s="129" t="s">
        <v>1516</v>
      </c>
      <c r="E504" s="169"/>
      <c r="F504" s="253">
        <v>7000</v>
      </c>
    </row>
    <row r="505" spans="1:6" ht="15.6" x14ac:dyDescent="0.3">
      <c r="A505" s="127">
        <v>711</v>
      </c>
      <c r="B505" s="128">
        <v>43554</v>
      </c>
      <c r="C505" s="129" t="s">
        <v>162</v>
      </c>
      <c r="D505" s="129" t="s">
        <v>1516</v>
      </c>
      <c r="E505" s="169"/>
      <c r="F505" s="253">
        <v>2500</v>
      </c>
    </row>
    <row r="506" spans="1:6" ht="15.6" x14ac:dyDescent="0.3">
      <c r="A506" s="127">
        <v>712</v>
      </c>
      <c r="B506" s="128">
        <v>43554</v>
      </c>
      <c r="C506" s="129" t="s">
        <v>1626</v>
      </c>
      <c r="D506" s="129" t="s">
        <v>1516</v>
      </c>
      <c r="E506" s="169"/>
      <c r="F506" s="253">
        <v>4800</v>
      </c>
    </row>
    <row r="507" spans="1:6" ht="15.6" x14ac:dyDescent="0.3">
      <c r="A507" s="127">
        <v>713</v>
      </c>
      <c r="B507" s="128">
        <v>43554</v>
      </c>
      <c r="C507" s="129" t="s">
        <v>145</v>
      </c>
      <c r="D507" s="129" t="s">
        <v>1516</v>
      </c>
      <c r="E507" s="169"/>
      <c r="F507" s="253">
        <v>300</v>
      </c>
    </row>
    <row r="508" spans="1:6" ht="15.6" x14ac:dyDescent="0.3">
      <c r="A508" s="127">
        <v>714</v>
      </c>
      <c r="B508" s="128">
        <v>43554</v>
      </c>
      <c r="C508" s="129" t="s">
        <v>42</v>
      </c>
      <c r="D508" s="129" t="s">
        <v>1521</v>
      </c>
      <c r="E508" s="169"/>
      <c r="F508" s="253">
        <v>50</v>
      </c>
    </row>
    <row r="509" spans="1:6" ht="15.6" x14ac:dyDescent="0.3">
      <c r="A509" s="127">
        <v>715</v>
      </c>
      <c r="B509" s="128">
        <v>43555</v>
      </c>
      <c r="C509" s="129" t="s">
        <v>42</v>
      </c>
      <c r="D509" s="129" t="s">
        <v>1521</v>
      </c>
      <c r="E509" s="169"/>
      <c r="F509" s="253">
        <v>50</v>
      </c>
    </row>
    <row r="510" spans="1:6" ht="15.6" x14ac:dyDescent="0.3">
      <c r="A510" s="127">
        <v>716</v>
      </c>
      <c r="B510" s="128">
        <v>43557</v>
      </c>
      <c r="C510" s="129" t="s">
        <v>119</v>
      </c>
      <c r="D510" s="129" t="s">
        <v>1521</v>
      </c>
      <c r="E510" s="169"/>
      <c r="F510" s="253">
        <v>70</v>
      </c>
    </row>
    <row r="511" spans="1:6" ht="15.6" x14ac:dyDescent="0.3">
      <c r="A511" s="127">
        <v>717</v>
      </c>
      <c r="B511" s="128">
        <v>43557</v>
      </c>
      <c r="C511" s="129" t="s">
        <v>42</v>
      </c>
      <c r="D511" s="129" t="s">
        <v>1521</v>
      </c>
      <c r="E511" s="169"/>
      <c r="F511" s="253">
        <v>50</v>
      </c>
    </row>
    <row r="512" spans="1:6" ht="15.6" x14ac:dyDescent="0.3">
      <c r="A512" s="127">
        <v>718</v>
      </c>
      <c r="B512" s="128">
        <v>43557</v>
      </c>
      <c r="C512" s="129" t="s">
        <v>1627</v>
      </c>
      <c r="D512" s="129" t="s">
        <v>1516</v>
      </c>
      <c r="E512" s="169"/>
      <c r="F512" s="253">
        <v>15200</v>
      </c>
    </row>
    <row r="513" spans="1:6" ht="15.6" x14ac:dyDescent="0.3">
      <c r="A513" s="127">
        <v>719</v>
      </c>
      <c r="B513" s="128">
        <v>43557</v>
      </c>
      <c r="C513" s="129" t="s">
        <v>1628</v>
      </c>
      <c r="D513" s="129" t="s">
        <v>1516</v>
      </c>
      <c r="E513" s="169"/>
      <c r="F513" s="253">
        <v>1700</v>
      </c>
    </row>
    <row r="514" spans="1:6" ht="15.6" x14ac:dyDescent="0.3">
      <c r="A514" s="127">
        <v>720</v>
      </c>
      <c r="B514" s="128">
        <v>43557</v>
      </c>
      <c r="C514" s="129" t="s">
        <v>1629</v>
      </c>
      <c r="D514" s="129" t="s">
        <v>1516</v>
      </c>
      <c r="E514" s="169"/>
      <c r="F514" s="253">
        <v>5600</v>
      </c>
    </row>
    <row r="515" spans="1:6" ht="15.6" x14ac:dyDescent="0.3">
      <c r="A515" s="127">
        <v>721</v>
      </c>
      <c r="B515" s="128">
        <v>43558</v>
      </c>
      <c r="C515" s="129" t="s">
        <v>42</v>
      </c>
      <c r="D515" s="129" t="s">
        <v>1521</v>
      </c>
      <c r="E515" s="169"/>
      <c r="F515" s="253">
        <v>50</v>
      </c>
    </row>
    <row r="516" spans="1:6" ht="15.6" x14ac:dyDescent="0.3">
      <c r="A516" s="127">
        <v>722</v>
      </c>
      <c r="B516" s="128">
        <v>43559</v>
      </c>
      <c r="C516" s="129" t="s">
        <v>42</v>
      </c>
      <c r="D516" s="129" t="s">
        <v>1521</v>
      </c>
      <c r="E516" s="169"/>
      <c r="F516" s="253">
        <v>50</v>
      </c>
    </row>
    <row r="517" spans="1:6" ht="15.6" x14ac:dyDescent="0.3">
      <c r="A517" s="127">
        <v>723</v>
      </c>
      <c r="B517" s="128">
        <v>43559</v>
      </c>
      <c r="C517" s="133" t="s">
        <v>1622</v>
      </c>
      <c r="D517" s="133" t="s">
        <v>1520</v>
      </c>
      <c r="E517" s="169">
        <v>100000</v>
      </c>
      <c r="F517" s="254"/>
    </row>
    <row r="518" spans="1:6" ht="15.6" x14ac:dyDescent="0.3">
      <c r="A518" s="127">
        <v>724</v>
      </c>
      <c r="B518" s="128">
        <v>43559</v>
      </c>
      <c r="C518" s="129" t="s">
        <v>1630</v>
      </c>
      <c r="D518" s="129" t="s">
        <v>1517</v>
      </c>
      <c r="E518" s="169"/>
      <c r="F518" s="253">
        <v>60000</v>
      </c>
    </row>
    <row r="519" spans="1:6" ht="15.6" x14ac:dyDescent="0.3">
      <c r="A519" s="127">
        <v>725</v>
      </c>
      <c r="B519" s="128">
        <v>43560</v>
      </c>
      <c r="C519" s="129" t="s">
        <v>172</v>
      </c>
      <c r="D519" s="129" t="s">
        <v>1521</v>
      </c>
      <c r="E519" s="169"/>
      <c r="F519" s="253">
        <v>350</v>
      </c>
    </row>
    <row r="520" spans="1:6" ht="15.6" x14ac:dyDescent="0.3">
      <c r="A520" s="127">
        <v>726</v>
      </c>
      <c r="B520" s="128">
        <v>43560</v>
      </c>
      <c r="C520" s="129" t="s">
        <v>1548</v>
      </c>
      <c r="D520" s="129" t="s">
        <v>1526</v>
      </c>
      <c r="E520" s="169"/>
      <c r="F520" s="253">
        <v>30000</v>
      </c>
    </row>
    <row r="521" spans="1:6" ht="15.6" x14ac:dyDescent="0.3">
      <c r="A521" s="127">
        <v>727</v>
      </c>
      <c r="B521" s="128">
        <v>43561</v>
      </c>
      <c r="C521" s="129" t="s">
        <v>69</v>
      </c>
      <c r="D521" s="129" t="s">
        <v>1524</v>
      </c>
      <c r="E521" s="169"/>
      <c r="F521" s="253">
        <v>15000</v>
      </c>
    </row>
    <row r="522" spans="1:6" ht="15.6" x14ac:dyDescent="0.3">
      <c r="A522" s="127">
        <v>728</v>
      </c>
      <c r="B522" s="128">
        <v>43562</v>
      </c>
      <c r="C522" s="129" t="s">
        <v>173</v>
      </c>
      <c r="D522" s="129" t="s">
        <v>1516</v>
      </c>
      <c r="E522" s="169"/>
      <c r="F522" s="253">
        <v>1000</v>
      </c>
    </row>
    <row r="523" spans="1:6" ht="15.6" x14ac:dyDescent="0.3">
      <c r="A523" s="127">
        <v>729</v>
      </c>
      <c r="B523" s="128">
        <v>43562</v>
      </c>
      <c r="C523" s="129" t="s">
        <v>174</v>
      </c>
      <c r="D523" s="129" t="s">
        <v>1516</v>
      </c>
      <c r="E523" s="169"/>
      <c r="F523" s="253">
        <v>1000</v>
      </c>
    </row>
    <row r="524" spans="1:6" ht="15.6" x14ac:dyDescent="0.3">
      <c r="A524" s="127">
        <v>730</v>
      </c>
      <c r="B524" s="128">
        <v>43562</v>
      </c>
      <c r="C524" s="133" t="s">
        <v>1631</v>
      </c>
      <c r="D524" s="133" t="s">
        <v>1520</v>
      </c>
      <c r="E524" s="169">
        <v>220000</v>
      </c>
      <c r="F524" s="254"/>
    </row>
    <row r="525" spans="1:6" ht="15.6" x14ac:dyDescent="0.3">
      <c r="A525" s="127">
        <v>731</v>
      </c>
      <c r="B525" s="128">
        <v>43562</v>
      </c>
      <c r="C525" s="129" t="s">
        <v>1632</v>
      </c>
      <c r="D525" s="129" t="s">
        <v>1526</v>
      </c>
      <c r="E525" s="169"/>
      <c r="F525" s="253">
        <v>150000</v>
      </c>
    </row>
    <row r="526" spans="1:6" ht="15.6" x14ac:dyDescent="0.3">
      <c r="A526" s="127">
        <v>732</v>
      </c>
      <c r="B526" s="128">
        <v>43562</v>
      </c>
      <c r="C526" s="129" t="s">
        <v>26</v>
      </c>
      <c r="D526" s="129" t="s">
        <v>1522</v>
      </c>
      <c r="E526" s="169"/>
      <c r="F526" s="253">
        <v>10000</v>
      </c>
    </row>
    <row r="527" spans="1:6" ht="15.6" x14ac:dyDescent="0.3">
      <c r="A527" s="127">
        <v>733</v>
      </c>
      <c r="B527" s="128">
        <v>43562</v>
      </c>
      <c r="C527" s="129" t="s">
        <v>69</v>
      </c>
      <c r="D527" s="129" t="s">
        <v>1524</v>
      </c>
      <c r="E527" s="169"/>
      <c r="F527" s="253">
        <v>5000</v>
      </c>
    </row>
    <row r="528" spans="1:6" ht="15.6" x14ac:dyDescent="0.3">
      <c r="A528" s="127">
        <v>734</v>
      </c>
      <c r="B528" s="128">
        <v>43562</v>
      </c>
      <c r="C528" s="129" t="s">
        <v>113</v>
      </c>
      <c r="D528" s="129" t="s">
        <v>1529</v>
      </c>
      <c r="E528" s="169"/>
      <c r="F528" s="253">
        <v>10000</v>
      </c>
    </row>
    <row r="529" spans="1:6" ht="15.6" x14ac:dyDescent="0.3">
      <c r="A529" s="127">
        <v>735</v>
      </c>
      <c r="B529" s="128">
        <v>43562</v>
      </c>
      <c r="C529" s="129" t="s">
        <v>173</v>
      </c>
      <c r="D529" s="129" t="s">
        <v>1516</v>
      </c>
      <c r="E529" s="169"/>
      <c r="F529" s="253">
        <v>2000</v>
      </c>
    </row>
    <row r="530" spans="1:6" ht="15.6" x14ac:dyDescent="0.3">
      <c r="A530" s="127">
        <v>736</v>
      </c>
      <c r="B530" s="128">
        <v>43562</v>
      </c>
      <c r="C530" s="129" t="s">
        <v>174</v>
      </c>
      <c r="D530" s="129" t="s">
        <v>1516</v>
      </c>
      <c r="E530" s="169"/>
      <c r="F530" s="253">
        <v>1000</v>
      </c>
    </row>
    <row r="531" spans="1:6" ht="15.6" x14ac:dyDescent="0.3">
      <c r="A531" s="127">
        <v>737</v>
      </c>
      <c r="B531" s="128">
        <v>43562</v>
      </c>
      <c r="C531" s="129" t="s">
        <v>119</v>
      </c>
      <c r="D531" s="129" t="s">
        <v>1521</v>
      </c>
      <c r="E531" s="169"/>
      <c r="F531" s="253">
        <v>70</v>
      </c>
    </row>
    <row r="532" spans="1:6" ht="15.6" x14ac:dyDescent="0.3">
      <c r="A532" s="127">
        <v>738</v>
      </c>
      <c r="B532" s="128">
        <v>43562</v>
      </c>
      <c r="C532" s="129" t="s">
        <v>102</v>
      </c>
      <c r="D532" s="129" t="s">
        <v>1471</v>
      </c>
      <c r="E532" s="169"/>
      <c r="F532" s="253">
        <v>31000</v>
      </c>
    </row>
    <row r="533" spans="1:6" ht="15.6" x14ac:dyDescent="0.3">
      <c r="A533" s="127">
        <v>739</v>
      </c>
      <c r="B533" s="128">
        <v>43567</v>
      </c>
      <c r="C533" s="129" t="s">
        <v>113</v>
      </c>
      <c r="D533" s="129" t="s">
        <v>1529</v>
      </c>
      <c r="E533" s="169"/>
      <c r="F533" s="253">
        <v>400</v>
      </c>
    </row>
    <row r="534" spans="1:6" ht="15.6" x14ac:dyDescent="0.3">
      <c r="A534" s="127">
        <v>740</v>
      </c>
      <c r="B534" s="128">
        <v>43571</v>
      </c>
      <c r="C534" s="129" t="s">
        <v>173</v>
      </c>
      <c r="D534" s="129" t="s">
        <v>1516</v>
      </c>
      <c r="E534" s="169"/>
      <c r="F534" s="253">
        <v>1000</v>
      </c>
    </row>
    <row r="535" spans="1:6" ht="15.6" x14ac:dyDescent="0.3">
      <c r="A535" s="127">
        <v>741</v>
      </c>
      <c r="B535" s="128">
        <v>43571</v>
      </c>
      <c r="C535" s="129" t="s">
        <v>174</v>
      </c>
      <c r="D535" s="129" t="s">
        <v>1516</v>
      </c>
      <c r="E535" s="169"/>
      <c r="F535" s="253">
        <v>1000</v>
      </c>
    </row>
    <row r="536" spans="1:6" ht="15.6" x14ac:dyDescent="0.3">
      <c r="A536" s="127">
        <v>742</v>
      </c>
      <c r="B536" s="128">
        <v>43571</v>
      </c>
      <c r="C536" s="129" t="s">
        <v>86</v>
      </c>
      <c r="D536" s="129" t="s">
        <v>1521</v>
      </c>
      <c r="E536" s="169"/>
      <c r="F536" s="253">
        <v>60</v>
      </c>
    </row>
    <row r="537" spans="1:6" ht="15.6" x14ac:dyDescent="0.3">
      <c r="A537" s="127">
        <v>743</v>
      </c>
      <c r="B537" s="128">
        <v>43571</v>
      </c>
      <c r="C537" s="129" t="s">
        <v>174</v>
      </c>
      <c r="D537" s="129" t="s">
        <v>1516</v>
      </c>
      <c r="E537" s="169"/>
      <c r="F537" s="253">
        <v>1000</v>
      </c>
    </row>
    <row r="538" spans="1:6" ht="15.6" x14ac:dyDescent="0.3">
      <c r="A538" s="127">
        <v>744</v>
      </c>
      <c r="B538" s="128">
        <v>43572</v>
      </c>
      <c r="C538" s="133" t="s">
        <v>1622</v>
      </c>
      <c r="D538" s="133" t="s">
        <v>1520</v>
      </c>
      <c r="E538" s="169">
        <v>200000</v>
      </c>
      <c r="F538" s="254"/>
    </row>
    <row r="539" spans="1:6" ht="15.6" x14ac:dyDescent="0.3">
      <c r="A539" s="127">
        <v>745</v>
      </c>
      <c r="B539" s="128">
        <v>43572</v>
      </c>
      <c r="C539" s="129" t="s">
        <v>1548</v>
      </c>
      <c r="D539" s="129" t="s">
        <v>1526</v>
      </c>
      <c r="E539" s="169"/>
      <c r="F539" s="253">
        <v>100000</v>
      </c>
    </row>
    <row r="540" spans="1:6" ht="15.6" x14ac:dyDescent="0.3">
      <c r="A540" s="127">
        <v>746</v>
      </c>
      <c r="B540" s="128">
        <v>43572</v>
      </c>
      <c r="C540" s="129" t="s">
        <v>113</v>
      </c>
      <c r="D540" s="129" t="s">
        <v>1529</v>
      </c>
      <c r="E540" s="169"/>
      <c r="F540" s="253">
        <v>15000</v>
      </c>
    </row>
    <row r="541" spans="1:6" ht="15.6" x14ac:dyDescent="0.3">
      <c r="A541" s="127">
        <v>747</v>
      </c>
      <c r="B541" s="128">
        <v>43572</v>
      </c>
      <c r="C541" s="129" t="s">
        <v>69</v>
      </c>
      <c r="D541" s="129" t="s">
        <v>1524</v>
      </c>
      <c r="E541" s="169"/>
      <c r="F541" s="253">
        <v>30000</v>
      </c>
    </row>
    <row r="542" spans="1:6" ht="15.6" x14ac:dyDescent="0.3">
      <c r="A542" s="127">
        <v>748</v>
      </c>
      <c r="B542" s="128">
        <v>43574</v>
      </c>
      <c r="C542" s="129" t="s">
        <v>1548</v>
      </c>
      <c r="D542" s="129" t="s">
        <v>1526</v>
      </c>
      <c r="E542" s="169"/>
      <c r="F542" s="253">
        <v>5000</v>
      </c>
    </row>
    <row r="543" spans="1:6" ht="15.6" x14ac:dyDescent="0.3">
      <c r="A543" s="127">
        <v>749</v>
      </c>
      <c r="B543" s="128">
        <v>43574</v>
      </c>
      <c r="C543" s="129" t="s">
        <v>173</v>
      </c>
      <c r="D543" s="129" t="s">
        <v>1516</v>
      </c>
      <c r="E543" s="169"/>
      <c r="F543" s="253">
        <v>2000</v>
      </c>
    </row>
    <row r="544" spans="1:6" ht="15.6" x14ac:dyDescent="0.3">
      <c r="A544" s="127">
        <v>750</v>
      </c>
      <c r="B544" s="128">
        <v>43574</v>
      </c>
      <c r="C544" s="129" t="s">
        <v>1633</v>
      </c>
      <c r="D544" s="129" t="s">
        <v>1516</v>
      </c>
      <c r="E544" s="169"/>
      <c r="F544" s="253">
        <v>10450</v>
      </c>
    </row>
    <row r="545" spans="1:6" ht="15.6" x14ac:dyDescent="0.3">
      <c r="A545" s="127">
        <v>751</v>
      </c>
      <c r="B545" s="128">
        <v>43574</v>
      </c>
      <c r="C545" s="129" t="s">
        <v>1634</v>
      </c>
      <c r="D545" s="129" t="s">
        <v>1521</v>
      </c>
      <c r="E545" s="169"/>
      <c r="F545" s="253">
        <v>700</v>
      </c>
    </row>
    <row r="546" spans="1:6" ht="15.6" x14ac:dyDescent="0.3">
      <c r="A546" s="127">
        <v>752</v>
      </c>
      <c r="B546" s="128">
        <v>43574</v>
      </c>
      <c r="C546" s="129" t="s">
        <v>1635</v>
      </c>
      <c r="D546" s="129" t="s">
        <v>1471</v>
      </c>
      <c r="E546" s="169"/>
      <c r="F546" s="253">
        <v>220</v>
      </c>
    </row>
    <row r="547" spans="1:6" ht="15.6" x14ac:dyDescent="0.3">
      <c r="A547" s="127">
        <v>753</v>
      </c>
      <c r="B547" s="128">
        <v>43577</v>
      </c>
      <c r="C547" s="129" t="s">
        <v>42</v>
      </c>
      <c r="D547" s="129" t="s">
        <v>1521</v>
      </c>
      <c r="E547" s="169"/>
      <c r="F547" s="253">
        <v>100</v>
      </c>
    </row>
    <row r="548" spans="1:6" ht="15.6" x14ac:dyDescent="0.3">
      <c r="A548" s="127">
        <v>754</v>
      </c>
      <c r="B548" s="128">
        <v>43577</v>
      </c>
      <c r="C548" s="129" t="s">
        <v>173</v>
      </c>
      <c r="D548" s="129" t="s">
        <v>1516</v>
      </c>
      <c r="E548" s="169"/>
      <c r="F548" s="253">
        <v>2000</v>
      </c>
    </row>
    <row r="549" spans="1:6" ht="15.6" x14ac:dyDescent="0.3">
      <c r="A549" s="127">
        <v>755</v>
      </c>
      <c r="B549" s="128">
        <v>43577</v>
      </c>
      <c r="C549" s="133" t="s">
        <v>1622</v>
      </c>
      <c r="D549" s="133" t="s">
        <v>1520</v>
      </c>
      <c r="E549" s="169">
        <v>150000</v>
      </c>
      <c r="F549" s="254"/>
    </row>
    <row r="550" spans="1:6" ht="15.6" x14ac:dyDescent="0.3">
      <c r="A550" s="127">
        <v>756</v>
      </c>
      <c r="B550" s="128">
        <v>43577</v>
      </c>
      <c r="C550" s="129" t="s">
        <v>1548</v>
      </c>
      <c r="D550" s="129" t="s">
        <v>1526</v>
      </c>
      <c r="E550" s="169"/>
      <c r="F550" s="253">
        <v>150000</v>
      </c>
    </row>
    <row r="551" spans="1:6" ht="15.6" x14ac:dyDescent="0.3">
      <c r="A551" s="127">
        <v>758</v>
      </c>
      <c r="B551" s="128">
        <v>43577</v>
      </c>
      <c r="C551" s="129" t="s">
        <v>1636</v>
      </c>
      <c r="D551" s="129" t="s">
        <v>1516</v>
      </c>
      <c r="E551" s="169"/>
      <c r="F551" s="253">
        <v>2000</v>
      </c>
    </row>
    <row r="552" spans="1:6" ht="15.6" x14ac:dyDescent="0.3">
      <c r="A552" s="127">
        <v>759</v>
      </c>
      <c r="B552" s="128">
        <v>43578</v>
      </c>
      <c r="C552" s="129" t="s">
        <v>1637</v>
      </c>
      <c r="D552" s="129" t="s">
        <v>1526</v>
      </c>
      <c r="E552" s="169"/>
      <c r="F552" s="253">
        <v>55000</v>
      </c>
    </row>
    <row r="553" spans="1:6" ht="15.6" x14ac:dyDescent="0.3">
      <c r="A553" s="127">
        <v>760</v>
      </c>
      <c r="B553" s="128">
        <v>43578</v>
      </c>
      <c r="C553" s="129" t="s">
        <v>1636</v>
      </c>
      <c r="D553" s="129" t="s">
        <v>1516</v>
      </c>
      <c r="E553" s="169"/>
      <c r="F553" s="253">
        <v>3000</v>
      </c>
    </row>
    <row r="554" spans="1:6" ht="15.6" x14ac:dyDescent="0.3">
      <c r="A554" s="127">
        <v>761</v>
      </c>
      <c r="B554" s="128">
        <v>43578</v>
      </c>
      <c r="C554" s="129" t="s">
        <v>173</v>
      </c>
      <c r="D554" s="129" t="s">
        <v>1516</v>
      </c>
      <c r="E554" s="169"/>
      <c r="F554" s="253">
        <v>2000</v>
      </c>
    </row>
    <row r="555" spans="1:6" ht="15.6" x14ac:dyDescent="0.3">
      <c r="A555" s="127">
        <v>762</v>
      </c>
      <c r="B555" s="128">
        <v>43578</v>
      </c>
      <c r="C555" s="129" t="s">
        <v>42</v>
      </c>
      <c r="D555" s="129" t="s">
        <v>1521</v>
      </c>
      <c r="E555" s="169"/>
      <c r="F555" s="253">
        <v>100</v>
      </c>
    </row>
    <row r="556" spans="1:6" ht="15.6" x14ac:dyDescent="0.3">
      <c r="A556" s="127">
        <v>763</v>
      </c>
      <c r="B556" s="128">
        <v>43579</v>
      </c>
      <c r="C556" s="133" t="s">
        <v>1638</v>
      </c>
      <c r="D556" s="133" t="s">
        <v>1520</v>
      </c>
      <c r="E556" s="169">
        <v>100000</v>
      </c>
      <c r="F556" s="254"/>
    </row>
    <row r="557" spans="1:6" ht="15.6" x14ac:dyDescent="0.3">
      <c r="A557" s="127">
        <v>764</v>
      </c>
      <c r="B557" s="128">
        <v>43579</v>
      </c>
      <c r="C557" s="129" t="s">
        <v>113</v>
      </c>
      <c r="D557" s="129" t="s">
        <v>1529</v>
      </c>
      <c r="E557" s="169"/>
      <c r="F557" s="253">
        <v>50000</v>
      </c>
    </row>
    <row r="558" spans="1:6" ht="15.6" x14ac:dyDescent="0.3">
      <c r="A558" s="127">
        <v>765</v>
      </c>
      <c r="B558" s="128">
        <v>43579</v>
      </c>
      <c r="C558" s="129" t="s">
        <v>50</v>
      </c>
      <c r="D558" s="129" t="s">
        <v>1527</v>
      </c>
      <c r="E558" s="169"/>
      <c r="F558" s="253">
        <v>6300</v>
      </c>
    </row>
    <row r="559" spans="1:6" ht="15.6" x14ac:dyDescent="0.3">
      <c r="A559" s="127">
        <v>767</v>
      </c>
      <c r="B559" s="128">
        <v>43582</v>
      </c>
      <c r="C559" s="129" t="s">
        <v>1548</v>
      </c>
      <c r="D559" s="129" t="s">
        <v>1526</v>
      </c>
      <c r="E559" s="169"/>
      <c r="F559" s="253">
        <v>15000</v>
      </c>
    </row>
    <row r="560" spans="1:6" ht="15.6" x14ac:dyDescent="0.3">
      <c r="A560" s="127">
        <v>768</v>
      </c>
      <c r="B560" s="128">
        <v>43582</v>
      </c>
      <c r="C560" s="133" t="s">
        <v>1622</v>
      </c>
      <c r="D560" s="133" t="s">
        <v>1520</v>
      </c>
      <c r="E560" s="169">
        <v>30000</v>
      </c>
      <c r="F560" s="254"/>
    </row>
    <row r="561" spans="1:6" ht="15.6" x14ac:dyDescent="0.3">
      <c r="A561" s="127">
        <v>769</v>
      </c>
      <c r="B561" s="128">
        <v>43582</v>
      </c>
      <c r="C561" s="129" t="s">
        <v>1639</v>
      </c>
      <c r="D561" s="129" t="s">
        <v>1526</v>
      </c>
      <c r="E561" s="169"/>
      <c r="F561" s="253">
        <v>20000</v>
      </c>
    </row>
    <row r="562" spans="1:6" ht="15.6" x14ac:dyDescent="0.3">
      <c r="A562" s="127">
        <v>770</v>
      </c>
      <c r="B562" s="128">
        <v>43583</v>
      </c>
      <c r="C562" s="129" t="s">
        <v>42</v>
      </c>
      <c r="D562" s="129" t="s">
        <v>1521</v>
      </c>
      <c r="E562" s="169"/>
      <c r="F562" s="253">
        <v>125</v>
      </c>
    </row>
    <row r="563" spans="1:6" ht="15.6" x14ac:dyDescent="0.3">
      <c r="A563" s="127">
        <v>771</v>
      </c>
      <c r="B563" s="128">
        <v>43583</v>
      </c>
      <c r="C563" s="129" t="s">
        <v>86</v>
      </c>
      <c r="D563" s="129" t="s">
        <v>1521</v>
      </c>
      <c r="E563" s="169"/>
      <c r="F563" s="253">
        <v>60</v>
      </c>
    </row>
    <row r="564" spans="1:6" ht="15.6" x14ac:dyDescent="0.3">
      <c r="A564" s="127">
        <v>772</v>
      </c>
      <c r="B564" s="128">
        <v>43583</v>
      </c>
      <c r="C564" s="129" t="s">
        <v>185</v>
      </c>
      <c r="D564" s="129" t="s">
        <v>1516</v>
      </c>
      <c r="E564" s="169"/>
      <c r="F564" s="253">
        <v>10000</v>
      </c>
    </row>
    <row r="565" spans="1:6" ht="15.6" x14ac:dyDescent="0.3">
      <c r="A565" s="127">
        <v>773</v>
      </c>
      <c r="B565" s="128">
        <v>43583</v>
      </c>
      <c r="C565" s="129" t="s">
        <v>173</v>
      </c>
      <c r="D565" s="129" t="s">
        <v>1516</v>
      </c>
      <c r="E565" s="169"/>
      <c r="F565" s="253">
        <v>2000</v>
      </c>
    </row>
    <row r="566" spans="1:6" ht="15.6" x14ac:dyDescent="0.3">
      <c r="A566" s="127">
        <v>774</v>
      </c>
      <c r="B566" s="128">
        <v>43584</v>
      </c>
      <c r="C566" s="129" t="s">
        <v>26</v>
      </c>
      <c r="D566" s="129" t="s">
        <v>1522</v>
      </c>
      <c r="E566" s="169"/>
      <c r="F566" s="253">
        <v>2000</v>
      </c>
    </row>
    <row r="567" spans="1:6" ht="15.6" x14ac:dyDescent="0.3">
      <c r="A567" s="127">
        <v>775</v>
      </c>
      <c r="B567" s="128">
        <v>43584</v>
      </c>
      <c r="C567" s="129" t="s">
        <v>1635</v>
      </c>
      <c r="D567" s="129" t="s">
        <v>1471</v>
      </c>
      <c r="E567" s="169"/>
      <c r="F567" s="253">
        <v>1240</v>
      </c>
    </row>
    <row r="568" spans="1:6" ht="15.6" x14ac:dyDescent="0.3">
      <c r="A568" s="127">
        <v>776</v>
      </c>
      <c r="B568" s="128">
        <v>43584</v>
      </c>
      <c r="C568" s="129" t="s">
        <v>42</v>
      </c>
      <c r="D568" s="129" t="s">
        <v>1521</v>
      </c>
      <c r="E568" s="169"/>
      <c r="F568" s="253">
        <v>100</v>
      </c>
    </row>
    <row r="569" spans="1:6" ht="15.6" x14ac:dyDescent="0.3">
      <c r="A569" s="127">
        <v>777</v>
      </c>
      <c r="B569" s="128">
        <v>43585</v>
      </c>
      <c r="C569" s="129" t="s">
        <v>119</v>
      </c>
      <c r="D569" s="129" t="s">
        <v>1521</v>
      </c>
      <c r="E569" s="169"/>
      <c r="F569" s="253">
        <v>120</v>
      </c>
    </row>
    <row r="570" spans="1:6" ht="15.6" x14ac:dyDescent="0.3">
      <c r="A570" s="127">
        <v>778</v>
      </c>
      <c r="B570" s="128">
        <v>43585</v>
      </c>
      <c r="C570" s="129" t="s">
        <v>42</v>
      </c>
      <c r="D570" s="129" t="s">
        <v>1521</v>
      </c>
      <c r="E570" s="169"/>
      <c r="F570" s="253">
        <v>50</v>
      </c>
    </row>
    <row r="571" spans="1:6" ht="15.6" x14ac:dyDescent="0.3">
      <c r="A571" s="127">
        <v>779</v>
      </c>
      <c r="B571" s="128">
        <v>43586</v>
      </c>
      <c r="C571" s="129" t="s">
        <v>1548</v>
      </c>
      <c r="D571" s="129" t="s">
        <v>1526</v>
      </c>
      <c r="E571" s="169"/>
      <c r="F571" s="253">
        <v>12000</v>
      </c>
    </row>
    <row r="572" spans="1:6" ht="15.6" x14ac:dyDescent="0.3">
      <c r="A572" s="127">
        <v>780</v>
      </c>
      <c r="B572" s="128">
        <v>43586</v>
      </c>
      <c r="C572" s="129" t="s">
        <v>186</v>
      </c>
      <c r="D572" s="129" t="s">
        <v>1471</v>
      </c>
      <c r="E572" s="169"/>
      <c r="F572" s="253">
        <v>2000</v>
      </c>
    </row>
    <row r="573" spans="1:6" ht="15.6" x14ac:dyDescent="0.3">
      <c r="A573" s="127">
        <v>781</v>
      </c>
      <c r="B573" s="128">
        <v>43587</v>
      </c>
      <c r="C573" s="129" t="s">
        <v>69</v>
      </c>
      <c r="D573" s="129" t="s">
        <v>1524</v>
      </c>
      <c r="E573" s="169"/>
      <c r="F573" s="253">
        <v>10000</v>
      </c>
    </row>
    <row r="574" spans="1:6" ht="15.6" x14ac:dyDescent="0.3">
      <c r="A574" s="127">
        <v>782</v>
      </c>
      <c r="B574" s="128">
        <v>43587</v>
      </c>
      <c r="C574" s="129" t="s">
        <v>187</v>
      </c>
      <c r="D574" s="129" t="s">
        <v>1521</v>
      </c>
      <c r="E574" s="169"/>
      <c r="F574" s="253">
        <v>120</v>
      </c>
    </row>
    <row r="575" spans="1:6" ht="15.6" x14ac:dyDescent="0.3">
      <c r="A575" s="127">
        <v>783</v>
      </c>
      <c r="B575" s="128">
        <v>43587</v>
      </c>
      <c r="C575" s="129" t="s">
        <v>42</v>
      </c>
      <c r="D575" s="129" t="s">
        <v>1521</v>
      </c>
      <c r="E575" s="169"/>
      <c r="F575" s="253">
        <v>50</v>
      </c>
    </row>
    <row r="576" spans="1:6" ht="15.6" x14ac:dyDescent="0.3">
      <c r="A576" s="127">
        <v>784</v>
      </c>
      <c r="B576" s="128">
        <v>43587</v>
      </c>
      <c r="C576" s="129" t="s">
        <v>26</v>
      </c>
      <c r="D576" s="129" t="s">
        <v>1522</v>
      </c>
      <c r="E576" s="169"/>
      <c r="F576" s="253">
        <v>5000</v>
      </c>
    </row>
    <row r="577" spans="1:6" ht="15.6" x14ac:dyDescent="0.3">
      <c r="A577" s="127">
        <v>785</v>
      </c>
      <c r="B577" s="128">
        <v>43587</v>
      </c>
      <c r="C577" s="129" t="s">
        <v>188</v>
      </c>
      <c r="D577" s="129" t="s">
        <v>1516</v>
      </c>
      <c r="E577" s="169"/>
      <c r="F577" s="253">
        <v>1000</v>
      </c>
    </row>
    <row r="578" spans="1:6" ht="15.6" x14ac:dyDescent="0.3">
      <c r="A578" s="127">
        <v>786</v>
      </c>
      <c r="B578" s="128">
        <v>43588</v>
      </c>
      <c r="C578" s="129" t="s">
        <v>1548</v>
      </c>
      <c r="D578" s="129" t="s">
        <v>1526</v>
      </c>
      <c r="E578" s="169"/>
      <c r="F578" s="253">
        <v>10000</v>
      </c>
    </row>
    <row r="579" spans="1:6" ht="15.6" x14ac:dyDescent="0.3">
      <c r="A579" s="127">
        <v>787</v>
      </c>
      <c r="B579" s="128">
        <v>43588</v>
      </c>
      <c r="C579" s="129" t="s">
        <v>1635</v>
      </c>
      <c r="D579" s="129" t="s">
        <v>1471</v>
      </c>
      <c r="E579" s="169"/>
      <c r="F579" s="253">
        <v>1000</v>
      </c>
    </row>
    <row r="580" spans="1:6" ht="15.6" x14ac:dyDescent="0.3">
      <c r="A580" s="127">
        <v>788</v>
      </c>
      <c r="B580" s="128">
        <v>43588</v>
      </c>
      <c r="C580" s="129" t="s">
        <v>42</v>
      </c>
      <c r="D580" s="129" t="s">
        <v>1521</v>
      </c>
      <c r="E580" s="169"/>
      <c r="F580" s="253">
        <v>50</v>
      </c>
    </row>
    <row r="581" spans="1:6" ht="15.6" x14ac:dyDescent="0.3">
      <c r="A581" s="127">
        <v>789</v>
      </c>
      <c r="B581" s="128">
        <v>43589</v>
      </c>
      <c r="C581" s="129" t="s">
        <v>1548</v>
      </c>
      <c r="D581" s="129" t="s">
        <v>1526</v>
      </c>
      <c r="E581" s="169"/>
      <c r="F581" s="253">
        <v>20000</v>
      </c>
    </row>
    <row r="582" spans="1:6" ht="15.6" x14ac:dyDescent="0.3">
      <c r="A582" s="127">
        <v>790</v>
      </c>
      <c r="B582" s="128">
        <v>43589</v>
      </c>
      <c r="C582" s="130" t="s">
        <v>1640</v>
      </c>
      <c r="D582" s="130" t="s">
        <v>1530</v>
      </c>
      <c r="E582" s="169"/>
      <c r="F582" s="253">
        <v>20000</v>
      </c>
    </row>
    <row r="583" spans="1:6" ht="15.6" x14ac:dyDescent="0.3">
      <c r="A583" s="127">
        <v>791</v>
      </c>
      <c r="B583" s="128">
        <v>43589</v>
      </c>
      <c r="C583" s="129" t="s">
        <v>1641</v>
      </c>
      <c r="D583" s="129" t="s">
        <v>1516</v>
      </c>
      <c r="E583" s="169"/>
      <c r="F583" s="253">
        <v>2550</v>
      </c>
    </row>
    <row r="584" spans="1:6" ht="15.6" x14ac:dyDescent="0.3">
      <c r="A584" s="127">
        <v>792</v>
      </c>
      <c r="B584" s="128">
        <v>43589</v>
      </c>
      <c r="C584" s="129" t="s">
        <v>1642</v>
      </c>
      <c r="D584" s="129" t="s">
        <v>1516</v>
      </c>
      <c r="E584" s="169"/>
      <c r="F584" s="253">
        <v>13500</v>
      </c>
    </row>
    <row r="585" spans="1:6" ht="15.6" x14ac:dyDescent="0.3">
      <c r="A585" s="127">
        <v>793</v>
      </c>
      <c r="B585" s="128">
        <v>43589</v>
      </c>
      <c r="C585" s="133" t="s">
        <v>1622</v>
      </c>
      <c r="D585" s="133" t="s">
        <v>1520</v>
      </c>
      <c r="E585" s="169">
        <v>160000</v>
      </c>
      <c r="F585" s="254"/>
    </row>
    <row r="586" spans="1:6" ht="15.6" x14ac:dyDescent="0.3">
      <c r="A586" s="127">
        <v>794</v>
      </c>
      <c r="B586" s="128">
        <v>43589</v>
      </c>
      <c r="C586" s="129" t="s">
        <v>1643</v>
      </c>
      <c r="D586" s="129" t="s">
        <v>1517</v>
      </c>
      <c r="E586" s="169"/>
      <c r="F586" s="253">
        <v>60000</v>
      </c>
    </row>
    <row r="587" spans="1:6" ht="15.6" x14ac:dyDescent="0.3">
      <c r="A587" s="127">
        <v>795</v>
      </c>
      <c r="B587" s="128">
        <v>43589</v>
      </c>
      <c r="C587" s="129" t="s">
        <v>1644</v>
      </c>
      <c r="D587" s="129" t="s">
        <v>1516</v>
      </c>
      <c r="E587" s="169"/>
      <c r="F587" s="253">
        <v>2400</v>
      </c>
    </row>
    <row r="588" spans="1:6" ht="15.6" x14ac:dyDescent="0.3">
      <c r="A588" s="127">
        <v>796</v>
      </c>
      <c r="B588" s="128">
        <v>43591</v>
      </c>
      <c r="C588" s="129" t="s">
        <v>69</v>
      </c>
      <c r="D588" s="129" t="s">
        <v>1524</v>
      </c>
      <c r="E588" s="169"/>
      <c r="F588" s="253">
        <v>5000</v>
      </c>
    </row>
    <row r="589" spans="1:6" ht="15.6" x14ac:dyDescent="0.3">
      <c r="A589" s="127">
        <v>797</v>
      </c>
      <c r="B589" s="128">
        <v>43591</v>
      </c>
      <c r="C589" s="129" t="s">
        <v>86</v>
      </c>
      <c r="D589" s="129" t="s">
        <v>1521</v>
      </c>
      <c r="E589" s="169"/>
      <c r="F589" s="253">
        <v>30</v>
      </c>
    </row>
    <row r="590" spans="1:6" ht="15.6" x14ac:dyDescent="0.3">
      <c r="A590" s="127">
        <v>798</v>
      </c>
      <c r="B590" s="128">
        <v>43593</v>
      </c>
      <c r="C590" s="129" t="s">
        <v>1548</v>
      </c>
      <c r="D590" s="129" t="s">
        <v>1526</v>
      </c>
      <c r="E590" s="169"/>
      <c r="F590" s="253">
        <v>52000</v>
      </c>
    </row>
    <row r="591" spans="1:6" ht="15.6" x14ac:dyDescent="0.3">
      <c r="A591" s="127">
        <v>799</v>
      </c>
      <c r="B591" s="128">
        <v>43594</v>
      </c>
      <c r="C591" s="129" t="s">
        <v>26</v>
      </c>
      <c r="D591" s="129" t="s">
        <v>1522</v>
      </c>
      <c r="E591" s="169"/>
      <c r="F591" s="253">
        <v>5000</v>
      </c>
    </row>
    <row r="592" spans="1:6" ht="15.6" x14ac:dyDescent="0.3">
      <c r="A592" s="127">
        <v>800</v>
      </c>
      <c r="B592" s="128">
        <v>43596</v>
      </c>
      <c r="C592" s="129" t="s">
        <v>1645</v>
      </c>
      <c r="D592" s="129" t="s">
        <v>1521</v>
      </c>
      <c r="E592" s="169"/>
      <c r="F592" s="253">
        <v>34200</v>
      </c>
    </row>
    <row r="593" spans="1:6" ht="15.6" x14ac:dyDescent="0.3">
      <c r="A593" s="127">
        <v>801</v>
      </c>
      <c r="B593" s="128">
        <v>43596</v>
      </c>
      <c r="C593" s="129" t="s">
        <v>195</v>
      </c>
      <c r="D593" s="129" t="s">
        <v>1521</v>
      </c>
      <c r="E593" s="169"/>
      <c r="F593" s="253">
        <v>1800</v>
      </c>
    </row>
    <row r="594" spans="1:6" ht="15.6" x14ac:dyDescent="0.3">
      <c r="A594" s="127">
        <v>802</v>
      </c>
      <c r="B594" s="128">
        <v>43596</v>
      </c>
      <c r="C594" s="129" t="s">
        <v>26</v>
      </c>
      <c r="D594" s="129" t="s">
        <v>1522</v>
      </c>
      <c r="E594" s="169"/>
      <c r="F594" s="253">
        <v>2500</v>
      </c>
    </row>
    <row r="595" spans="1:6" ht="15.6" x14ac:dyDescent="0.3">
      <c r="A595" s="127">
        <v>803</v>
      </c>
      <c r="B595" s="128">
        <v>43598</v>
      </c>
      <c r="C595" s="129" t="s">
        <v>1646</v>
      </c>
      <c r="D595" s="129" t="s">
        <v>1521</v>
      </c>
      <c r="E595" s="169"/>
      <c r="F595" s="253">
        <v>4044</v>
      </c>
    </row>
    <row r="596" spans="1:6" ht="15.6" x14ac:dyDescent="0.3">
      <c r="A596" s="127">
        <v>804</v>
      </c>
      <c r="B596" s="128">
        <v>43598</v>
      </c>
      <c r="C596" s="129" t="s">
        <v>1647</v>
      </c>
      <c r="D596" s="129" t="s">
        <v>1523</v>
      </c>
      <c r="E596" s="169"/>
      <c r="F596" s="253">
        <v>50000</v>
      </c>
    </row>
    <row r="597" spans="1:6" ht="15.6" x14ac:dyDescent="0.3">
      <c r="A597" s="127">
        <v>805</v>
      </c>
      <c r="B597" s="128">
        <v>43598</v>
      </c>
      <c r="C597" s="129" t="s">
        <v>26</v>
      </c>
      <c r="D597" s="129" t="s">
        <v>1522</v>
      </c>
      <c r="E597" s="169"/>
      <c r="F597" s="253">
        <v>5000</v>
      </c>
    </row>
    <row r="598" spans="1:6" ht="15.6" x14ac:dyDescent="0.3">
      <c r="A598" s="127">
        <v>806</v>
      </c>
      <c r="B598" s="128">
        <v>43598</v>
      </c>
      <c r="C598" s="129" t="s">
        <v>1548</v>
      </c>
      <c r="D598" s="129" t="s">
        <v>1526</v>
      </c>
      <c r="E598" s="169"/>
      <c r="F598" s="253">
        <v>20000</v>
      </c>
    </row>
    <row r="599" spans="1:6" ht="15.6" x14ac:dyDescent="0.3">
      <c r="A599" s="127">
        <v>807</v>
      </c>
      <c r="B599" s="128">
        <v>43599</v>
      </c>
      <c r="C599" s="129" t="s">
        <v>1648</v>
      </c>
      <c r="D599" s="129" t="s">
        <v>1521</v>
      </c>
      <c r="E599" s="169"/>
      <c r="F599" s="253">
        <v>4830</v>
      </c>
    </row>
    <row r="600" spans="1:6" ht="15.6" x14ac:dyDescent="0.3">
      <c r="A600" s="127">
        <v>808</v>
      </c>
      <c r="B600" s="128">
        <v>43599</v>
      </c>
      <c r="C600" s="129" t="s">
        <v>69</v>
      </c>
      <c r="D600" s="129" t="s">
        <v>1524</v>
      </c>
      <c r="E600" s="169"/>
      <c r="F600" s="253">
        <v>5000</v>
      </c>
    </row>
    <row r="601" spans="1:6" ht="15.6" x14ac:dyDescent="0.3">
      <c r="A601" s="127">
        <v>809</v>
      </c>
      <c r="B601" s="128">
        <v>43600</v>
      </c>
      <c r="C601" s="129" t="s">
        <v>1548</v>
      </c>
      <c r="D601" s="129" t="s">
        <v>1526</v>
      </c>
      <c r="E601" s="169"/>
      <c r="F601" s="253">
        <v>9000</v>
      </c>
    </row>
    <row r="602" spans="1:6" ht="15.6" x14ac:dyDescent="0.3">
      <c r="A602" s="127">
        <v>810</v>
      </c>
      <c r="B602" s="128">
        <v>43601</v>
      </c>
      <c r="C602" s="133" t="s">
        <v>1638</v>
      </c>
      <c r="D602" s="133" t="s">
        <v>1520</v>
      </c>
      <c r="E602" s="169">
        <v>150000</v>
      </c>
      <c r="F602" s="254"/>
    </row>
    <row r="603" spans="1:6" ht="15.6" x14ac:dyDescent="0.3">
      <c r="A603" s="127">
        <v>811</v>
      </c>
      <c r="B603" s="128">
        <v>43601</v>
      </c>
      <c r="C603" s="129" t="s">
        <v>1548</v>
      </c>
      <c r="D603" s="129" t="s">
        <v>1526</v>
      </c>
      <c r="E603" s="169"/>
      <c r="F603" s="253">
        <v>20000</v>
      </c>
    </row>
    <row r="604" spans="1:6" ht="15.6" x14ac:dyDescent="0.3">
      <c r="A604" s="127">
        <v>812</v>
      </c>
      <c r="B604" s="128">
        <v>43601</v>
      </c>
      <c r="C604" s="130" t="s">
        <v>1649</v>
      </c>
      <c r="D604" s="130" t="s">
        <v>1530</v>
      </c>
      <c r="E604" s="169"/>
      <c r="F604" s="253">
        <v>27000</v>
      </c>
    </row>
    <row r="605" spans="1:6" ht="15.6" x14ac:dyDescent="0.3">
      <c r="A605" s="127">
        <v>813</v>
      </c>
      <c r="B605" s="128">
        <v>43601</v>
      </c>
      <c r="C605" s="129" t="s">
        <v>1650</v>
      </c>
      <c r="D605" s="129" t="s">
        <v>1516</v>
      </c>
      <c r="E605" s="169"/>
      <c r="F605" s="253">
        <v>3000</v>
      </c>
    </row>
    <row r="606" spans="1:6" ht="15.6" x14ac:dyDescent="0.3">
      <c r="A606" s="127">
        <v>815</v>
      </c>
      <c r="B606" s="128">
        <v>43604</v>
      </c>
      <c r="C606" s="129" t="s">
        <v>1650</v>
      </c>
      <c r="D606" s="129" t="s">
        <v>1516</v>
      </c>
      <c r="E606" s="169"/>
      <c r="F606" s="253">
        <v>2000</v>
      </c>
    </row>
    <row r="607" spans="1:6" ht="15.6" x14ac:dyDescent="0.3">
      <c r="A607" s="127">
        <v>816</v>
      </c>
      <c r="B607" s="128">
        <v>43604</v>
      </c>
      <c r="C607" s="129" t="s">
        <v>1548</v>
      </c>
      <c r="D607" s="129" t="s">
        <v>1526</v>
      </c>
      <c r="E607" s="169"/>
      <c r="F607" s="253">
        <v>25000</v>
      </c>
    </row>
    <row r="608" spans="1:6" ht="15.6" x14ac:dyDescent="0.3">
      <c r="A608" s="127">
        <v>817</v>
      </c>
      <c r="B608" s="128">
        <v>43604</v>
      </c>
      <c r="C608" s="129" t="s">
        <v>1651</v>
      </c>
      <c r="D608" s="129" t="s">
        <v>1521</v>
      </c>
      <c r="E608" s="169"/>
      <c r="F608" s="253">
        <v>33700</v>
      </c>
    </row>
    <row r="609" spans="1:6" ht="15.6" x14ac:dyDescent="0.3">
      <c r="A609" s="127">
        <v>818</v>
      </c>
      <c r="B609" s="128">
        <v>43604</v>
      </c>
      <c r="C609" s="129" t="s">
        <v>203</v>
      </c>
      <c r="D609" s="129" t="s">
        <v>1471</v>
      </c>
      <c r="E609" s="169"/>
      <c r="F609" s="253">
        <v>437</v>
      </c>
    </row>
    <row r="610" spans="1:6" ht="15.6" x14ac:dyDescent="0.3">
      <c r="A610" s="127">
        <v>819</v>
      </c>
      <c r="B610" s="128">
        <v>43605</v>
      </c>
      <c r="C610" s="129" t="s">
        <v>1652</v>
      </c>
      <c r="D610" s="129" t="s">
        <v>1521</v>
      </c>
      <c r="E610" s="169"/>
      <c r="F610" s="253">
        <v>2230</v>
      </c>
    </row>
    <row r="611" spans="1:6" ht="15.6" x14ac:dyDescent="0.3">
      <c r="A611" s="127">
        <v>820</v>
      </c>
      <c r="B611" s="128">
        <v>43605</v>
      </c>
      <c r="C611" s="129" t="s">
        <v>206</v>
      </c>
      <c r="D611" s="129" t="s">
        <v>1471</v>
      </c>
      <c r="E611" s="169"/>
      <c r="F611" s="253">
        <v>240</v>
      </c>
    </row>
    <row r="612" spans="1:6" ht="15.6" x14ac:dyDescent="0.3">
      <c r="A612" s="127">
        <v>821</v>
      </c>
      <c r="B612" s="128">
        <v>43606</v>
      </c>
      <c r="C612" s="129" t="s">
        <v>1548</v>
      </c>
      <c r="D612" s="129" t="s">
        <v>1526</v>
      </c>
      <c r="E612" s="169"/>
      <c r="F612" s="253">
        <v>15000</v>
      </c>
    </row>
    <row r="613" spans="1:6" ht="15.6" x14ac:dyDescent="0.3">
      <c r="A613" s="127">
        <v>822</v>
      </c>
      <c r="B613" s="128">
        <v>43606</v>
      </c>
      <c r="C613" s="129" t="s">
        <v>26</v>
      </c>
      <c r="D613" s="129" t="s">
        <v>1522</v>
      </c>
      <c r="E613" s="169"/>
      <c r="F613" s="253">
        <v>5000</v>
      </c>
    </row>
    <row r="614" spans="1:6" ht="15.6" x14ac:dyDescent="0.3">
      <c r="A614" s="127">
        <v>823</v>
      </c>
      <c r="B614" s="128">
        <v>43606</v>
      </c>
      <c r="C614" s="129" t="s">
        <v>1650</v>
      </c>
      <c r="D614" s="129" t="s">
        <v>1516</v>
      </c>
      <c r="E614" s="169"/>
      <c r="F614" s="253">
        <v>1000</v>
      </c>
    </row>
    <row r="615" spans="1:6" ht="15.6" x14ac:dyDescent="0.3">
      <c r="A615" s="127">
        <v>824</v>
      </c>
      <c r="B615" s="128">
        <v>43608</v>
      </c>
      <c r="C615" s="129" t="s">
        <v>1650</v>
      </c>
      <c r="D615" s="129" t="s">
        <v>1516</v>
      </c>
      <c r="E615" s="169"/>
      <c r="F615" s="253">
        <v>5000</v>
      </c>
    </row>
    <row r="616" spans="1:6" ht="15.6" x14ac:dyDescent="0.3">
      <c r="A616" s="127">
        <v>825</v>
      </c>
      <c r="B616" s="128">
        <v>43608</v>
      </c>
      <c r="C616" s="129" t="s">
        <v>113</v>
      </c>
      <c r="D616" s="129" t="s">
        <v>1529</v>
      </c>
      <c r="E616" s="169"/>
      <c r="F616" s="253">
        <v>20000</v>
      </c>
    </row>
    <row r="617" spans="1:6" ht="15.6" x14ac:dyDescent="0.3">
      <c r="A617" s="127">
        <v>826</v>
      </c>
      <c r="B617" s="128">
        <v>43608</v>
      </c>
      <c r="C617" s="129" t="s">
        <v>1548</v>
      </c>
      <c r="D617" s="129" t="s">
        <v>1526</v>
      </c>
      <c r="E617" s="169"/>
      <c r="F617" s="253">
        <v>5000</v>
      </c>
    </row>
    <row r="618" spans="1:6" ht="15.6" x14ac:dyDescent="0.3">
      <c r="A618" s="127">
        <v>827</v>
      </c>
      <c r="B618" s="128">
        <v>43609</v>
      </c>
      <c r="C618" s="129" t="s">
        <v>136</v>
      </c>
      <c r="D618" s="129" t="s">
        <v>1516</v>
      </c>
      <c r="E618" s="169"/>
      <c r="F618" s="253">
        <v>900</v>
      </c>
    </row>
    <row r="619" spans="1:6" ht="15.6" x14ac:dyDescent="0.3">
      <c r="A619" s="127">
        <v>828</v>
      </c>
      <c r="B619" s="128">
        <v>43610</v>
      </c>
      <c r="C619" s="133" t="s">
        <v>1622</v>
      </c>
      <c r="D619" s="133" t="s">
        <v>1520</v>
      </c>
      <c r="E619" s="169">
        <v>180000</v>
      </c>
      <c r="F619" s="254"/>
    </row>
    <row r="620" spans="1:6" ht="15.6" x14ac:dyDescent="0.3">
      <c r="A620" s="127">
        <v>829</v>
      </c>
      <c r="B620" s="128">
        <v>43610</v>
      </c>
      <c r="C620" s="129" t="s">
        <v>1548</v>
      </c>
      <c r="D620" s="129" t="s">
        <v>1526</v>
      </c>
      <c r="E620" s="169"/>
      <c r="F620" s="253">
        <v>100000</v>
      </c>
    </row>
    <row r="621" spans="1:6" ht="15.6" x14ac:dyDescent="0.3">
      <c r="A621" s="127">
        <v>830</v>
      </c>
      <c r="B621" s="128">
        <v>43613</v>
      </c>
      <c r="C621" s="129" t="s">
        <v>1650</v>
      </c>
      <c r="D621" s="129" t="s">
        <v>1516</v>
      </c>
      <c r="E621" s="169"/>
      <c r="F621" s="253">
        <v>1000</v>
      </c>
    </row>
    <row r="622" spans="1:6" ht="15.6" x14ac:dyDescent="0.3">
      <c r="A622" s="127">
        <v>831</v>
      </c>
      <c r="B622" s="128">
        <v>43613</v>
      </c>
      <c r="C622" s="129" t="s">
        <v>1653</v>
      </c>
      <c r="D622" s="129" t="s">
        <v>1516</v>
      </c>
      <c r="E622" s="169"/>
      <c r="F622" s="253">
        <v>1000</v>
      </c>
    </row>
    <row r="623" spans="1:6" ht="15.6" x14ac:dyDescent="0.3">
      <c r="A623" s="127">
        <v>832</v>
      </c>
      <c r="B623" s="128">
        <v>43613</v>
      </c>
      <c r="C623" s="129" t="s">
        <v>1654</v>
      </c>
      <c r="D623" s="129" t="s">
        <v>1516</v>
      </c>
      <c r="E623" s="169"/>
      <c r="F623" s="253">
        <v>800</v>
      </c>
    </row>
    <row r="624" spans="1:6" ht="15.6" x14ac:dyDescent="0.3">
      <c r="A624" s="127">
        <v>833</v>
      </c>
      <c r="B624" s="128">
        <v>43613</v>
      </c>
      <c r="C624" s="129" t="s">
        <v>1655</v>
      </c>
      <c r="D624" s="129" t="s">
        <v>1523</v>
      </c>
      <c r="E624" s="169"/>
      <c r="F624" s="253">
        <v>30000</v>
      </c>
    </row>
    <row r="625" spans="1:6" ht="15.6" x14ac:dyDescent="0.3">
      <c r="A625" s="127">
        <v>834</v>
      </c>
      <c r="B625" s="128">
        <v>43617</v>
      </c>
      <c r="C625" s="133" t="s">
        <v>1622</v>
      </c>
      <c r="D625" s="133" t="s">
        <v>1520</v>
      </c>
      <c r="E625" s="169">
        <v>200000</v>
      </c>
      <c r="F625" s="254"/>
    </row>
    <row r="626" spans="1:6" ht="15.6" x14ac:dyDescent="0.3">
      <c r="A626" s="127">
        <v>835</v>
      </c>
      <c r="B626" s="128">
        <v>43617</v>
      </c>
      <c r="C626" s="129" t="s">
        <v>26</v>
      </c>
      <c r="D626" s="129" t="s">
        <v>1522</v>
      </c>
      <c r="E626" s="169"/>
      <c r="F626" s="253">
        <v>40000</v>
      </c>
    </row>
    <row r="627" spans="1:6" ht="15.6" x14ac:dyDescent="0.3">
      <c r="A627" s="127">
        <v>836</v>
      </c>
      <c r="B627" s="128">
        <v>43617</v>
      </c>
      <c r="C627" s="129" t="s">
        <v>69</v>
      </c>
      <c r="D627" s="129" t="s">
        <v>1524</v>
      </c>
      <c r="E627" s="169"/>
      <c r="F627" s="253">
        <v>40000</v>
      </c>
    </row>
    <row r="628" spans="1:6" ht="15.6" x14ac:dyDescent="0.3">
      <c r="A628" s="127">
        <v>837</v>
      </c>
      <c r="B628" s="128">
        <v>43617</v>
      </c>
      <c r="C628" s="129" t="s">
        <v>113</v>
      </c>
      <c r="D628" s="129" t="s">
        <v>1529</v>
      </c>
      <c r="E628" s="169"/>
      <c r="F628" s="253">
        <v>30000</v>
      </c>
    </row>
    <row r="629" spans="1:6" ht="15.6" x14ac:dyDescent="0.3">
      <c r="A629" s="127">
        <v>838</v>
      </c>
      <c r="B629" s="128">
        <v>43617</v>
      </c>
      <c r="C629" s="129" t="s">
        <v>1548</v>
      </c>
      <c r="D629" s="129" t="s">
        <v>1526</v>
      </c>
      <c r="E629" s="169"/>
      <c r="F629" s="253">
        <v>20000</v>
      </c>
    </row>
    <row r="630" spans="1:6" ht="15.6" x14ac:dyDescent="0.3">
      <c r="A630" s="127">
        <v>839</v>
      </c>
      <c r="B630" s="128">
        <v>43617</v>
      </c>
      <c r="C630" s="129" t="s">
        <v>1656</v>
      </c>
      <c r="D630" s="129" t="s">
        <v>1517</v>
      </c>
      <c r="E630" s="169"/>
      <c r="F630" s="253">
        <v>60000</v>
      </c>
    </row>
    <row r="631" spans="1:6" ht="15.6" x14ac:dyDescent="0.3">
      <c r="A631" s="127">
        <v>840</v>
      </c>
      <c r="B631" s="128">
        <v>43617</v>
      </c>
      <c r="C631" s="129" t="s">
        <v>1657</v>
      </c>
      <c r="D631" s="129" t="s">
        <v>1517</v>
      </c>
      <c r="E631" s="169"/>
      <c r="F631" s="253">
        <v>10000</v>
      </c>
    </row>
    <row r="632" spans="1:6" ht="15.6" x14ac:dyDescent="0.3">
      <c r="A632" s="127">
        <v>841</v>
      </c>
      <c r="B632" s="128">
        <v>43617</v>
      </c>
      <c r="C632" s="129" t="s">
        <v>1658</v>
      </c>
      <c r="D632" s="129" t="s">
        <v>1516</v>
      </c>
      <c r="E632" s="169"/>
      <c r="F632" s="253">
        <v>16500</v>
      </c>
    </row>
    <row r="633" spans="1:6" ht="15.6" x14ac:dyDescent="0.3">
      <c r="A633" s="127">
        <v>842</v>
      </c>
      <c r="B633" s="128">
        <v>43617</v>
      </c>
      <c r="C633" s="129" t="s">
        <v>1659</v>
      </c>
      <c r="D633" s="129" t="s">
        <v>1516</v>
      </c>
      <c r="E633" s="169"/>
      <c r="F633" s="253">
        <v>1000</v>
      </c>
    </row>
    <row r="634" spans="1:6" ht="15.6" x14ac:dyDescent="0.3">
      <c r="A634" s="127">
        <v>843</v>
      </c>
      <c r="B634" s="128">
        <v>43617</v>
      </c>
      <c r="C634" s="129" t="s">
        <v>1660</v>
      </c>
      <c r="D634" s="129" t="s">
        <v>1516</v>
      </c>
      <c r="E634" s="169"/>
      <c r="F634" s="253">
        <v>3250</v>
      </c>
    </row>
    <row r="635" spans="1:6" ht="15.6" x14ac:dyDescent="0.3">
      <c r="A635" s="127">
        <v>844</v>
      </c>
      <c r="B635" s="128">
        <v>43620</v>
      </c>
      <c r="C635" s="129" t="s">
        <v>1548</v>
      </c>
      <c r="D635" s="129" t="s">
        <v>1526</v>
      </c>
      <c r="E635" s="169"/>
      <c r="F635" s="253">
        <v>15000</v>
      </c>
    </row>
    <row r="636" spans="1:6" ht="15.6" x14ac:dyDescent="0.3">
      <c r="A636" s="127">
        <v>845</v>
      </c>
      <c r="B636" s="128">
        <v>43626</v>
      </c>
      <c r="C636" s="129" t="s">
        <v>1548</v>
      </c>
      <c r="D636" s="129" t="s">
        <v>1526</v>
      </c>
      <c r="E636" s="169"/>
      <c r="F636" s="253">
        <v>5000</v>
      </c>
    </row>
    <row r="637" spans="1:6" ht="15.6" x14ac:dyDescent="0.3">
      <c r="A637" s="127">
        <v>846</v>
      </c>
      <c r="B637" s="128">
        <v>43626</v>
      </c>
      <c r="C637" s="129" t="s">
        <v>1650</v>
      </c>
      <c r="D637" s="129" t="s">
        <v>1516</v>
      </c>
      <c r="E637" s="169"/>
      <c r="F637" s="253">
        <v>1000</v>
      </c>
    </row>
    <row r="638" spans="1:6" ht="15.6" x14ac:dyDescent="0.3">
      <c r="A638" s="127">
        <v>847</v>
      </c>
      <c r="B638" s="128">
        <v>43626</v>
      </c>
      <c r="C638" s="129" t="s">
        <v>119</v>
      </c>
      <c r="D638" s="129" t="s">
        <v>1521</v>
      </c>
      <c r="E638" s="169"/>
      <c r="F638" s="253">
        <v>1250</v>
      </c>
    </row>
    <row r="639" spans="1:6" ht="15.6" x14ac:dyDescent="0.3">
      <c r="A639" s="127">
        <v>848</v>
      </c>
      <c r="B639" s="128">
        <v>43627</v>
      </c>
      <c r="C639" s="129" t="s">
        <v>1548</v>
      </c>
      <c r="D639" s="129" t="s">
        <v>1526</v>
      </c>
      <c r="E639" s="169"/>
      <c r="F639" s="253">
        <v>5000</v>
      </c>
    </row>
    <row r="640" spans="1:6" ht="15.6" x14ac:dyDescent="0.3">
      <c r="A640" s="127">
        <v>849</v>
      </c>
      <c r="B640" s="128">
        <v>43629</v>
      </c>
      <c r="C640" s="133" t="s">
        <v>1622</v>
      </c>
      <c r="D640" s="133" t="s">
        <v>1520</v>
      </c>
      <c r="E640" s="169">
        <v>150000</v>
      </c>
      <c r="F640" s="254"/>
    </row>
    <row r="641" spans="1:6" ht="15.6" x14ac:dyDescent="0.3">
      <c r="A641" s="127">
        <v>850</v>
      </c>
      <c r="B641" s="128">
        <v>43629</v>
      </c>
      <c r="C641" s="129" t="s">
        <v>1548</v>
      </c>
      <c r="D641" s="129" t="s">
        <v>1526</v>
      </c>
      <c r="E641" s="169"/>
      <c r="F641" s="253">
        <v>45000</v>
      </c>
    </row>
    <row r="642" spans="1:6" ht="15.6" x14ac:dyDescent="0.3">
      <c r="A642" s="127">
        <v>851</v>
      </c>
      <c r="B642" s="128">
        <v>43629</v>
      </c>
      <c r="C642" s="129" t="s">
        <v>215</v>
      </c>
      <c r="D642" s="129" t="s">
        <v>1521</v>
      </c>
      <c r="E642" s="169"/>
      <c r="F642" s="253">
        <v>5000</v>
      </c>
    </row>
    <row r="643" spans="1:6" ht="15.6" x14ac:dyDescent="0.3">
      <c r="A643" s="127">
        <v>852</v>
      </c>
      <c r="B643" s="128">
        <v>43632</v>
      </c>
      <c r="C643" s="129" t="s">
        <v>1661</v>
      </c>
      <c r="D643" s="129" t="s">
        <v>1471</v>
      </c>
      <c r="E643" s="169"/>
      <c r="F643" s="253">
        <v>300</v>
      </c>
    </row>
    <row r="644" spans="1:6" ht="15.6" x14ac:dyDescent="0.3">
      <c r="A644" s="127">
        <v>853</v>
      </c>
      <c r="B644" s="128">
        <v>43632</v>
      </c>
      <c r="C644" s="129" t="s">
        <v>1650</v>
      </c>
      <c r="D644" s="129" t="s">
        <v>1516</v>
      </c>
      <c r="E644" s="169"/>
      <c r="F644" s="253">
        <v>5000</v>
      </c>
    </row>
    <row r="645" spans="1:6" ht="15.6" x14ac:dyDescent="0.3">
      <c r="A645" s="127">
        <v>854</v>
      </c>
      <c r="B645" s="128">
        <v>43632</v>
      </c>
      <c r="C645" s="129" t="s">
        <v>1548</v>
      </c>
      <c r="D645" s="129" t="s">
        <v>1526</v>
      </c>
      <c r="E645" s="169"/>
      <c r="F645" s="253">
        <v>1000</v>
      </c>
    </row>
    <row r="646" spans="1:6" ht="15.6" x14ac:dyDescent="0.3">
      <c r="A646" s="127">
        <v>855</v>
      </c>
      <c r="B646" s="128">
        <v>43633</v>
      </c>
      <c r="C646" s="129" t="s">
        <v>113</v>
      </c>
      <c r="D646" s="129" t="s">
        <v>1529</v>
      </c>
      <c r="E646" s="169"/>
      <c r="F646" s="253">
        <v>15000</v>
      </c>
    </row>
    <row r="647" spans="1:6" ht="15.6" x14ac:dyDescent="0.3">
      <c r="A647" s="127">
        <v>856</v>
      </c>
      <c r="B647" s="128">
        <v>43633</v>
      </c>
      <c r="C647" s="129" t="s">
        <v>1548</v>
      </c>
      <c r="D647" s="129" t="s">
        <v>1526</v>
      </c>
      <c r="E647" s="169"/>
      <c r="F647" s="253">
        <v>6000</v>
      </c>
    </row>
    <row r="648" spans="1:6" ht="15.6" x14ac:dyDescent="0.3">
      <c r="A648" s="127">
        <v>857</v>
      </c>
      <c r="B648" s="128">
        <v>43634</v>
      </c>
      <c r="C648" s="129" t="s">
        <v>1548</v>
      </c>
      <c r="D648" s="129" t="s">
        <v>1526</v>
      </c>
      <c r="E648" s="169"/>
      <c r="F648" s="253">
        <v>4000</v>
      </c>
    </row>
    <row r="649" spans="1:6" ht="15.6" x14ac:dyDescent="0.3">
      <c r="A649" s="127">
        <v>858</v>
      </c>
      <c r="B649" s="128">
        <v>43634</v>
      </c>
      <c r="C649" s="129" t="s">
        <v>1662</v>
      </c>
      <c r="D649" s="129" t="s">
        <v>1521</v>
      </c>
      <c r="E649" s="169"/>
      <c r="F649" s="253">
        <v>2000</v>
      </c>
    </row>
    <row r="650" spans="1:6" ht="15.6" x14ac:dyDescent="0.3">
      <c r="A650" s="127">
        <v>859</v>
      </c>
      <c r="B650" s="128">
        <v>43636</v>
      </c>
      <c r="C650" s="129" t="s">
        <v>218</v>
      </c>
      <c r="D650" s="129" t="s">
        <v>1521</v>
      </c>
      <c r="E650" s="169"/>
      <c r="F650" s="253">
        <v>60</v>
      </c>
    </row>
    <row r="651" spans="1:6" ht="15.6" x14ac:dyDescent="0.3">
      <c r="A651" s="127">
        <v>860</v>
      </c>
      <c r="B651" s="128">
        <v>43636</v>
      </c>
      <c r="C651" s="129" t="s">
        <v>42</v>
      </c>
      <c r="D651" s="129" t="s">
        <v>1521</v>
      </c>
      <c r="E651" s="169"/>
      <c r="F651" s="253">
        <v>25</v>
      </c>
    </row>
    <row r="652" spans="1:6" ht="15.6" x14ac:dyDescent="0.3">
      <c r="A652" s="127">
        <v>861</v>
      </c>
      <c r="B652" s="128">
        <v>43636</v>
      </c>
      <c r="C652" s="129" t="s">
        <v>1548</v>
      </c>
      <c r="D652" s="129" t="s">
        <v>1526</v>
      </c>
      <c r="E652" s="169"/>
      <c r="F652" s="253">
        <v>6000</v>
      </c>
    </row>
    <row r="653" spans="1:6" ht="15.6" x14ac:dyDescent="0.3">
      <c r="A653" s="127">
        <v>862</v>
      </c>
      <c r="B653" s="128">
        <v>43636</v>
      </c>
      <c r="C653" s="129" t="s">
        <v>26</v>
      </c>
      <c r="D653" s="129" t="s">
        <v>1522</v>
      </c>
      <c r="E653" s="169"/>
      <c r="F653" s="253">
        <v>5000</v>
      </c>
    </row>
    <row r="654" spans="1:6" ht="15.6" x14ac:dyDescent="0.3">
      <c r="A654" s="127">
        <v>863</v>
      </c>
      <c r="B654" s="128">
        <v>43637</v>
      </c>
      <c r="C654" s="129" t="s">
        <v>1705</v>
      </c>
      <c r="D654" s="129" t="s">
        <v>1521</v>
      </c>
      <c r="E654" s="169"/>
      <c r="F654" s="253">
        <v>560</v>
      </c>
    </row>
    <row r="655" spans="1:6" ht="15.6" x14ac:dyDescent="0.3">
      <c r="A655" s="127">
        <v>864</v>
      </c>
      <c r="B655" s="128">
        <v>43637</v>
      </c>
      <c r="C655" s="129" t="s">
        <v>1548</v>
      </c>
      <c r="D655" s="129" t="s">
        <v>1526</v>
      </c>
      <c r="E655" s="169"/>
      <c r="F655" s="253">
        <v>5000</v>
      </c>
    </row>
    <row r="656" spans="1:6" ht="15.6" x14ac:dyDescent="0.3">
      <c r="A656" s="127">
        <v>865</v>
      </c>
      <c r="B656" s="128">
        <v>43638</v>
      </c>
      <c r="C656" s="129" t="s">
        <v>1548</v>
      </c>
      <c r="D656" s="129" t="s">
        <v>1526</v>
      </c>
      <c r="E656" s="169"/>
      <c r="F656" s="253">
        <v>20000</v>
      </c>
    </row>
    <row r="657" spans="1:6" ht="15.6" x14ac:dyDescent="0.3">
      <c r="A657" s="127">
        <v>866</v>
      </c>
      <c r="B657" s="128">
        <v>43638</v>
      </c>
      <c r="C657" s="129" t="s">
        <v>113</v>
      </c>
      <c r="D657" s="129" t="s">
        <v>1529</v>
      </c>
      <c r="E657" s="169"/>
      <c r="F657" s="253">
        <v>25000</v>
      </c>
    </row>
    <row r="658" spans="1:6" ht="15.6" x14ac:dyDescent="0.3">
      <c r="A658" s="127">
        <v>867</v>
      </c>
      <c r="B658" s="128">
        <v>43639</v>
      </c>
      <c r="C658" s="129" t="s">
        <v>1548</v>
      </c>
      <c r="D658" s="129" t="s">
        <v>1526</v>
      </c>
      <c r="E658" s="169"/>
      <c r="F658" s="253">
        <v>15000</v>
      </c>
    </row>
    <row r="659" spans="1:6" ht="15.6" x14ac:dyDescent="0.3">
      <c r="A659" s="127">
        <v>868</v>
      </c>
      <c r="B659" s="128">
        <v>43639</v>
      </c>
      <c r="C659" s="129" t="s">
        <v>1650</v>
      </c>
      <c r="D659" s="129" t="s">
        <v>1516</v>
      </c>
      <c r="E659" s="169"/>
      <c r="F659" s="253">
        <v>1000</v>
      </c>
    </row>
    <row r="660" spans="1:6" ht="15.6" x14ac:dyDescent="0.3">
      <c r="A660" s="127">
        <v>869</v>
      </c>
      <c r="B660" s="128">
        <v>43639</v>
      </c>
      <c r="C660" s="129" t="s">
        <v>26</v>
      </c>
      <c r="D660" s="129" t="s">
        <v>1522</v>
      </c>
      <c r="E660" s="169"/>
      <c r="F660" s="253">
        <v>2000</v>
      </c>
    </row>
    <row r="661" spans="1:6" ht="15.6" x14ac:dyDescent="0.3">
      <c r="A661" s="127">
        <v>870</v>
      </c>
      <c r="B661" s="128">
        <v>43641</v>
      </c>
      <c r="C661" s="133" t="s">
        <v>1622</v>
      </c>
      <c r="D661" s="133" t="s">
        <v>1520</v>
      </c>
      <c r="E661" s="169">
        <v>100000</v>
      </c>
      <c r="F661" s="254"/>
    </row>
    <row r="662" spans="1:6" ht="15.6" x14ac:dyDescent="0.3">
      <c r="A662" s="127">
        <v>871</v>
      </c>
      <c r="B662" s="128">
        <v>43641</v>
      </c>
      <c r="C662" s="129" t="s">
        <v>1548</v>
      </c>
      <c r="D662" s="129" t="s">
        <v>1526</v>
      </c>
      <c r="E662" s="169"/>
      <c r="F662" s="253">
        <v>65000</v>
      </c>
    </row>
    <row r="663" spans="1:6" ht="15.6" x14ac:dyDescent="0.3">
      <c r="A663" s="127">
        <v>872</v>
      </c>
      <c r="B663" s="128">
        <v>43641</v>
      </c>
      <c r="C663" s="129" t="s">
        <v>1650</v>
      </c>
      <c r="D663" s="129" t="s">
        <v>1516</v>
      </c>
      <c r="E663" s="169"/>
      <c r="F663" s="253">
        <v>5000</v>
      </c>
    </row>
    <row r="664" spans="1:6" ht="15.6" x14ac:dyDescent="0.3">
      <c r="A664" s="127">
        <v>873</v>
      </c>
      <c r="B664" s="128">
        <v>43642</v>
      </c>
      <c r="C664" s="129" t="s">
        <v>1635</v>
      </c>
      <c r="D664" s="129" t="s">
        <v>1471</v>
      </c>
      <c r="E664" s="169"/>
      <c r="F664" s="253">
        <v>2950</v>
      </c>
    </row>
    <row r="665" spans="1:6" ht="15.6" x14ac:dyDescent="0.3">
      <c r="A665" s="127">
        <v>874</v>
      </c>
      <c r="B665" s="128">
        <v>43643</v>
      </c>
      <c r="C665" s="129" t="s">
        <v>113</v>
      </c>
      <c r="D665" s="129" t="s">
        <v>1529</v>
      </c>
      <c r="E665" s="169"/>
      <c r="F665" s="253">
        <v>10000</v>
      </c>
    </row>
    <row r="666" spans="1:6" ht="15.6" x14ac:dyDescent="0.3">
      <c r="A666" s="127">
        <v>875</v>
      </c>
      <c r="B666" s="128">
        <v>43643</v>
      </c>
      <c r="C666" s="129" t="s">
        <v>1635</v>
      </c>
      <c r="D666" s="129" t="s">
        <v>1471</v>
      </c>
      <c r="E666" s="169"/>
      <c r="F666" s="253">
        <v>2060</v>
      </c>
    </row>
    <row r="667" spans="1:6" ht="15.6" x14ac:dyDescent="0.3">
      <c r="A667" s="127">
        <v>876</v>
      </c>
      <c r="B667" s="128">
        <v>43643</v>
      </c>
      <c r="C667" s="129" t="s">
        <v>219</v>
      </c>
      <c r="D667" s="129" t="s">
        <v>1521</v>
      </c>
      <c r="E667" s="169"/>
      <c r="F667" s="253">
        <v>250</v>
      </c>
    </row>
    <row r="668" spans="1:6" ht="15.6" x14ac:dyDescent="0.3">
      <c r="A668" s="127">
        <v>877</v>
      </c>
      <c r="B668" s="128">
        <v>43644</v>
      </c>
      <c r="C668" s="129" t="s">
        <v>1650</v>
      </c>
      <c r="D668" s="129" t="s">
        <v>1516</v>
      </c>
      <c r="E668" s="169"/>
      <c r="F668" s="253">
        <v>1000</v>
      </c>
    </row>
    <row r="669" spans="1:6" ht="15.6" x14ac:dyDescent="0.3">
      <c r="A669" s="127">
        <v>878</v>
      </c>
      <c r="B669" s="128">
        <v>43644</v>
      </c>
      <c r="C669" s="129" t="s">
        <v>50</v>
      </c>
      <c r="D669" s="129" t="s">
        <v>1527</v>
      </c>
      <c r="E669" s="169"/>
      <c r="F669" s="253">
        <v>25200</v>
      </c>
    </row>
    <row r="670" spans="1:6" ht="15.6" x14ac:dyDescent="0.3">
      <c r="A670" s="127">
        <v>879</v>
      </c>
      <c r="B670" s="128">
        <v>43644</v>
      </c>
      <c r="C670" s="129" t="s">
        <v>1531</v>
      </c>
      <c r="D670" s="129" t="s">
        <v>1521</v>
      </c>
      <c r="E670" s="169"/>
      <c r="F670" s="253">
        <v>600</v>
      </c>
    </row>
    <row r="671" spans="1:6" ht="15.6" x14ac:dyDescent="0.3">
      <c r="A671" s="127">
        <v>880</v>
      </c>
      <c r="B671" s="128">
        <v>43645</v>
      </c>
      <c r="C671" s="129" t="s">
        <v>1650</v>
      </c>
      <c r="D671" s="129" t="s">
        <v>1516</v>
      </c>
      <c r="E671" s="169"/>
      <c r="F671" s="253">
        <v>250</v>
      </c>
    </row>
    <row r="672" spans="1:6" ht="15.6" x14ac:dyDescent="0.3">
      <c r="A672" s="127">
        <v>881</v>
      </c>
      <c r="B672" s="128">
        <v>43645</v>
      </c>
      <c r="C672" s="133" t="s">
        <v>1663</v>
      </c>
      <c r="D672" s="133" t="s">
        <v>1520</v>
      </c>
      <c r="E672" s="169">
        <v>200000</v>
      </c>
      <c r="F672" s="254"/>
    </row>
    <row r="673" spans="1:6" ht="15.6" x14ac:dyDescent="0.3">
      <c r="A673" s="127">
        <v>882</v>
      </c>
      <c r="B673" s="128">
        <v>43646</v>
      </c>
      <c r="C673" s="129" t="s">
        <v>1548</v>
      </c>
      <c r="D673" s="129" t="s">
        <v>1526</v>
      </c>
      <c r="E673" s="169"/>
      <c r="F673" s="253">
        <v>10000</v>
      </c>
    </row>
    <row r="674" spans="1:6" ht="15.6" x14ac:dyDescent="0.3">
      <c r="A674" s="127">
        <v>883</v>
      </c>
      <c r="B674" s="128">
        <v>43647</v>
      </c>
      <c r="C674" s="133" t="s">
        <v>1622</v>
      </c>
      <c r="D674" s="133" t="s">
        <v>1520</v>
      </c>
      <c r="E674" s="169">
        <v>30000</v>
      </c>
      <c r="F674" s="254"/>
    </row>
    <row r="675" spans="1:6" ht="15.6" x14ac:dyDescent="0.3">
      <c r="A675" s="127">
        <v>884</v>
      </c>
      <c r="B675" s="128">
        <v>43647</v>
      </c>
      <c r="C675" s="129" t="s">
        <v>1548</v>
      </c>
      <c r="D675" s="129" t="s">
        <v>1526</v>
      </c>
      <c r="E675" s="169"/>
      <c r="F675" s="253">
        <v>30000</v>
      </c>
    </row>
    <row r="676" spans="1:6" ht="15.6" x14ac:dyDescent="0.3">
      <c r="A676" s="127">
        <v>885</v>
      </c>
      <c r="B676" s="128">
        <v>43648</v>
      </c>
      <c r="C676" s="129" t="s">
        <v>113</v>
      </c>
      <c r="D676" s="129" t="s">
        <v>1529</v>
      </c>
      <c r="E676" s="169"/>
      <c r="F676" s="253">
        <v>10000</v>
      </c>
    </row>
    <row r="677" spans="1:6" ht="15.6" x14ac:dyDescent="0.3">
      <c r="A677" s="127">
        <v>886</v>
      </c>
      <c r="B677" s="128">
        <v>43648</v>
      </c>
      <c r="C677" s="129" t="s">
        <v>1664</v>
      </c>
      <c r="D677" s="129" t="s">
        <v>1516</v>
      </c>
      <c r="E677" s="169"/>
      <c r="F677" s="253">
        <v>12400</v>
      </c>
    </row>
    <row r="678" spans="1:6" ht="15.6" x14ac:dyDescent="0.3">
      <c r="A678" s="127">
        <v>887</v>
      </c>
      <c r="B678" s="128">
        <v>43649</v>
      </c>
      <c r="C678" s="129" t="s">
        <v>1548</v>
      </c>
      <c r="D678" s="129" t="s">
        <v>1526</v>
      </c>
      <c r="E678" s="169"/>
      <c r="F678" s="253">
        <v>20000</v>
      </c>
    </row>
    <row r="679" spans="1:6" ht="15.6" x14ac:dyDescent="0.3">
      <c r="A679" s="127">
        <v>888</v>
      </c>
      <c r="B679" s="128">
        <v>43649</v>
      </c>
      <c r="C679" s="129" t="s">
        <v>1665</v>
      </c>
      <c r="D679" s="129" t="s">
        <v>1516</v>
      </c>
      <c r="E679" s="169"/>
      <c r="F679" s="253">
        <v>16850</v>
      </c>
    </row>
    <row r="680" spans="1:6" ht="15.6" x14ac:dyDescent="0.3">
      <c r="A680" s="127">
        <v>889</v>
      </c>
      <c r="B680" s="128">
        <v>43649</v>
      </c>
      <c r="C680" s="129" t="s">
        <v>42</v>
      </c>
      <c r="D680" s="129" t="s">
        <v>1521</v>
      </c>
      <c r="E680" s="169"/>
      <c r="F680" s="253">
        <v>50</v>
      </c>
    </row>
    <row r="681" spans="1:6" ht="15.6" x14ac:dyDescent="0.3">
      <c r="A681" s="127">
        <v>890</v>
      </c>
      <c r="B681" s="128">
        <v>43650</v>
      </c>
      <c r="C681" s="129" t="s">
        <v>1548</v>
      </c>
      <c r="D681" s="129" t="s">
        <v>1526</v>
      </c>
      <c r="E681" s="169"/>
      <c r="F681" s="253">
        <v>2000</v>
      </c>
    </row>
    <row r="682" spans="1:6" ht="15.6" x14ac:dyDescent="0.3">
      <c r="A682" s="127">
        <v>891</v>
      </c>
      <c r="B682" s="128">
        <v>43650</v>
      </c>
      <c r="C682" s="129" t="s">
        <v>42</v>
      </c>
      <c r="D682" s="129" t="s">
        <v>1521</v>
      </c>
      <c r="E682" s="169"/>
      <c r="F682" s="253">
        <v>50</v>
      </c>
    </row>
    <row r="683" spans="1:6" ht="15.6" x14ac:dyDescent="0.3">
      <c r="A683" s="127">
        <v>892</v>
      </c>
      <c r="B683" s="128">
        <v>43650</v>
      </c>
      <c r="C683" s="129" t="s">
        <v>223</v>
      </c>
      <c r="D683" s="129" t="s">
        <v>1521</v>
      </c>
      <c r="E683" s="169"/>
      <c r="F683" s="253">
        <v>300</v>
      </c>
    </row>
    <row r="684" spans="1:6" ht="15.6" x14ac:dyDescent="0.3">
      <c r="A684" s="127">
        <v>893</v>
      </c>
      <c r="B684" s="128">
        <v>43652</v>
      </c>
      <c r="C684" s="129" t="s">
        <v>1548</v>
      </c>
      <c r="D684" s="129" t="s">
        <v>1526</v>
      </c>
      <c r="E684" s="169"/>
      <c r="F684" s="253">
        <v>5000</v>
      </c>
    </row>
    <row r="685" spans="1:6" ht="15.6" x14ac:dyDescent="0.3">
      <c r="A685" s="127">
        <v>894</v>
      </c>
      <c r="B685" s="128">
        <v>43652</v>
      </c>
      <c r="C685" s="129" t="s">
        <v>1666</v>
      </c>
      <c r="D685" s="129" t="s">
        <v>1516</v>
      </c>
      <c r="E685" s="169"/>
      <c r="F685" s="253">
        <v>1500</v>
      </c>
    </row>
    <row r="686" spans="1:6" ht="15.6" x14ac:dyDescent="0.3">
      <c r="A686" s="127">
        <v>895</v>
      </c>
      <c r="B686" s="128">
        <v>43652</v>
      </c>
      <c r="C686" s="129" t="s">
        <v>225</v>
      </c>
      <c r="D686" s="129" t="s">
        <v>1521</v>
      </c>
      <c r="E686" s="169"/>
      <c r="F686" s="253">
        <v>500</v>
      </c>
    </row>
    <row r="687" spans="1:6" ht="15.6" x14ac:dyDescent="0.3">
      <c r="A687" s="127">
        <v>896</v>
      </c>
      <c r="B687" s="128">
        <v>43652</v>
      </c>
      <c r="C687" s="129" t="s">
        <v>113</v>
      </c>
      <c r="D687" s="129" t="s">
        <v>1529</v>
      </c>
      <c r="E687" s="169"/>
      <c r="F687" s="253">
        <v>20000</v>
      </c>
    </row>
    <row r="688" spans="1:6" ht="15.6" x14ac:dyDescent="0.3">
      <c r="A688" s="127">
        <v>897</v>
      </c>
      <c r="B688" s="128">
        <v>43653</v>
      </c>
      <c r="C688" s="129" t="s">
        <v>1701</v>
      </c>
      <c r="D688" s="129" t="s">
        <v>1526</v>
      </c>
      <c r="E688" s="169"/>
      <c r="F688" s="253">
        <v>12000</v>
      </c>
    </row>
    <row r="689" spans="1:6" ht="15.6" x14ac:dyDescent="0.3">
      <c r="A689" s="127">
        <v>898</v>
      </c>
      <c r="B689" s="128">
        <v>43654</v>
      </c>
      <c r="C689" s="129" t="s">
        <v>1548</v>
      </c>
      <c r="D689" s="129" t="s">
        <v>1526</v>
      </c>
      <c r="E689" s="169"/>
      <c r="F689" s="253">
        <v>6000</v>
      </c>
    </row>
    <row r="690" spans="1:6" ht="15.6" x14ac:dyDescent="0.3">
      <c r="A690" s="127">
        <v>899</v>
      </c>
      <c r="B690" s="128">
        <v>43654</v>
      </c>
      <c r="C690" s="129" t="s">
        <v>1666</v>
      </c>
      <c r="D690" s="129" t="s">
        <v>1516</v>
      </c>
      <c r="E690" s="169"/>
      <c r="F690" s="253">
        <v>1500</v>
      </c>
    </row>
    <row r="691" spans="1:6" ht="15.6" x14ac:dyDescent="0.3">
      <c r="A691" s="127">
        <v>900</v>
      </c>
      <c r="B691" s="128">
        <v>43654</v>
      </c>
      <c r="C691" s="129" t="s">
        <v>1667</v>
      </c>
      <c r="D691" s="129" t="s">
        <v>1523</v>
      </c>
      <c r="E691" s="169"/>
      <c r="F691" s="253">
        <v>50000</v>
      </c>
    </row>
    <row r="692" spans="1:6" ht="15.6" x14ac:dyDescent="0.3">
      <c r="A692" s="127">
        <v>901</v>
      </c>
      <c r="B692" s="128">
        <v>43655</v>
      </c>
      <c r="C692" s="133" t="s">
        <v>1622</v>
      </c>
      <c r="D692" s="133" t="s">
        <v>1520</v>
      </c>
      <c r="E692" s="169">
        <v>100000</v>
      </c>
      <c r="F692" s="254"/>
    </row>
    <row r="693" spans="1:6" ht="15.6" x14ac:dyDescent="0.3">
      <c r="A693" s="127">
        <v>902</v>
      </c>
      <c r="B693" s="128">
        <v>43655</v>
      </c>
      <c r="C693" s="129" t="s">
        <v>1666</v>
      </c>
      <c r="D693" s="129" t="s">
        <v>1516</v>
      </c>
      <c r="E693" s="169"/>
      <c r="F693" s="253">
        <v>1500</v>
      </c>
    </row>
    <row r="694" spans="1:6" ht="15.6" x14ac:dyDescent="0.3">
      <c r="A694" s="127">
        <v>903</v>
      </c>
      <c r="B694" s="128">
        <v>43655</v>
      </c>
      <c r="C694" s="129" t="s">
        <v>1548</v>
      </c>
      <c r="D694" s="129" t="s">
        <v>1526</v>
      </c>
      <c r="E694" s="169"/>
      <c r="F694" s="253">
        <v>40000</v>
      </c>
    </row>
    <row r="695" spans="1:6" ht="15.6" x14ac:dyDescent="0.3">
      <c r="A695" s="127">
        <v>904</v>
      </c>
      <c r="B695" s="128">
        <v>43655</v>
      </c>
      <c r="C695" s="130" t="s">
        <v>1668</v>
      </c>
      <c r="D695" s="130" t="s">
        <v>1530</v>
      </c>
      <c r="E695" s="169"/>
      <c r="F695" s="253">
        <v>40000</v>
      </c>
    </row>
    <row r="696" spans="1:6" ht="15.6" x14ac:dyDescent="0.3">
      <c r="A696" s="127">
        <v>905</v>
      </c>
      <c r="B696" s="128">
        <v>43655</v>
      </c>
      <c r="C696" s="129" t="s">
        <v>1650</v>
      </c>
      <c r="D696" s="129" t="s">
        <v>1516</v>
      </c>
      <c r="E696" s="169"/>
      <c r="F696" s="253">
        <v>5000</v>
      </c>
    </row>
    <row r="697" spans="1:6" ht="15.6" x14ac:dyDescent="0.3">
      <c r="A697" s="127">
        <v>906</v>
      </c>
      <c r="B697" s="128">
        <v>43655</v>
      </c>
      <c r="C697" s="129" t="s">
        <v>1669</v>
      </c>
      <c r="D697" s="129" t="s">
        <v>1517</v>
      </c>
      <c r="E697" s="169"/>
      <c r="F697" s="253">
        <v>60000</v>
      </c>
    </row>
    <row r="698" spans="1:6" ht="15.6" x14ac:dyDescent="0.3">
      <c r="A698" s="127">
        <v>907</v>
      </c>
      <c r="B698" s="128">
        <v>43657</v>
      </c>
      <c r="C698" s="129" t="s">
        <v>1548</v>
      </c>
      <c r="D698" s="129" t="s">
        <v>1526</v>
      </c>
      <c r="E698" s="169"/>
      <c r="F698" s="253">
        <v>11000</v>
      </c>
    </row>
    <row r="699" spans="1:6" ht="15.6" x14ac:dyDescent="0.3">
      <c r="A699" s="127">
        <v>908</v>
      </c>
      <c r="B699" s="128">
        <v>43657</v>
      </c>
      <c r="C699" s="129" t="s">
        <v>1666</v>
      </c>
      <c r="D699" s="129" t="s">
        <v>1516</v>
      </c>
      <c r="E699" s="169"/>
      <c r="F699" s="253">
        <v>3000</v>
      </c>
    </row>
    <row r="700" spans="1:6" ht="15.6" x14ac:dyDescent="0.3">
      <c r="A700" s="127">
        <v>909</v>
      </c>
      <c r="B700" s="128">
        <v>43658</v>
      </c>
      <c r="C700" s="129" t="s">
        <v>1548</v>
      </c>
      <c r="D700" s="129" t="s">
        <v>1526</v>
      </c>
      <c r="E700" s="169"/>
      <c r="F700" s="253">
        <v>14000</v>
      </c>
    </row>
    <row r="701" spans="1:6" ht="15.6" x14ac:dyDescent="0.3">
      <c r="A701" s="127">
        <v>910</v>
      </c>
      <c r="B701" s="128">
        <v>43658</v>
      </c>
      <c r="C701" s="129" t="s">
        <v>1666</v>
      </c>
      <c r="D701" s="129" t="s">
        <v>1516</v>
      </c>
      <c r="E701" s="169"/>
      <c r="F701" s="253">
        <v>5000</v>
      </c>
    </row>
    <row r="702" spans="1:6" ht="15.6" x14ac:dyDescent="0.3">
      <c r="A702" s="127">
        <v>911</v>
      </c>
      <c r="B702" s="128">
        <v>43659</v>
      </c>
      <c r="C702" s="129" t="s">
        <v>1548</v>
      </c>
      <c r="D702" s="129" t="s">
        <v>1526</v>
      </c>
      <c r="E702" s="169"/>
      <c r="F702" s="253">
        <v>10000</v>
      </c>
    </row>
    <row r="703" spans="1:6" ht="15.6" x14ac:dyDescent="0.3">
      <c r="A703" s="127">
        <v>912</v>
      </c>
      <c r="B703" s="128">
        <v>43659</v>
      </c>
      <c r="C703" s="129" t="s">
        <v>1666</v>
      </c>
      <c r="D703" s="129" t="s">
        <v>1516</v>
      </c>
      <c r="E703" s="169"/>
      <c r="F703" s="253">
        <v>1500</v>
      </c>
    </row>
    <row r="704" spans="1:6" ht="15.6" x14ac:dyDescent="0.3">
      <c r="A704" s="127">
        <v>913</v>
      </c>
      <c r="B704" s="128">
        <v>43659</v>
      </c>
      <c r="C704" s="133" t="s">
        <v>1670</v>
      </c>
      <c r="D704" s="133" t="s">
        <v>1520</v>
      </c>
      <c r="E704" s="169">
        <v>100000</v>
      </c>
      <c r="F704" s="254"/>
    </row>
    <row r="705" spans="1:6" ht="15.6" x14ac:dyDescent="0.3">
      <c r="A705" s="127">
        <v>914</v>
      </c>
      <c r="B705" s="128">
        <v>43660</v>
      </c>
      <c r="C705" s="129" t="s">
        <v>1548</v>
      </c>
      <c r="D705" s="129" t="s">
        <v>1526</v>
      </c>
      <c r="E705" s="169"/>
      <c r="F705" s="253">
        <v>20000</v>
      </c>
    </row>
    <row r="706" spans="1:6" ht="15.6" x14ac:dyDescent="0.3">
      <c r="A706" s="127">
        <v>915</v>
      </c>
      <c r="B706" s="128">
        <v>43660</v>
      </c>
      <c r="C706" s="129" t="s">
        <v>113</v>
      </c>
      <c r="D706" s="129" t="s">
        <v>1529</v>
      </c>
      <c r="E706" s="169"/>
      <c r="F706" s="253">
        <v>20000</v>
      </c>
    </row>
    <row r="707" spans="1:6" ht="15.6" x14ac:dyDescent="0.3">
      <c r="A707" s="127">
        <v>916</v>
      </c>
      <c r="B707" s="128">
        <v>43660</v>
      </c>
      <c r="C707" s="129" t="s">
        <v>1666</v>
      </c>
      <c r="D707" s="129" t="s">
        <v>1516</v>
      </c>
      <c r="E707" s="169"/>
      <c r="F707" s="253">
        <v>1500</v>
      </c>
    </row>
    <row r="708" spans="1:6" ht="15.6" x14ac:dyDescent="0.3">
      <c r="A708" s="127">
        <v>917</v>
      </c>
      <c r="B708" s="128">
        <v>43662</v>
      </c>
      <c r="C708" s="129" t="s">
        <v>113</v>
      </c>
      <c r="D708" s="129" t="s">
        <v>1529</v>
      </c>
      <c r="E708" s="169"/>
      <c r="F708" s="253">
        <v>20000</v>
      </c>
    </row>
    <row r="709" spans="1:6" ht="15.6" x14ac:dyDescent="0.3">
      <c r="A709" s="127">
        <v>918</v>
      </c>
      <c r="B709" s="128">
        <v>43662</v>
      </c>
      <c r="C709" s="129" t="s">
        <v>1666</v>
      </c>
      <c r="D709" s="129" t="s">
        <v>1516</v>
      </c>
      <c r="E709" s="169"/>
      <c r="F709" s="253">
        <v>1500</v>
      </c>
    </row>
    <row r="710" spans="1:6" ht="15.6" x14ac:dyDescent="0.3">
      <c r="A710" s="127">
        <v>919</v>
      </c>
      <c r="B710" s="128">
        <v>43662</v>
      </c>
      <c r="C710" s="129" t="s">
        <v>1548</v>
      </c>
      <c r="D710" s="129" t="s">
        <v>1526</v>
      </c>
      <c r="E710" s="169"/>
      <c r="F710" s="253">
        <v>20000</v>
      </c>
    </row>
    <row r="711" spans="1:6" ht="15.6" x14ac:dyDescent="0.3">
      <c r="A711" s="127">
        <v>920</v>
      </c>
      <c r="B711" s="128">
        <v>43662</v>
      </c>
      <c r="C711" s="129" t="s">
        <v>1650</v>
      </c>
      <c r="D711" s="129" t="s">
        <v>1516</v>
      </c>
      <c r="E711" s="169"/>
      <c r="F711" s="253">
        <v>2000</v>
      </c>
    </row>
    <row r="712" spans="1:6" ht="15.6" x14ac:dyDescent="0.3">
      <c r="A712" s="127">
        <v>921</v>
      </c>
      <c r="B712" s="128">
        <v>43663</v>
      </c>
      <c r="C712" s="129" t="s">
        <v>1666</v>
      </c>
      <c r="D712" s="129" t="s">
        <v>1516</v>
      </c>
      <c r="E712" s="169"/>
      <c r="F712" s="253">
        <v>9000</v>
      </c>
    </row>
    <row r="713" spans="1:6" ht="15.6" x14ac:dyDescent="0.3">
      <c r="A713" s="127">
        <v>922</v>
      </c>
      <c r="B713" s="128">
        <v>43663</v>
      </c>
      <c r="C713" s="129" t="s">
        <v>1548</v>
      </c>
      <c r="D713" s="129" t="s">
        <v>1526</v>
      </c>
      <c r="E713" s="169"/>
      <c r="F713" s="253">
        <v>20000</v>
      </c>
    </row>
    <row r="714" spans="1:6" ht="15.6" x14ac:dyDescent="0.3">
      <c r="A714" s="127">
        <v>923</v>
      </c>
      <c r="B714" s="128">
        <v>43664</v>
      </c>
      <c r="C714" s="129" t="s">
        <v>1548</v>
      </c>
      <c r="D714" s="129" t="s">
        <v>1526</v>
      </c>
      <c r="E714" s="169"/>
      <c r="F714" s="253">
        <v>12000</v>
      </c>
    </row>
    <row r="715" spans="1:6" ht="15.6" x14ac:dyDescent="0.3">
      <c r="A715" s="127">
        <v>924</v>
      </c>
      <c r="B715" s="128">
        <v>43665</v>
      </c>
      <c r="C715" s="129" t="s">
        <v>1548</v>
      </c>
      <c r="D715" s="129" t="s">
        <v>1526</v>
      </c>
      <c r="E715" s="169"/>
      <c r="F715" s="253">
        <v>12000</v>
      </c>
    </row>
    <row r="716" spans="1:6" ht="15.6" x14ac:dyDescent="0.3">
      <c r="A716" s="127">
        <v>925</v>
      </c>
      <c r="B716" s="128">
        <v>43665</v>
      </c>
      <c r="C716" s="129" t="s">
        <v>1666</v>
      </c>
      <c r="D716" s="129" t="s">
        <v>1516</v>
      </c>
      <c r="E716" s="169"/>
      <c r="F716" s="253">
        <v>1500</v>
      </c>
    </row>
    <row r="717" spans="1:6" ht="15.6" x14ac:dyDescent="0.3">
      <c r="A717" s="127">
        <v>926</v>
      </c>
      <c r="B717" s="128">
        <v>43668</v>
      </c>
      <c r="C717" s="129" t="s">
        <v>1650</v>
      </c>
      <c r="D717" s="129" t="s">
        <v>1516</v>
      </c>
      <c r="E717" s="169"/>
      <c r="F717" s="253">
        <v>5000</v>
      </c>
    </row>
    <row r="718" spans="1:6" ht="15.6" x14ac:dyDescent="0.3">
      <c r="A718" s="127">
        <v>927</v>
      </c>
      <c r="B718" s="128">
        <v>43668</v>
      </c>
      <c r="C718" s="133" t="s">
        <v>1671</v>
      </c>
      <c r="D718" s="133" t="s">
        <v>1520</v>
      </c>
      <c r="E718" s="169">
        <v>80000</v>
      </c>
      <c r="F718" s="254"/>
    </row>
    <row r="719" spans="1:6" ht="15.6" x14ac:dyDescent="0.3">
      <c r="A719" s="127">
        <v>928</v>
      </c>
      <c r="B719" s="128">
        <v>43668</v>
      </c>
      <c r="C719" s="129" t="s">
        <v>1548</v>
      </c>
      <c r="D719" s="129" t="s">
        <v>1526</v>
      </c>
      <c r="E719" s="169"/>
      <c r="F719" s="253">
        <v>40000</v>
      </c>
    </row>
    <row r="720" spans="1:6" ht="15.6" x14ac:dyDescent="0.3">
      <c r="A720" s="127">
        <v>929</v>
      </c>
      <c r="B720" s="128">
        <v>43668</v>
      </c>
      <c r="C720" s="129" t="s">
        <v>113</v>
      </c>
      <c r="D720" s="129" t="s">
        <v>1529</v>
      </c>
      <c r="E720" s="169"/>
      <c r="F720" s="253">
        <v>40000</v>
      </c>
    </row>
    <row r="721" spans="1:6" ht="15.6" x14ac:dyDescent="0.3">
      <c r="A721" s="127">
        <v>930</v>
      </c>
      <c r="B721" s="128">
        <v>43671</v>
      </c>
      <c r="C721" s="133" t="s">
        <v>1622</v>
      </c>
      <c r="D721" s="133" t="s">
        <v>1520</v>
      </c>
      <c r="E721" s="169">
        <v>50000</v>
      </c>
      <c r="F721" s="254"/>
    </row>
    <row r="722" spans="1:6" ht="15.6" x14ac:dyDescent="0.3">
      <c r="A722" s="127">
        <v>931</v>
      </c>
      <c r="B722" s="128">
        <v>43671</v>
      </c>
      <c r="C722" s="129" t="s">
        <v>1548</v>
      </c>
      <c r="D722" s="129" t="s">
        <v>1526</v>
      </c>
      <c r="E722" s="169"/>
      <c r="F722" s="253">
        <v>40000</v>
      </c>
    </row>
    <row r="723" spans="1:6" ht="15.6" x14ac:dyDescent="0.3">
      <c r="A723" s="127">
        <v>932</v>
      </c>
      <c r="B723" s="128">
        <v>43671</v>
      </c>
      <c r="C723" s="129" t="s">
        <v>113</v>
      </c>
      <c r="D723" s="129" t="s">
        <v>1529</v>
      </c>
      <c r="E723" s="169"/>
      <c r="F723" s="253">
        <v>20000</v>
      </c>
    </row>
    <row r="724" spans="1:6" ht="15.6" x14ac:dyDescent="0.3">
      <c r="A724" s="127">
        <v>933</v>
      </c>
      <c r="B724" s="128">
        <v>43674</v>
      </c>
      <c r="C724" s="129" t="s">
        <v>1650</v>
      </c>
      <c r="D724" s="129" t="s">
        <v>1516</v>
      </c>
      <c r="E724" s="169"/>
      <c r="F724" s="253">
        <v>1000</v>
      </c>
    </row>
    <row r="725" spans="1:6" ht="15.6" x14ac:dyDescent="0.3">
      <c r="A725" s="127">
        <v>934</v>
      </c>
      <c r="B725" s="128">
        <v>43676</v>
      </c>
      <c r="C725" s="129" t="s">
        <v>1548</v>
      </c>
      <c r="D725" s="129" t="s">
        <v>1526</v>
      </c>
      <c r="E725" s="169"/>
      <c r="F725" s="253">
        <v>10000</v>
      </c>
    </row>
    <row r="726" spans="1:6" ht="15.6" x14ac:dyDescent="0.3">
      <c r="A726" s="127">
        <v>935</v>
      </c>
      <c r="B726" s="128">
        <v>43678</v>
      </c>
      <c r="C726" s="133" t="s">
        <v>1622</v>
      </c>
      <c r="D726" s="133" t="s">
        <v>1520</v>
      </c>
      <c r="E726" s="169">
        <v>150000</v>
      </c>
      <c r="F726" s="254"/>
    </row>
    <row r="727" spans="1:6" ht="15.6" x14ac:dyDescent="0.3">
      <c r="A727" s="127">
        <v>936</v>
      </c>
      <c r="B727" s="128">
        <v>43678</v>
      </c>
      <c r="C727" s="129" t="s">
        <v>1548</v>
      </c>
      <c r="D727" s="129" t="s">
        <v>1526</v>
      </c>
      <c r="E727" s="169"/>
      <c r="F727" s="253">
        <v>100000</v>
      </c>
    </row>
    <row r="728" spans="1:6" ht="15.6" x14ac:dyDescent="0.3">
      <c r="A728" s="127">
        <v>937</v>
      </c>
      <c r="B728" s="128">
        <v>43678</v>
      </c>
      <c r="C728" s="129" t="s">
        <v>1672</v>
      </c>
      <c r="D728" s="129" t="s">
        <v>1516</v>
      </c>
      <c r="E728" s="169"/>
      <c r="F728" s="253">
        <v>15500</v>
      </c>
    </row>
    <row r="729" spans="1:6" ht="15.6" x14ac:dyDescent="0.3">
      <c r="A729" s="127">
        <v>938</v>
      </c>
      <c r="B729" s="128">
        <v>43678</v>
      </c>
      <c r="C729" s="129" t="s">
        <v>1673</v>
      </c>
      <c r="D729" s="129" t="s">
        <v>1516</v>
      </c>
      <c r="E729" s="169"/>
      <c r="F729" s="253">
        <v>1350</v>
      </c>
    </row>
    <row r="730" spans="1:6" ht="15.6" x14ac:dyDescent="0.3">
      <c r="A730" s="127">
        <v>939</v>
      </c>
      <c r="B730" s="128">
        <v>43678</v>
      </c>
      <c r="C730" s="129" t="s">
        <v>1674</v>
      </c>
      <c r="D730" s="129" t="s">
        <v>1516</v>
      </c>
      <c r="E730" s="169"/>
      <c r="F730" s="253">
        <v>900</v>
      </c>
    </row>
    <row r="731" spans="1:6" ht="15.6" x14ac:dyDescent="0.3">
      <c r="A731" s="127">
        <v>940</v>
      </c>
      <c r="B731" s="128">
        <v>43678</v>
      </c>
      <c r="C731" s="129" t="s">
        <v>1675</v>
      </c>
      <c r="D731" s="129" t="s">
        <v>1516</v>
      </c>
      <c r="E731" s="169"/>
      <c r="F731" s="253">
        <v>4500</v>
      </c>
    </row>
    <row r="732" spans="1:6" ht="15.6" x14ac:dyDescent="0.3">
      <c r="A732" s="127">
        <v>941</v>
      </c>
      <c r="B732" s="128">
        <v>43678</v>
      </c>
      <c r="C732" s="129" t="s">
        <v>1676</v>
      </c>
      <c r="D732" s="129" t="s">
        <v>1516</v>
      </c>
      <c r="E732" s="169"/>
      <c r="F732" s="253">
        <v>2700</v>
      </c>
    </row>
    <row r="733" spans="1:6" ht="15.6" x14ac:dyDescent="0.3">
      <c r="A733" s="127">
        <v>942</v>
      </c>
      <c r="B733" s="128">
        <v>43678</v>
      </c>
      <c r="C733" s="129" t="s">
        <v>236</v>
      </c>
      <c r="D733" s="129" t="s">
        <v>1516</v>
      </c>
      <c r="E733" s="169"/>
      <c r="F733" s="253">
        <v>5400</v>
      </c>
    </row>
    <row r="734" spans="1:6" ht="15.6" x14ac:dyDescent="0.3">
      <c r="A734" s="127">
        <v>943</v>
      </c>
      <c r="B734" s="128">
        <v>43679</v>
      </c>
      <c r="C734" s="129" t="s">
        <v>1650</v>
      </c>
      <c r="D734" s="129" t="s">
        <v>1516</v>
      </c>
      <c r="E734" s="169"/>
      <c r="F734" s="253">
        <v>500</v>
      </c>
    </row>
    <row r="735" spans="1:6" ht="15.6" x14ac:dyDescent="0.3">
      <c r="A735" s="127">
        <v>944</v>
      </c>
      <c r="B735" s="128">
        <v>43682</v>
      </c>
      <c r="C735" s="133" t="s">
        <v>1677</v>
      </c>
      <c r="D735" s="133" t="s">
        <v>1520</v>
      </c>
      <c r="E735" s="169">
        <v>200000</v>
      </c>
      <c r="F735" s="254"/>
    </row>
    <row r="736" spans="1:6" ht="15.6" x14ac:dyDescent="0.3">
      <c r="A736" s="127">
        <v>945</v>
      </c>
      <c r="B736" s="128">
        <v>43682</v>
      </c>
      <c r="C736" s="129" t="s">
        <v>113</v>
      </c>
      <c r="D736" s="129" t="s">
        <v>1529</v>
      </c>
      <c r="E736" s="169"/>
      <c r="F736" s="253">
        <v>80000</v>
      </c>
    </row>
    <row r="737" spans="1:6" ht="15.6" x14ac:dyDescent="0.3">
      <c r="A737" s="127">
        <v>946</v>
      </c>
      <c r="B737" s="128">
        <v>43682</v>
      </c>
      <c r="C737" s="129" t="s">
        <v>1548</v>
      </c>
      <c r="D737" s="129" t="s">
        <v>1526</v>
      </c>
      <c r="E737" s="169"/>
      <c r="F737" s="253">
        <v>70000</v>
      </c>
    </row>
    <row r="738" spans="1:6" ht="15.6" x14ac:dyDescent="0.3">
      <c r="A738" s="127">
        <v>947</v>
      </c>
      <c r="B738" s="128">
        <v>43682</v>
      </c>
      <c r="C738" s="129" t="s">
        <v>1678</v>
      </c>
      <c r="D738" s="129" t="s">
        <v>1523</v>
      </c>
      <c r="E738" s="169"/>
      <c r="F738" s="253">
        <v>40000</v>
      </c>
    </row>
    <row r="739" spans="1:6" ht="15.6" x14ac:dyDescent="0.3">
      <c r="A739" s="127">
        <v>948</v>
      </c>
      <c r="B739" s="128">
        <v>43684</v>
      </c>
      <c r="C739" s="129" t="s">
        <v>119</v>
      </c>
      <c r="D739" s="129" t="s">
        <v>1521</v>
      </c>
      <c r="E739" s="169"/>
      <c r="F739" s="253">
        <v>200</v>
      </c>
    </row>
    <row r="740" spans="1:6" ht="15.6" x14ac:dyDescent="0.3">
      <c r="A740" s="127">
        <v>949</v>
      </c>
      <c r="B740" s="128">
        <v>43684</v>
      </c>
      <c r="C740" s="129" t="s">
        <v>239</v>
      </c>
      <c r="D740" s="129" t="s">
        <v>1521</v>
      </c>
      <c r="E740" s="169"/>
      <c r="F740" s="253">
        <v>1660</v>
      </c>
    </row>
    <row r="741" spans="1:6" ht="15.6" x14ac:dyDescent="0.3">
      <c r="A741" s="127">
        <v>950</v>
      </c>
      <c r="B741" s="128">
        <v>43685</v>
      </c>
      <c r="C741" s="129" t="s">
        <v>1548</v>
      </c>
      <c r="D741" s="129" t="s">
        <v>1526</v>
      </c>
      <c r="E741" s="169"/>
      <c r="F741" s="253">
        <v>13000</v>
      </c>
    </row>
    <row r="742" spans="1:6" ht="15.6" x14ac:dyDescent="0.3">
      <c r="A742" s="127">
        <v>951</v>
      </c>
      <c r="B742" s="128">
        <v>43685</v>
      </c>
      <c r="C742" s="129" t="s">
        <v>1679</v>
      </c>
      <c r="D742" s="129" t="s">
        <v>1517</v>
      </c>
      <c r="E742" s="169"/>
      <c r="F742" s="253">
        <v>60000</v>
      </c>
    </row>
    <row r="743" spans="1:6" ht="15.6" x14ac:dyDescent="0.3">
      <c r="A743" s="127">
        <v>952</v>
      </c>
      <c r="B743" s="128">
        <v>43685</v>
      </c>
      <c r="C743" s="129" t="s">
        <v>69</v>
      </c>
      <c r="D743" s="129" t="s">
        <v>1524</v>
      </c>
      <c r="E743" s="169"/>
      <c r="F743" s="253">
        <v>20000</v>
      </c>
    </row>
    <row r="744" spans="1:6" ht="15.6" x14ac:dyDescent="0.3">
      <c r="A744" s="127">
        <v>953</v>
      </c>
      <c r="B744" s="128">
        <v>43687</v>
      </c>
      <c r="C744" s="129" t="s">
        <v>1650</v>
      </c>
      <c r="D744" s="129" t="s">
        <v>1516</v>
      </c>
      <c r="E744" s="169"/>
      <c r="F744" s="253">
        <v>5000</v>
      </c>
    </row>
    <row r="745" spans="1:6" ht="15.6" x14ac:dyDescent="0.3">
      <c r="A745" s="127">
        <v>954</v>
      </c>
      <c r="B745" s="128">
        <v>43687</v>
      </c>
      <c r="C745" s="129" t="s">
        <v>113</v>
      </c>
      <c r="D745" s="129" t="s">
        <v>1529</v>
      </c>
      <c r="E745" s="169"/>
      <c r="F745" s="253">
        <v>20000</v>
      </c>
    </row>
    <row r="746" spans="1:6" ht="15.6" x14ac:dyDescent="0.3">
      <c r="A746" s="127">
        <v>956</v>
      </c>
      <c r="B746" s="128">
        <v>43693</v>
      </c>
      <c r="C746" s="129" t="s">
        <v>1548</v>
      </c>
      <c r="D746" s="129" t="s">
        <v>1526</v>
      </c>
      <c r="E746" s="169"/>
      <c r="F746" s="253">
        <v>40000</v>
      </c>
    </row>
    <row r="747" spans="1:6" ht="15.6" x14ac:dyDescent="0.3">
      <c r="A747" s="127">
        <v>957</v>
      </c>
      <c r="B747" s="128">
        <v>43694</v>
      </c>
      <c r="C747" s="133" t="s">
        <v>1680</v>
      </c>
      <c r="D747" s="133" t="s">
        <v>1520</v>
      </c>
      <c r="E747" s="169">
        <v>200000</v>
      </c>
      <c r="F747" s="254"/>
    </row>
    <row r="748" spans="1:6" ht="15.6" x14ac:dyDescent="0.3">
      <c r="A748" s="127">
        <v>958</v>
      </c>
      <c r="B748" s="128">
        <v>43694</v>
      </c>
      <c r="C748" s="129" t="s">
        <v>242</v>
      </c>
      <c r="D748" s="129" t="s">
        <v>1471</v>
      </c>
      <c r="E748" s="169"/>
      <c r="F748" s="253">
        <v>4500</v>
      </c>
    </row>
    <row r="749" spans="1:6" ht="15.6" x14ac:dyDescent="0.3">
      <c r="A749" s="127">
        <v>959</v>
      </c>
      <c r="B749" s="128">
        <v>43694</v>
      </c>
      <c r="C749" s="129" t="s">
        <v>1548</v>
      </c>
      <c r="D749" s="129" t="s">
        <v>1526</v>
      </c>
      <c r="E749" s="169"/>
      <c r="F749" s="253">
        <v>100000</v>
      </c>
    </row>
    <row r="750" spans="1:6" ht="15.6" x14ac:dyDescent="0.3">
      <c r="A750" s="127">
        <v>960</v>
      </c>
      <c r="B750" s="128">
        <v>43698</v>
      </c>
      <c r="C750" s="129" t="s">
        <v>1548</v>
      </c>
      <c r="D750" s="129" t="s">
        <v>1526</v>
      </c>
      <c r="E750" s="169"/>
      <c r="F750" s="253">
        <v>25000</v>
      </c>
    </row>
    <row r="751" spans="1:6" ht="15.6" x14ac:dyDescent="0.3">
      <c r="A751" s="127">
        <v>961</v>
      </c>
      <c r="B751" s="128">
        <v>43702</v>
      </c>
      <c r="C751" s="129" t="s">
        <v>1548</v>
      </c>
      <c r="D751" s="129" t="s">
        <v>1526</v>
      </c>
      <c r="E751" s="169"/>
      <c r="F751" s="253">
        <v>10000</v>
      </c>
    </row>
    <row r="752" spans="1:6" ht="15.6" x14ac:dyDescent="0.3">
      <c r="A752" s="127">
        <v>962</v>
      </c>
      <c r="B752" s="128">
        <v>43704</v>
      </c>
      <c r="C752" s="129" t="s">
        <v>1548</v>
      </c>
      <c r="D752" s="129" t="s">
        <v>1526</v>
      </c>
      <c r="E752" s="169"/>
      <c r="F752" s="253">
        <v>25000</v>
      </c>
    </row>
    <row r="753" spans="1:6" ht="15.6" x14ac:dyDescent="0.3">
      <c r="A753" s="127">
        <v>963</v>
      </c>
      <c r="B753" s="128">
        <v>43704</v>
      </c>
      <c r="C753" s="129" t="s">
        <v>1650</v>
      </c>
      <c r="D753" s="129" t="s">
        <v>1516</v>
      </c>
      <c r="E753" s="169"/>
      <c r="F753" s="253">
        <v>1000</v>
      </c>
    </row>
    <row r="754" spans="1:6" ht="15.6" x14ac:dyDescent="0.3">
      <c r="A754" s="127">
        <v>964</v>
      </c>
      <c r="B754" s="128">
        <v>43704</v>
      </c>
      <c r="C754" s="129" t="s">
        <v>243</v>
      </c>
      <c r="D754" s="129" t="s">
        <v>1516</v>
      </c>
      <c r="E754" s="169"/>
      <c r="F754" s="253">
        <v>3000</v>
      </c>
    </row>
    <row r="755" spans="1:6" ht="15.6" x14ac:dyDescent="0.3">
      <c r="A755" s="127">
        <v>965</v>
      </c>
      <c r="B755" s="128">
        <v>43708</v>
      </c>
      <c r="C755" s="133" t="s">
        <v>1622</v>
      </c>
      <c r="D755" s="133" t="s">
        <v>1520</v>
      </c>
      <c r="E755" s="169">
        <v>20000</v>
      </c>
      <c r="F755" s="254"/>
    </row>
    <row r="756" spans="1:6" ht="15.6" x14ac:dyDescent="0.3">
      <c r="A756" s="127">
        <v>966</v>
      </c>
      <c r="B756" s="128">
        <v>43708</v>
      </c>
      <c r="C756" s="129" t="s">
        <v>1548</v>
      </c>
      <c r="D756" s="129" t="s">
        <v>1526</v>
      </c>
      <c r="E756" s="169"/>
      <c r="F756" s="253">
        <v>17000</v>
      </c>
    </row>
    <row r="757" spans="1:6" ht="15.6" x14ac:dyDescent="0.3">
      <c r="A757" s="127">
        <v>967</v>
      </c>
      <c r="B757" s="128">
        <v>43708</v>
      </c>
      <c r="C757" s="129" t="s">
        <v>244</v>
      </c>
      <c r="D757" s="129" t="s">
        <v>1516</v>
      </c>
      <c r="E757" s="169"/>
      <c r="F757" s="253">
        <v>500</v>
      </c>
    </row>
    <row r="758" spans="1:6" ht="15.6" x14ac:dyDescent="0.3">
      <c r="A758" s="127">
        <v>968</v>
      </c>
      <c r="B758" s="128">
        <v>43710</v>
      </c>
      <c r="C758" s="133" t="s">
        <v>1622</v>
      </c>
      <c r="D758" s="133" t="s">
        <v>1520</v>
      </c>
      <c r="E758" s="169">
        <v>100000</v>
      </c>
      <c r="F758" s="254"/>
    </row>
    <row r="759" spans="1:6" ht="15.6" x14ac:dyDescent="0.3">
      <c r="A759" s="127">
        <v>969</v>
      </c>
      <c r="B759" s="128">
        <v>43710</v>
      </c>
      <c r="C759" s="129" t="s">
        <v>113</v>
      </c>
      <c r="D759" s="129" t="s">
        <v>1529</v>
      </c>
      <c r="E759" s="169"/>
      <c r="F759" s="253">
        <v>30000</v>
      </c>
    </row>
    <row r="760" spans="1:6" ht="15.6" x14ac:dyDescent="0.3">
      <c r="A760" s="127">
        <v>970</v>
      </c>
      <c r="B760" s="128">
        <v>43710</v>
      </c>
      <c r="C760" s="129" t="s">
        <v>1548</v>
      </c>
      <c r="D760" s="129" t="s">
        <v>1526</v>
      </c>
      <c r="E760" s="169"/>
      <c r="F760" s="253">
        <v>60000</v>
      </c>
    </row>
    <row r="761" spans="1:6" ht="15.6" x14ac:dyDescent="0.3">
      <c r="A761" s="127">
        <v>971</v>
      </c>
      <c r="B761" s="128">
        <v>43710</v>
      </c>
      <c r="C761" s="129" t="s">
        <v>1681</v>
      </c>
      <c r="D761" s="129" t="s">
        <v>1516</v>
      </c>
      <c r="E761" s="169"/>
      <c r="F761" s="253">
        <v>9650</v>
      </c>
    </row>
    <row r="762" spans="1:6" ht="15.6" x14ac:dyDescent="0.3">
      <c r="A762" s="127">
        <v>972</v>
      </c>
      <c r="B762" s="128">
        <v>43711</v>
      </c>
      <c r="C762" s="129" t="s">
        <v>1650</v>
      </c>
      <c r="D762" s="129" t="s">
        <v>1516</v>
      </c>
      <c r="E762" s="169"/>
      <c r="F762" s="253">
        <v>1350</v>
      </c>
    </row>
    <row r="763" spans="1:6" ht="15.6" x14ac:dyDescent="0.3">
      <c r="A763" s="127">
        <v>973</v>
      </c>
      <c r="B763" s="128">
        <v>43715</v>
      </c>
      <c r="C763" s="129" t="s">
        <v>1650</v>
      </c>
      <c r="D763" s="129" t="s">
        <v>1516</v>
      </c>
      <c r="E763" s="169"/>
      <c r="F763" s="253">
        <v>2000</v>
      </c>
    </row>
    <row r="764" spans="1:6" ht="15.6" x14ac:dyDescent="0.3">
      <c r="A764" s="127">
        <v>974</v>
      </c>
      <c r="B764" s="128">
        <v>43715</v>
      </c>
      <c r="C764" s="133" t="s">
        <v>1622</v>
      </c>
      <c r="D764" s="133" t="s">
        <v>1520</v>
      </c>
      <c r="E764" s="169">
        <v>100000</v>
      </c>
      <c r="F764" s="254"/>
    </row>
    <row r="765" spans="1:6" ht="15.6" x14ac:dyDescent="0.3">
      <c r="A765" s="127">
        <v>975</v>
      </c>
      <c r="B765" s="128">
        <v>43715</v>
      </c>
      <c r="C765" s="129" t="s">
        <v>1548</v>
      </c>
      <c r="D765" s="129" t="s">
        <v>1526</v>
      </c>
      <c r="E765" s="169"/>
      <c r="F765" s="253">
        <v>100000</v>
      </c>
    </row>
    <row r="766" spans="1:6" ht="15.6" x14ac:dyDescent="0.3">
      <c r="A766" s="127">
        <v>976</v>
      </c>
      <c r="B766" s="128">
        <v>43720</v>
      </c>
      <c r="C766" s="133" t="s">
        <v>1622</v>
      </c>
      <c r="D766" s="133" t="s">
        <v>1520</v>
      </c>
      <c r="E766" s="169">
        <v>150000</v>
      </c>
      <c r="F766" s="254"/>
    </row>
    <row r="767" spans="1:6" ht="15.6" x14ac:dyDescent="0.3">
      <c r="A767" s="127">
        <v>977</v>
      </c>
      <c r="B767" s="128">
        <v>43720</v>
      </c>
      <c r="C767" s="129" t="s">
        <v>1650</v>
      </c>
      <c r="D767" s="129" t="s">
        <v>1516</v>
      </c>
      <c r="E767" s="169"/>
      <c r="F767" s="253">
        <v>5000</v>
      </c>
    </row>
    <row r="768" spans="1:6" ht="15.6" x14ac:dyDescent="0.3">
      <c r="A768" s="127">
        <v>978</v>
      </c>
      <c r="B768" s="128">
        <v>43720</v>
      </c>
      <c r="C768" s="129" t="s">
        <v>246</v>
      </c>
      <c r="D768" s="129" t="s">
        <v>1516</v>
      </c>
      <c r="E768" s="169"/>
      <c r="F768" s="253">
        <v>22000</v>
      </c>
    </row>
    <row r="769" spans="1:6" ht="15.6" x14ac:dyDescent="0.3">
      <c r="A769" s="127">
        <v>979</v>
      </c>
      <c r="B769" s="128">
        <v>43720</v>
      </c>
      <c r="C769" s="129" t="s">
        <v>1682</v>
      </c>
      <c r="D769" s="129" t="s">
        <v>1517</v>
      </c>
      <c r="E769" s="169"/>
      <c r="F769" s="253">
        <v>60000</v>
      </c>
    </row>
    <row r="770" spans="1:6" ht="15.6" x14ac:dyDescent="0.3">
      <c r="A770" s="127">
        <v>980</v>
      </c>
      <c r="B770" s="128">
        <v>43722</v>
      </c>
      <c r="C770" s="129" t="s">
        <v>1548</v>
      </c>
      <c r="D770" s="129" t="s">
        <v>1526</v>
      </c>
      <c r="E770" s="169"/>
      <c r="F770" s="253">
        <v>25000</v>
      </c>
    </row>
    <row r="771" spans="1:6" ht="15.6" x14ac:dyDescent="0.3">
      <c r="A771" s="127">
        <v>981</v>
      </c>
      <c r="B771" s="128">
        <v>43725</v>
      </c>
      <c r="C771" s="133" t="s">
        <v>1622</v>
      </c>
      <c r="D771" s="133" t="s">
        <v>1520</v>
      </c>
      <c r="E771" s="169">
        <v>50000</v>
      </c>
      <c r="F771" s="254"/>
    </row>
    <row r="772" spans="1:6" ht="15.6" x14ac:dyDescent="0.3">
      <c r="A772" s="127">
        <v>982</v>
      </c>
      <c r="B772" s="128">
        <v>43725</v>
      </c>
      <c r="C772" s="129" t="s">
        <v>1548</v>
      </c>
      <c r="D772" s="129" t="s">
        <v>1526</v>
      </c>
      <c r="E772" s="169"/>
      <c r="F772" s="253">
        <v>50000</v>
      </c>
    </row>
    <row r="773" spans="1:6" ht="15.6" x14ac:dyDescent="0.3">
      <c r="A773" s="127">
        <v>983</v>
      </c>
      <c r="B773" s="128">
        <v>43725</v>
      </c>
      <c r="C773" s="129" t="s">
        <v>119</v>
      </c>
      <c r="D773" s="129" t="s">
        <v>1521</v>
      </c>
      <c r="E773" s="169"/>
      <c r="F773" s="253">
        <v>70</v>
      </c>
    </row>
    <row r="774" spans="1:6" ht="15.6" x14ac:dyDescent="0.3">
      <c r="A774" s="127">
        <v>984</v>
      </c>
      <c r="B774" s="128">
        <v>43726</v>
      </c>
      <c r="C774" s="129" t="s">
        <v>1548</v>
      </c>
      <c r="D774" s="129" t="s">
        <v>1526</v>
      </c>
      <c r="E774" s="169"/>
      <c r="F774" s="253">
        <v>10000</v>
      </c>
    </row>
    <row r="775" spans="1:6" ht="15.6" x14ac:dyDescent="0.3">
      <c r="A775" s="127">
        <v>985</v>
      </c>
      <c r="B775" s="128">
        <v>43728</v>
      </c>
      <c r="C775" s="129" t="s">
        <v>113</v>
      </c>
      <c r="D775" s="129" t="s">
        <v>1529</v>
      </c>
      <c r="E775" s="169"/>
      <c r="F775" s="253">
        <v>30000</v>
      </c>
    </row>
    <row r="776" spans="1:6" ht="15.6" x14ac:dyDescent="0.3">
      <c r="A776" s="127">
        <v>986</v>
      </c>
      <c r="B776" s="128">
        <v>43729</v>
      </c>
      <c r="C776" s="129" t="s">
        <v>1650</v>
      </c>
      <c r="D776" s="129" t="s">
        <v>1516</v>
      </c>
      <c r="E776" s="169"/>
      <c r="F776" s="253">
        <v>2000</v>
      </c>
    </row>
    <row r="777" spans="1:6" ht="15.6" x14ac:dyDescent="0.3">
      <c r="A777" s="127">
        <v>987</v>
      </c>
      <c r="B777" s="128">
        <v>43729</v>
      </c>
      <c r="C777" s="133" t="s">
        <v>1622</v>
      </c>
      <c r="D777" s="133" t="s">
        <v>1520</v>
      </c>
      <c r="E777" s="169">
        <v>50000</v>
      </c>
      <c r="F777" s="254"/>
    </row>
    <row r="778" spans="1:6" ht="15.6" x14ac:dyDescent="0.3">
      <c r="A778" s="127">
        <v>988</v>
      </c>
      <c r="B778" s="128">
        <v>43729</v>
      </c>
      <c r="C778" s="129" t="s">
        <v>1548</v>
      </c>
      <c r="D778" s="129" t="s">
        <v>1526</v>
      </c>
      <c r="E778" s="169"/>
      <c r="F778" s="253">
        <v>30000</v>
      </c>
    </row>
    <row r="779" spans="1:6" ht="15.6" x14ac:dyDescent="0.3">
      <c r="A779" s="127">
        <v>989</v>
      </c>
      <c r="B779" s="128">
        <v>43731</v>
      </c>
      <c r="C779" s="129" t="s">
        <v>1548</v>
      </c>
      <c r="D779" s="129" t="s">
        <v>1526</v>
      </c>
      <c r="E779" s="169"/>
      <c r="F779" s="253">
        <v>15000</v>
      </c>
    </row>
    <row r="780" spans="1:6" ht="15.6" x14ac:dyDescent="0.3">
      <c r="A780" s="127">
        <v>990</v>
      </c>
      <c r="B780" s="128">
        <v>43731</v>
      </c>
      <c r="C780" s="129" t="s">
        <v>248</v>
      </c>
      <c r="D780" s="129" t="s">
        <v>1471</v>
      </c>
      <c r="E780" s="169"/>
      <c r="F780" s="253">
        <v>5000</v>
      </c>
    </row>
    <row r="781" spans="1:6" ht="15.6" x14ac:dyDescent="0.3">
      <c r="A781" s="127">
        <v>991</v>
      </c>
      <c r="B781" s="128">
        <v>43731</v>
      </c>
      <c r="C781" s="129" t="s">
        <v>119</v>
      </c>
      <c r="D781" s="129" t="s">
        <v>1521</v>
      </c>
      <c r="E781" s="169"/>
      <c r="F781" s="253">
        <v>70</v>
      </c>
    </row>
    <row r="782" spans="1:6" ht="15.6" x14ac:dyDescent="0.3">
      <c r="A782" s="127">
        <v>992</v>
      </c>
      <c r="B782" s="128">
        <v>43731</v>
      </c>
      <c r="C782" s="129" t="s">
        <v>42</v>
      </c>
      <c r="D782" s="129" t="s">
        <v>1521</v>
      </c>
      <c r="E782" s="169"/>
      <c r="F782" s="253">
        <v>100</v>
      </c>
    </row>
    <row r="783" spans="1:6" ht="15.6" x14ac:dyDescent="0.3">
      <c r="A783" s="127">
        <v>993</v>
      </c>
      <c r="B783" s="128">
        <v>43733</v>
      </c>
      <c r="C783" s="129" t="s">
        <v>248</v>
      </c>
      <c r="D783" s="129" t="s">
        <v>1471</v>
      </c>
      <c r="E783" s="169"/>
      <c r="F783" s="253">
        <v>10000</v>
      </c>
    </row>
    <row r="784" spans="1:6" ht="15.6" x14ac:dyDescent="0.3">
      <c r="A784" s="127">
        <v>994</v>
      </c>
      <c r="B784" s="128">
        <v>43733</v>
      </c>
      <c r="C784" s="133" t="s">
        <v>1622</v>
      </c>
      <c r="D784" s="133" t="s">
        <v>1520</v>
      </c>
      <c r="E784" s="169">
        <v>100000</v>
      </c>
      <c r="F784" s="254"/>
    </row>
    <row r="785" spans="1:6" ht="15.6" x14ac:dyDescent="0.3">
      <c r="A785" s="127">
        <v>995</v>
      </c>
      <c r="B785" s="128">
        <v>43734</v>
      </c>
      <c r="C785" s="129" t="s">
        <v>1548</v>
      </c>
      <c r="D785" s="129" t="s">
        <v>1526</v>
      </c>
      <c r="E785" s="169"/>
      <c r="F785" s="253">
        <v>80000</v>
      </c>
    </row>
    <row r="786" spans="1:6" ht="15.6" x14ac:dyDescent="0.3">
      <c r="A786" s="127">
        <v>996</v>
      </c>
      <c r="B786" s="128">
        <v>43734</v>
      </c>
      <c r="C786" s="129" t="s">
        <v>113</v>
      </c>
      <c r="D786" s="129" t="s">
        <v>1529</v>
      </c>
      <c r="E786" s="169"/>
      <c r="F786" s="253">
        <v>20000</v>
      </c>
    </row>
    <row r="787" spans="1:6" ht="15.6" x14ac:dyDescent="0.3">
      <c r="A787" s="127">
        <v>997</v>
      </c>
      <c r="B787" s="128">
        <v>43736</v>
      </c>
      <c r="C787" s="129" t="s">
        <v>248</v>
      </c>
      <c r="D787" s="129" t="s">
        <v>1471</v>
      </c>
      <c r="E787" s="169"/>
      <c r="F787" s="253">
        <v>5000</v>
      </c>
    </row>
    <row r="788" spans="1:6" ht="15.6" x14ac:dyDescent="0.3">
      <c r="A788" s="127">
        <v>998</v>
      </c>
      <c r="B788" s="128">
        <v>43736</v>
      </c>
      <c r="C788" s="133" t="s">
        <v>1622</v>
      </c>
      <c r="D788" s="133" t="s">
        <v>1520</v>
      </c>
      <c r="E788" s="169">
        <v>120000</v>
      </c>
      <c r="F788" s="254"/>
    </row>
    <row r="789" spans="1:6" ht="15.6" x14ac:dyDescent="0.3">
      <c r="A789" s="127">
        <v>999</v>
      </c>
      <c r="B789" s="128">
        <v>43736</v>
      </c>
      <c r="C789" s="129" t="s">
        <v>1548</v>
      </c>
      <c r="D789" s="129" t="s">
        <v>1526</v>
      </c>
      <c r="E789" s="169"/>
      <c r="F789" s="253">
        <v>10000</v>
      </c>
    </row>
    <row r="790" spans="1:6" ht="15.6" x14ac:dyDescent="0.3">
      <c r="A790" s="127">
        <v>1000</v>
      </c>
      <c r="B790" s="128">
        <v>43739</v>
      </c>
      <c r="C790" s="129" t="s">
        <v>1548</v>
      </c>
      <c r="D790" s="129" t="s">
        <v>1526</v>
      </c>
      <c r="E790" s="169"/>
      <c r="F790" s="253">
        <v>30000</v>
      </c>
    </row>
    <row r="791" spans="1:6" ht="15.6" x14ac:dyDescent="0.3">
      <c r="A791" s="127">
        <v>1001</v>
      </c>
      <c r="B791" s="128">
        <v>43739</v>
      </c>
      <c r="C791" s="129" t="s">
        <v>1650</v>
      </c>
      <c r="D791" s="129" t="s">
        <v>1516</v>
      </c>
      <c r="E791" s="169"/>
      <c r="F791" s="253">
        <v>1000</v>
      </c>
    </row>
    <row r="792" spans="1:6" ht="15.6" x14ac:dyDescent="0.3">
      <c r="A792" s="127">
        <v>1002</v>
      </c>
      <c r="B792" s="128">
        <v>43739</v>
      </c>
      <c r="C792" s="129" t="s">
        <v>113</v>
      </c>
      <c r="D792" s="129" t="s">
        <v>1529</v>
      </c>
      <c r="E792" s="169"/>
      <c r="F792" s="253">
        <v>20000</v>
      </c>
    </row>
    <row r="793" spans="1:6" ht="15.6" x14ac:dyDescent="0.3">
      <c r="A793" s="127">
        <v>1003</v>
      </c>
      <c r="B793" s="128">
        <v>43740</v>
      </c>
      <c r="C793" s="129" t="s">
        <v>42</v>
      </c>
      <c r="D793" s="129" t="s">
        <v>1521</v>
      </c>
      <c r="E793" s="169"/>
      <c r="F793" s="253">
        <v>200</v>
      </c>
    </row>
    <row r="794" spans="1:6" ht="15.6" x14ac:dyDescent="0.3">
      <c r="A794" s="127">
        <v>1004</v>
      </c>
      <c r="B794" s="128">
        <v>43740</v>
      </c>
      <c r="C794" s="129" t="s">
        <v>248</v>
      </c>
      <c r="D794" s="129" t="s">
        <v>1471</v>
      </c>
      <c r="E794" s="169"/>
      <c r="F794" s="253">
        <v>6000</v>
      </c>
    </row>
    <row r="795" spans="1:6" ht="15.6" x14ac:dyDescent="0.3">
      <c r="A795" s="127">
        <v>1005</v>
      </c>
      <c r="B795" s="128">
        <v>43740</v>
      </c>
      <c r="C795" s="129" t="s">
        <v>102</v>
      </c>
      <c r="D795" s="129" t="s">
        <v>1471</v>
      </c>
      <c r="E795" s="169"/>
      <c r="F795" s="253">
        <v>1000</v>
      </c>
    </row>
    <row r="796" spans="1:6" ht="15.6" x14ac:dyDescent="0.3">
      <c r="A796" s="127">
        <v>1006</v>
      </c>
      <c r="B796" s="128">
        <v>43740</v>
      </c>
      <c r="C796" s="133" t="s">
        <v>1622</v>
      </c>
      <c r="D796" s="133" t="s">
        <v>1520</v>
      </c>
      <c r="E796" s="169">
        <v>50000</v>
      </c>
      <c r="F796" s="254"/>
    </row>
    <row r="797" spans="1:6" ht="15.6" x14ac:dyDescent="0.3">
      <c r="A797" s="127">
        <v>1007</v>
      </c>
      <c r="B797" s="128">
        <v>43740</v>
      </c>
      <c r="C797" s="129" t="s">
        <v>119</v>
      </c>
      <c r="D797" s="129" t="s">
        <v>1521</v>
      </c>
      <c r="E797" s="169"/>
      <c r="F797" s="253">
        <v>70</v>
      </c>
    </row>
    <row r="798" spans="1:6" ht="15.6" x14ac:dyDescent="0.3">
      <c r="A798" s="127">
        <v>1008</v>
      </c>
      <c r="B798" s="128">
        <v>43740</v>
      </c>
      <c r="C798" s="130" t="s">
        <v>1668</v>
      </c>
      <c r="D798" s="130" t="s">
        <v>1530</v>
      </c>
      <c r="E798" s="169"/>
      <c r="F798" s="253">
        <v>23000</v>
      </c>
    </row>
    <row r="799" spans="1:6" ht="15.6" x14ac:dyDescent="0.3">
      <c r="A799" s="127">
        <v>1009</v>
      </c>
      <c r="B799" s="128">
        <v>43745</v>
      </c>
      <c r="C799" s="133" t="s">
        <v>1622</v>
      </c>
      <c r="D799" s="133" t="s">
        <v>1520</v>
      </c>
      <c r="E799" s="169">
        <v>30000</v>
      </c>
      <c r="F799" s="254"/>
    </row>
    <row r="800" spans="1:6" ht="15.6" x14ac:dyDescent="0.3">
      <c r="A800" s="127">
        <v>1010</v>
      </c>
      <c r="B800" s="128">
        <v>43745</v>
      </c>
      <c r="C800" s="129" t="s">
        <v>1548</v>
      </c>
      <c r="D800" s="129" t="s">
        <v>1526</v>
      </c>
      <c r="E800" s="169"/>
      <c r="F800" s="253">
        <v>30000</v>
      </c>
    </row>
    <row r="801" spans="1:6" ht="15.6" x14ac:dyDescent="0.3">
      <c r="A801" s="127">
        <v>1011</v>
      </c>
      <c r="B801" s="128">
        <v>43745</v>
      </c>
      <c r="C801" s="129" t="s">
        <v>1650</v>
      </c>
      <c r="D801" s="129" t="s">
        <v>1516</v>
      </c>
      <c r="E801" s="169"/>
      <c r="F801" s="253">
        <v>1000</v>
      </c>
    </row>
    <row r="802" spans="1:6" ht="15.6" x14ac:dyDescent="0.3">
      <c r="A802" s="127">
        <v>1012</v>
      </c>
      <c r="B802" s="128">
        <v>43745</v>
      </c>
      <c r="C802" s="129" t="s">
        <v>246</v>
      </c>
      <c r="D802" s="129" t="s">
        <v>1516</v>
      </c>
      <c r="E802" s="169"/>
      <c r="F802" s="253">
        <v>14100</v>
      </c>
    </row>
    <row r="803" spans="1:6" ht="15.6" x14ac:dyDescent="0.3">
      <c r="A803" s="127">
        <v>1013</v>
      </c>
      <c r="B803" s="128">
        <v>43746</v>
      </c>
      <c r="C803" s="129" t="s">
        <v>1683</v>
      </c>
      <c r="D803" s="129" t="s">
        <v>1516</v>
      </c>
      <c r="E803" s="169"/>
      <c r="F803" s="253">
        <v>18150</v>
      </c>
    </row>
    <row r="804" spans="1:6" ht="15.6" x14ac:dyDescent="0.3">
      <c r="A804" s="127">
        <v>1014</v>
      </c>
      <c r="B804" s="128">
        <v>43746</v>
      </c>
      <c r="C804" s="133" t="s">
        <v>1622</v>
      </c>
      <c r="D804" s="133" t="s">
        <v>1520</v>
      </c>
      <c r="E804" s="169">
        <v>100000</v>
      </c>
      <c r="F804" s="254"/>
    </row>
    <row r="805" spans="1:6" ht="15.6" x14ac:dyDescent="0.3">
      <c r="A805" s="127">
        <v>1015</v>
      </c>
      <c r="B805" s="128">
        <v>43746</v>
      </c>
      <c r="C805" s="129" t="s">
        <v>1548</v>
      </c>
      <c r="D805" s="129" t="s">
        <v>1526</v>
      </c>
      <c r="E805" s="169"/>
      <c r="F805" s="253">
        <v>80000</v>
      </c>
    </row>
    <row r="806" spans="1:6" ht="15.6" x14ac:dyDescent="0.3">
      <c r="A806" s="127">
        <v>1016</v>
      </c>
      <c r="B806" s="128">
        <v>43749</v>
      </c>
      <c r="C806" s="129" t="s">
        <v>248</v>
      </c>
      <c r="D806" s="129" t="s">
        <v>1471</v>
      </c>
      <c r="E806" s="169"/>
      <c r="F806" s="253">
        <v>10000</v>
      </c>
    </row>
    <row r="807" spans="1:6" ht="15.6" x14ac:dyDescent="0.3">
      <c r="A807" s="127">
        <v>1017</v>
      </c>
      <c r="B807" s="128">
        <v>43749</v>
      </c>
      <c r="C807" s="129" t="s">
        <v>250</v>
      </c>
      <c r="D807" s="129" t="s">
        <v>1521</v>
      </c>
      <c r="E807" s="169"/>
      <c r="F807" s="253">
        <v>750</v>
      </c>
    </row>
    <row r="808" spans="1:6" ht="15.6" x14ac:dyDescent="0.3">
      <c r="A808" s="127">
        <v>1018</v>
      </c>
      <c r="B808" s="128">
        <v>43749</v>
      </c>
      <c r="C808" s="129" t="s">
        <v>1532</v>
      </c>
      <c r="D808" s="129" t="s">
        <v>1521</v>
      </c>
      <c r="E808" s="169"/>
      <c r="F808" s="253">
        <v>2300</v>
      </c>
    </row>
    <row r="809" spans="1:6" ht="15.6" x14ac:dyDescent="0.3">
      <c r="A809" s="127">
        <v>1019</v>
      </c>
      <c r="B809" s="128">
        <v>43749</v>
      </c>
      <c r="C809" s="129" t="s">
        <v>1650</v>
      </c>
      <c r="D809" s="129" t="s">
        <v>1516</v>
      </c>
      <c r="E809" s="169"/>
      <c r="F809" s="253">
        <v>2000</v>
      </c>
    </row>
    <row r="810" spans="1:6" ht="15.6" x14ac:dyDescent="0.3">
      <c r="A810" s="127">
        <v>1020</v>
      </c>
      <c r="B810" s="128">
        <v>43749</v>
      </c>
      <c r="C810" s="129" t="s">
        <v>42</v>
      </c>
      <c r="D810" s="129" t="s">
        <v>1521</v>
      </c>
      <c r="E810" s="169"/>
      <c r="F810" s="253">
        <v>50</v>
      </c>
    </row>
    <row r="811" spans="1:6" ht="15.6" x14ac:dyDescent="0.3">
      <c r="A811" s="127">
        <v>1021</v>
      </c>
      <c r="B811" s="128">
        <v>43751</v>
      </c>
      <c r="C811" s="133" t="s">
        <v>1622</v>
      </c>
      <c r="D811" s="133" t="s">
        <v>1520</v>
      </c>
      <c r="E811" s="169">
        <v>100000</v>
      </c>
      <c r="F811" s="254"/>
    </row>
    <row r="812" spans="1:6" ht="15.6" x14ac:dyDescent="0.3">
      <c r="A812" s="127">
        <v>1022</v>
      </c>
      <c r="B812" s="128">
        <v>43751</v>
      </c>
      <c r="C812" s="129" t="s">
        <v>248</v>
      </c>
      <c r="D812" s="129" t="s">
        <v>1471</v>
      </c>
      <c r="E812" s="169"/>
      <c r="F812" s="253">
        <v>500</v>
      </c>
    </row>
    <row r="813" spans="1:6" ht="15.6" x14ac:dyDescent="0.3">
      <c r="A813" s="127">
        <v>1023</v>
      </c>
      <c r="B813" s="128">
        <v>43751</v>
      </c>
      <c r="C813" s="129" t="s">
        <v>1548</v>
      </c>
      <c r="D813" s="129" t="s">
        <v>1526</v>
      </c>
      <c r="E813" s="169"/>
      <c r="F813" s="253">
        <v>30000</v>
      </c>
    </row>
    <row r="814" spans="1:6" ht="15.6" x14ac:dyDescent="0.3">
      <c r="A814" s="127">
        <v>1024</v>
      </c>
      <c r="B814" s="128">
        <v>43751</v>
      </c>
      <c r="C814" s="129" t="s">
        <v>113</v>
      </c>
      <c r="D814" s="129" t="s">
        <v>1529</v>
      </c>
      <c r="E814" s="169"/>
      <c r="F814" s="253">
        <v>50000</v>
      </c>
    </row>
    <row r="815" spans="1:6" ht="15.6" x14ac:dyDescent="0.3">
      <c r="A815" s="127">
        <v>1025</v>
      </c>
      <c r="B815" s="128">
        <v>43751</v>
      </c>
      <c r="C815" s="129" t="s">
        <v>1650</v>
      </c>
      <c r="D815" s="129" t="s">
        <v>1516</v>
      </c>
      <c r="E815" s="169"/>
      <c r="F815" s="253">
        <v>1000</v>
      </c>
    </row>
    <row r="816" spans="1:6" ht="15.6" x14ac:dyDescent="0.3">
      <c r="A816" s="127">
        <v>1026</v>
      </c>
      <c r="B816" s="128">
        <v>43753</v>
      </c>
      <c r="C816" s="129" t="s">
        <v>1684</v>
      </c>
      <c r="D816" s="129" t="s">
        <v>1523</v>
      </c>
      <c r="E816" s="169"/>
      <c r="F816" s="253">
        <v>100000</v>
      </c>
    </row>
    <row r="817" spans="1:6" ht="15.6" x14ac:dyDescent="0.3">
      <c r="A817" s="127">
        <v>1027</v>
      </c>
      <c r="B817" s="128">
        <v>43754</v>
      </c>
      <c r="C817" s="133" t="s">
        <v>1685</v>
      </c>
      <c r="D817" s="133" t="s">
        <v>1520</v>
      </c>
      <c r="E817" s="169">
        <v>175000</v>
      </c>
      <c r="F817" s="254"/>
    </row>
    <row r="818" spans="1:6" ht="15.6" x14ac:dyDescent="0.3">
      <c r="A818" s="127">
        <v>1028</v>
      </c>
      <c r="B818" s="128">
        <v>43754</v>
      </c>
      <c r="C818" s="133" t="s">
        <v>1622</v>
      </c>
      <c r="D818" s="133" t="s">
        <v>1520</v>
      </c>
      <c r="E818" s="169">
        <v>25000</v>
      </c>
      <c r="F818" s="254"/>
    </row>
    <row r="819" spans="1:6" ht="15.6" x14ac:dyDescent="0.3">
      <c r="A819" s="127">
        <v>1029</v>
      </c>
      <c r="B819" s="128">
        <v>43754</v>
      </c>
      <c r="C819" s="129" t="s">
        <v>1686</v>
      </c>
      <c r="D819" s="129" t="s">
        <v>1517</v>
      </c>
      <c r="E819" s="169"/>
      <c r="F819" s="253">
        <v>60000</v>
      </c>
    </row>
    <row r="820" spans="1:6" ht="15.6" x14ac:dyDescent="0.3">
      <c r="A820" s="127">
        <v>1030</v>
      </c>
      <c r="B820" s="128">
        <v>43755</v>
      </c>
      <c r="C820" s="129" t="s">
        <v>1548</v>
      </c>
      <c r="D820" s="129" t="s">
        <v>1526</v>
      </c>
      <c r="E820" s="169"/>
      <c r="F820" s="253">
        <v>50000</v>
      </c>
    </row>
    <row r="821" spans="1:6" ht="15.6" x14ac:dyDescent="0.3">
      <c r="A821" s="127">
        <v>1031</v>
      </c>
      <c r="B821" s="128">
        <v>43756</v>
      </c>
      <c r="C821" s="129" t="s">
        <v>1650</v>
      </c>
      <c r="D821" s="129" t="s">
        <v>1516</v>
      </c>
      <c r="E821" s="169"/>
      <c r="F821" s="253">
        <v>5000</v>
      </c>
    </row>
    <row r="822" spans="1:6" ht="15.6" x14ac:dyDescent="0.3">
      <c r="A822" s="127">
        <v>1032</v>
      </c>
      <c r="B822" s="128">
        <v>43757</v>
      </c>
      <c r="C822" s="129" t="s">
        <v>1548</v>
      </c>
      <c r="D822" s="129" t="s">
        <v>1526</v>
      </c>
      <c r="E822" s="169"/>
      <c r="F822" s="253">
        <v>40000</v>
      </c>
    </row>
    <row r="823" spans="1:6" ht="15.6" x14ac:dyDescent="0.3">
      <c r="A823" s="127">
        <v>1033</v>
      </c>
      <c r="B823" s="128">
        <v>43757</v>
      </c>
      <c r="C823" s="129" t="s">
        <v>248</v>
      </c>
      <c r="D823" s="129" t="s">
        <v>1471</v>
      </c>
      <c r="E823" s="169"/>
      <c r="F823" s="253">
        <v>1000</v>
      </c>
    </row>
    <row r="824" spans="1:6" ht="15.6" x14ac:dyDescent="0.3">
      <c r="A824" s="127">
        <v>1034</v>
      </c>
      <c r="B824" s="128">
        <v>43758</v>
      </c>
      <c r="C824" s="129" t="s">
        <v>255</v>
      </c>
      <c r="D824" s="129" t="s">
        <v>1516</v>
      </c>
      <c r="E824" s="169"/>
      <c r="F824" s="253">
        <v>500</v>
      </c>
    </row>
    <row r="825" spans="1:6" ht="15.6" x14ac:dyDescent="0.3">
      <c r="A825" s="127">
        <v>1035</v>
      </c>
      <c r="B825" s="128">
        <v>43758</v>
      </c>
      <c r="C825" s="129" t="s">
        <v>113</v>
      </c>
      <c r="D825" s="129" t="s">
        <v>1529</v>
      </c>
      <c r="E825" s="169"/>
      <c r="F825" s="253">
        <v>45100</v>
      </c>
    </row>
    <row r="826" spans="1:6" ht="15.6" x14ac:dyDescent="0.3">
      <c r="A826" s="127">
        <v>1036</v>
      </c>
      <c r="B826" s="128">
        <v>43758</v>
      </c>
      <c r="C826" s="129" t="s">
        <v>50</v>
      </c>
      <c r="D826" s="129" t="s">
        <v>1527</v>
      </c>
      <c r="E826" s="169"/>
      <c r="F826" s="253">
        <v>10200</v>
      </c>
    </row>
    <row r="827" spans="1:6" ht="15.6" x14ac:dyDescent="0.3">
      <c r="A827" s="127">
        <v>1037</v>
      </c>
      <c r="B827" s="128">
        <v>43758</v>
      </c>
      <c r="C827" s="129" t="s">
        <v>1548</v>
      </c>
      <c r="D827" s="129" t="s">
        <v>1526</v>
      </c>
      <c r="E827" s="169"/>
      <c r="F827" s="253">
        <v>20000</v>
      </c>
    </row>
    <row r="828" spans="1:6" ht="15.6" x14ac:dyDescent="0.3">
      <c r="A828" s="127">
        <v>1038</v>
      </c>
      <c r="B828" s="128">
        <v>43759</v>
      </c>
      <c r="C828" s="129" t="s">
        <v>1548</v>
      </c>
      <c r="D828" s="129" t="s">
        <v>1526</v>
      </c>
      <c r="E828" s="169"/>
      <c r="F828" s="253">
        <v>15000</v>
      </c>
    </row>
    <row r="829" spans="1:6" ht="15.6" x14ac:dyDescent="0.3">
      <c r="A829" s="127">
        <v>1039</v>
      </c>
      <c r="B829" s="128">
        <v>43760</v>
      </c>
      <c r="C829" s="129" t="s">
        <v>256</v>
      </c>
      <c r="D829" s="129" t="s">
        <v>1521</v>
      </c>
      <c r="E829" s="169"/>
      <c r="F829" s="253">
        <v>2442</v>
      </c>
    </row>
    <row r="830" spans="1:6" ht="15.6" x14ac:dyDescent="0.3">
      <c r="A830" s="127">
        <v>1040</v>
      </c>
      <c r="B830" s="128">
        <v>43760</v>
      </c>
      <c r="C830" s="129" t="s">
        <v>255</v>
      </c>
      <c r="D830" s="129" t="s">
        <v>1516</v>
      </c>
      <c r="E830" s="169"/>
      <c r="F830" s="253">
        <v>1000</v>
      </c>
    </row>
    <row r="831" spans="1:6" ht="15.6" x14ac:dyDescent="0.3">
      <c r="A831" s="127">
        <v>1041</v>
      </c>
      <c r="B831" s="128">
        <v>43762</v>
      </c>
      <c r="C831" s="129" t="s">
        <v>1650</v>
      </c>
      <c r="D831" s="129" t="s">
        <v>1516</v>
      </c>
      <c r="E831" s="169"/>
      <c r="F831" s="253">
        <v>1000</v>
      </c>
    </row>
    <row r="832" spans="1:6" ht="15.6" x14ac:dyDescent="0.3">
      <c r="A832" s="127">
        <v>1042</v>
      </c>
      <c r="B832" s="128">
        <v>43762</v>
      </c>
      <c r="C832" s="129" t="s">
        <v>119</v>
      </c>
      <c r="D832" s="129" t="s">
        <v>1521</v>
      </c>
      <c r="E832" s="169"/>
      <c r="F832" s="253">
        <v>120</v>
      </c>
    </row>
    <row r="833" spans="1:6" ht="15.6" x14ac:dyDescent="0.3">
      <c r="A833" s="127">
        <v>1043</v>
      </c>
      <c r="B833" s="128">
        <v>43762</v>
      </c>
      <c r="C833" s="129" t="s">
        <v>42</v>
      </c>
      <c r="D833" s="129" t="s">
        <v>1521</v>
      </c>
      <c r="E833" s="169"/>
      <c r="F833" s="253">
        <v>50</v>
      </c>
    </row>
    <row r="834" spans="1:6" ht="15.6" x14ac:dyDescent="0.3">
      <c r="A834" s="127">
        <v>1044</v>
      </c>
      <c r="B834" s="128">
        <v>43762</v>
      </c>
      <c r="C834" s="129" t="s">
        <v>1687</v>
      </c>
      <c r="D834" s="129" t="s">
        <v>1533</v>
      </c>
      <c r="E834" s="169"/>
      <c r="F834" s="253">
        <v>500</v>
      </c>
    </row>
    <row r="835" spans="1:6" ht="15.6" x14ac:dyDescent="0.3">
      <c r="A835" s="127">
        <v>1045</v>
      </c>
      <c r="B835" s="128">
        <v>43762</v>
      </c>
      <c r="C835" s="129" t="s">
        <v>255</v>
      </c>
      <c r="D835" s="129" t="s">
        <v>1516</v>
      </c>
      <c r="E835" s="169"/>
      <c r="F835" s="253">
        <v>1000</v>
      </c>
    </row>
    <row r="836" spans="1:6" ht="15.6" x14ac:dyDescent="0.3">
      <c r="A836" s="127">
        <v>1046</v>
      </c>
      <c r="B836" s="128">
        <v>43762</v>
      </c>
      <c r="C836" s="129" t="s">
        <v>258</v>
      </c>
      <c r="D836" s="129" t="s">
        <v>1521</v>
      </c>
      <c r="E836" s="169"/>
      <c r="F836" s="253">
        <v>560</v>
      </c>
    </row>
    <row r="837" spans="1:6" ht="15.6" x14ac:dyDescent="0.3">
      <c r="A837" s="127">
        <v>1047</v>
      </c>
      <c r="B837" s="128">
        <v>43763</v>
      </c>
      <c r="C837" s="129" t="s">
        <v>259</v>
      </c>
      <c r="D837" s="129" t="s">
        <v>1533</v>
      </c>
      <c r="E837" s="169"/>
      <c r="F837" s="253">
        <v>500</v>
      </c>
    </row>
    <row r="838" spans="1:6" ht="15.6" x14ac:dyDescent="0.3">
      <c r="A838" s="127">
        <v>1048</v>
      </c>
      <c r="B838" s="128">
        <v>43763</v>
      </c>
      <c r="C838" s="129" t="s">
        <v>1688</v>
      </c>
      <c r="D838" s="129" t="s">
        <v>1521</v>
      </c>
      <c r="E838" s="169"/>
      <c r="F838" s="253">
        <v>90</v>
      </c>
    </row>
    <row r="839" spans="1:6" ht="15.6" x14ac:dyDescent="0.3">
      <c r="A839" s="127">
        <v>1049</v>
      </c>
      <c r="B839" s="128">
        <v>43763</v>
      </c>
      <c r="C839" s="129" t="s">
        <v>42</v>
      </c>
      <c r="D839" s="129" t="s">
        <v>1521</v>
      </c>
      <c r="E839" s="169"/>
      <c r="F839" s="253">
        <v>60</v>
      </c>
    </row>
    <row r="840" spans="1:6" ht="15.6" x14ac:dyDescent="0.3">
      <c r="A840" s="127">
        <v>1050</v>
      </c>
      <c r="B840" s="128">
        <v>43765</v>
      </c>
      <c r="C840" s="129" t="s">
        <v>255</v>
      </c>
      <c r="D840" s="129" t="s">
        <v>1516</v>
      </c>
      <c r="E840" s="169"/>
      <c r="F840" s="253">
        <v>1000</v>
      </c>
    </row>
    <row r="841" spans="1:6" ht="15.6" x14ac:dyDescent="0.3">
      <c r="A841" s="127">
        <v>1051</v>
      </c>
      <c r="B841" s="128">
        <v>43765</v>
      </c>
      <c r="C841" s="129" t="s">
        <v>1650</v>
      </c>
      <c r="D841" s="129" t="s">
        <v>1516</v>
      </c>
      <c r="E841" s="169"/>
      <c r="F841" s="253">
        <v>1000</v>
      </c>
    </row>
    <row r="842" spans="1:6" ht="15.6" x14ac:dyDescent="0.3">
      <c r="A842" s="127">
        <v>1052</v>
      </c>
      <c r="B842" s="128">
        <v>43765</v>
      </c>
      <c r="C842" s="129" t="s">
        <v>259</v>
      </c>
      <c r="D842" s="129" t="s">
        <v>1533</v>
      </c>
      <c r="E842" s="169"/>
      <c r="F842" s="253">
        <v>1000</v>
      </c>
    </row>
    <row r="843" spans="1:6" ht="15.6" x14ac:dyDescent="0.3">
      <c r="A843" s="127">
        <v>1053</v>
      </c>
      <c r="B843" s="128">
        <v>43765</v>
      </c>
      <c r="C843" s="129" t="s">
        <v>1689</v>
      </c>
      <c r="D843" s="129" t="s">
        <v>1516</v>
      </c>
      <c r="E843" s="169"/>
      <c r="F843" s="253">
        <v>1000</v>
      </c>
    </row>
    <row r="844" spans="1:6" ht="15.6" x14ac:dyDescent="0.3">
      <c r="A844" s="127">
        <v>1054</v>
      </c>
      <c r="B844" s="128">
        <v>43765</v>
      </c>
      <c r="C844" s="129" t="s">
        <v>42</v>
      </c>
      <c r="D844" s="129" t="s">
        <v>1521</v>
      </c>
      <c r="E844" s="169"/>
      <c r="F844" s="253">
        <v>80</v>
      </c>
    </row>
    <row r="845" spans="1:6" ht="15.6" x14ac:dyDescent="0.3">
      <c r="A845" s="127">
        <v>1055</v>
      </c>
      <c r="B845" s="128">
        <v>43765</v>
      </c>
      <c r="C845" s="129" t="s">
        <v>250</v>
      </c>
      <c r="D845" s="129" t="s">
        <v>1521</v>
      </c>
      <c r="E845" s="169"/>
      <c r="F845" s="253">
        <v>300</v>
      </c>
    </row>
    <row r="846" spans="1:6" ht="15.6" x14ac:dyDescent="0.3">
      <c r="A846" s="127">
        <v>1056</v>
      </c>
      <c r="B846" s="128">
        <v>43766</v>
      </c>
      <c r="C846" s="129" t="s">
        <v>1689</v>
      </c>
      <c r="D846" s="129" t="s">
        <v>1516</v>
      </c>
      <c r="E846" s="169"/>
      <c r="F846" s="253">
        <v>2000</v>
      </c>
    </row>
    <row r="847" spans="1:6" ht="15.6" x14ac:dyDescent="0.3">
      <c r="A847" s="127">
        <v>1057</v>
      </c>
      <c r="B847" s="128">
        <v>43766</v>
      </c>
      <c r="C847" s="133" t="s">
        <v>1622</v>
      </c>
      <c r="D847" s="133" t="s">
        <v>1520</v>
      </c>
      <c r="E847" s="169">
        <v>100000</v>
      </c>
      <c r="F847" s="254"/>
    </row>
    <row r="848" spans="1:6" ht="15.6" x14ac:dyDescent="0.3">
      <c r="A848" s="127">
        <v>1058</v>
      </c>
      <c r="B848" s="128">
        <v>43766</v>
      </c>
      <c r="C848" s="133" t="s">
        <v>1743</v>
      </c>
      <c r="D848" s="133" t="s">
        <v>1520</v>
      </c>
      <c r="E848" s="169">
        <v>360000</v>
      </c>
      <c r="F848" s="254"/>
    </row>
    <row r="849" spans="1:6" ht="15.6" x14ac:dyDescent="0.3">
      <c r="A849" s="127">
        <v>1058</v>
      </c>
      <c r="B849" s="128">
        <v>43766</v>
      </c>
      <c r="C849" s="129" t="s">
        <v>113</v>
      </c>
      <c r="D849" s="129" t="s">
        <v>1529</v>
      </c>
      <c r="E849" s="169"/>
      <c r="F849" s="253">
        <v>25000</v>
      </c>
    </row>
    <row r="850" spans="1:6" ht="15.6" x14ac:dyDescent="0.3">
      <c r="A850" s="127">
        <v>1059</v>
      </c>
      <c r="B850" s="128">
        <v>43766</v>
      </c>
      <c r="C850" s="129" t="s">
        <v>1548</v>
      </c>
      <c r="D850" s="129" t="s">
        <v>1526</v>
      </c>
      <c r="E850" s="169"/>
      <c r="F850" s="253">
        <v>20000</v>
      </c>
    </row>
    <row r="851" spans="1:6" ht="15.6" x14ac:dyDescent="0.3">
      <c r="A851" s="127">
        <v>1060</v>
      </c>
      <c r="B851" s="128">
        <v>43766</v>
      </c>
      <c r="C851" s="129" t="s">
        <v>1687</v>
      </c>
      <c r="D851" s="129" t="s">
        <v>1533</v>
      </c>
      <c r="E851" s="169"/>
      <c r="F851" s="253">
        <v>3000</v>
      </c>
    </row>
    <row r="852" spans="1:6" ht="15.6" x14ac:dyDescent="0.3">
      <c r="A852" s="127">
        <v>1061</v>
      </c>
      <c r="B852" s="128">
        <v>43768</v>
      </c>
      <c r="C852" s="129" t="s">
        <v>255</v>
      </c>
      <c r="D852" s="129" t="s">
        <v>1516</v>
      </c>
      <c r="E852" s="169"/>
      <c r="F852" s="253">
        <v>2000</v>
      </c>
    </row>
    <row r="853" spans="1:6" ht="15.6" x14ac:dyDescent="0.3">
      <c r="A853" s="127">
        <v>1062</v>
      </c>
      <c r="B853" s="128">
        <v>43768</v>
      </c>
      <c r="C853" s="129" t="s">
        <v>1689</v>
      </c>
      <c r="D853" s="129" t="s">
        <v>1516</v>
      </c>
      <c r="E853" s="169"/>
      <c r="F853" s="253">
        <v>3000</v>
      </c>
    </row>
    <row r="854" spans="1:6" ht="15.6" x14ac:dyDescent="0.3">
      <c r="A854" s="127">
        <v>1063</v>
      </c>
      <c r="B854" s="128">
        <v>43768</v>
      </c>
      <c r="C854" s="129" t="s">
        <v>1548</v>
      </c>
      <c r="D854" s="129" t="s">
        <v>1526</v>
      </c>
      <c r="E854" s="169"/>
      <c r="F854" s="253">
        <v>40000</v>
      </c>
    </row>
    <row r="855" spans="1:6" ht="15.6" x14ac:dyDescent="0.3">
      <c r="A855" s="127">
        <v>1064</v>
      </c>
      <c r="B855" s="128">
        <v>43768</v>
      </c>
      <c r="C855" s="133" t="s">
        <v>1622</v>
      </c>
      <c r="D855" s="133" t="s">
        <v>1520</v>
      </c>
      <c r="E855" s="169">
        <v>100000</v>
      </c>
      <c r="F855" s="254"/>
    </row>
    <row r="856" spans="1:6" ht="15.6" x14ac:dyDescent="0.3">
      <c r="A856" s="127">
        <v>1065</v>
      </c>
      <c r="B856" s="128">
        <v>43768</v>
      </c>
      <c r="C856" s="129" t="s">
        <v>259</v>
      </c>
      <c r="D856" s="129" t="s">
        <v>1533</v>
      </c>
      <c r="E856" s="169"/>
      <c r="F856" s="253">
        <v>50000</v>
      </c>
    </row>
    <row r="857" spans="1:6" ht="15.6" x14ac:dyDescent="0.3">
      <c r="A857" s="127">
        <v>1066</v>
      </c>
      <c r="B857" s="128">
        <v>43769</v>
      </c>
      <c r="C857" s="129" t="s">
        <v>1689</v>
      </c>
      <c r="D857" s="129" t="s">
        <v>1516</v>
      </c>
      <c r="E857" s="169"/>
      <c r="F857" s="253">
        <v>2000</v>
      </c>
    </row>
    <row r="858" spans="1:6" ht="15.6" x14ac:dyDescent="0.3">
      <c r="A858" s="127">
        <v>1067</v>
      </c>
      <c r="B858" s="128">
        <v>43771</v>
      </c>
      <c r="C858" s="129" t="s">
        <v>248</v>
      </c>
      <c r="D858" s="129" t="s">
        <v>1471</v>
      </c>
      <c r="E858" s="169"/>
      <c r="F858" s="253">
        <v>1000</v>
      </c>
    </row>
    <row r="859" spans="1:6" ht="15.6" x14ac:dyDescent="0.3">
      <c r="A859" s="127">
        <v>1068</v>
      </c>
      <c r="B859" s="128">
        <v>43771</v>
      </c>
      <c r="C859" s="129" t="s">
        <v>1689</v>
      </c>
      <c r="D859" s="129" t="s">
        <v>1516</v>
      </c>
      <c r="E859" s="169"/>
      <c r="F859" s="253">
        <v>1500</v>
      </c>
    </row>
    <row r="860" spans="1:6" ht="15.6" x14ac:dyDescent="0.3">
      <c r="A860" s="127">
        <v>1069</v>
      </c>
      <c r="B860" s="128">
        <v>43771</v>
      </c>
      <c r="C860" s="129" t="s">
        <v>1690</v>
      </c>
      <c r="D860" s="129" t="s">
        <v>1516</v>
      </c>
      <c r="E860" s="169"/>
      <c r="F860" s="253">
        <v>17450</v>
      </c>
    </row>
    <row r="861" spans="1:6" ht="15.6" x14ac:dyDescent="0.3">
      <c r="A861" s="127">
        <v>1070</v>
      </c>
      <c r="B861" s="128">
        <v>43771</v>
      </c>
      <c r="C861" s="129" t="s">
        <v>1691</v>
      </c>
      <c r="D861" s="129" t="s">
        <v>1516</v>
      </c>
      <c r="E861" s="169"/>
      <c r="F861" s="253">
        <v>3500</v>
      </c>
    </row>
    <row r="862" spans="1:6" ht="15.6" x14ac:dyDescent="0.3">
      <c r="A862" s="127">
        <v>1071</v>
      </c>
      <c r="B862" s="128">
        <v>43771</v>
      </c>
      <c r="C862" s="129" t="s">
        <v>1548</v>
      </c>
      <c r="D862" s="129" t="s">
        <v>1526</v>
      </c>
      <c r="E862" s="169"/>
      <c r="F862" s="253">
        <v>10000</v>
      </c>
    </row>
    <row r="863" spans="1:6" ht="15.6" x14ac:dyDescent="0.3">
      <c r="A863" s="127">
        <v>1072</v>
      </c>
      <c r="B863" s="128">
        <v>43773</v>
      </c>
      <c r="C863" s="129" t="s">
        <v>1692</v>
      </c>
      <c r="D863" s="129" t="s">
        <v>1516</v>
      </c>
      <c r="E863" s="169"/>
      <c r="F863" s="253">
        <v>15050</v>
      </c>
    </row>
    <row r="864" spans="1:6" ht="15.6" x14ac:dyDescent="0.3">
      <c r="A864" s="127">
        <v>1073</v>
      </c>
      <c r="B864" s="128">
        <v>43774</v>
      </c>
      <c r="C864" s="129" t="s">
        <v>248</v>
      </c>
      <c r="D864" s="129" t="s">
        <v>1471</v>
      </c>
      <c r="E864" s="169"/>
      <c r="F864" s="253">
        <v>500</v>
      </c>
    </row>
    <row r="865" spans="1:6" ht="15.6" x14ac:dyDescent="0.3">
      <c r="A865" s="127">
        <v>1074</v>
      </c>
      <c r="B865" s="128">
        <v>43774</v>
      </c>
      <c r="C865" s="129" t="s">
        <v>1689</v>
      </c>
      <c r="D865" s="129" t="s">
        <v>1516</v>
      </c>
      <c r="E865" s="169"/>
      <c r="F865" s="253">
        <v>1500</v>
      </c>
    </row>
    <row r="866" spans="1:6" ht="15.6" x14ac:dyDescent="0.3">
      <c r="A866" s="127">
        <v>1075</v>
      </c>
      <c r="B866" s="128">
        <v>43774</v>
      </c>
      <c r="C866" s="129" t="s">
        <v>42</v>
      </c>
      <c r="D866" s="129" t="s">
        <v>1521</v>
      </c>
      <c r="E866" s="169"/>
      <c r="F866" s="253">
        <v>90</v>
      </c>
    </row>
    <row r="867" spans="1:6" ht="15.6" x14ac:dyDescent="0.3">
      <c r="A867" s="127">
        <v>1076</v>
      </c>
      <c r="B867" s="128">
        <v>43774</v>
      </c>
      <c r="C867" s="133" t="s">
        <v>1622</v>
      </c>
      <c r="D867" s="133" t="s">
        <v>1520</v>
      </c>
      <c r="E867" s="169">
        <v>250000</v>
      </c>
      <c r="F867" s="254"/>
    </row>
    <row r="868" spans="1:6" ht="15.6" x14ac:dyDescent="0.3">
      <c r="A868" s="127">
        <v>1077</v>
      </c>
      <c r="B868" s="128">
        <v>43774</v>
      </c>
      <c r="C868" s="129" t="s">
        <v>1548</v>
      </c>
      <c r="D868" s="129" t="s">
        <v>1526</v>
      </c>
      <c r="E868" s="169"/>
      <c r="F868" s="253">
        <v>130000</v>
      </c>
    </row>
    <row r="869" spans="1:6" ht="15.6" x14ac:dyDescent="0.3">
      <c r="A869" s="127">
        <v>1078</v>
      </c>
      <c r="B869" s="128">
        <v>43774</v>
      </c>
      <c r="C869" s="129" t="s">
        <v>113</v>
      </c>
      <c r="D869" s="129" t="s">
        <v>1529</v>
      </c>
      <c r="E869" s="169"/>
      <c r="F869" s="253">
        <v>60000</v>
      </c>
    </row>
    <row r="870" spans="1:6" ht="15.6" x14ac:dyDescent="0.3">
      <c r="A870" s="127">
        <v>1079</v>
      </c>
      <c r="B870" s="128">
        <v>43774</v>
      </c>
      <c r="C870" s="129" t="s">
        <v>255</v>
      </c>
      <c r="D870" s="129" t="s">
        <v>1516</v>
      </c>
      <c r="E870" s="169"/>
      <c r="F870" s="253">
        <v>1000</v>
      </c>
    </row>
    <row r="871" spans="1:6" ht="15.6" x14ac:dyDescent="0.3">
      <c r="A871" s="127">
        <v>1080</v>
      </c>
      <c r="B871" s="128">
        <v>43774</v>
      </c>
      <c r="C871" s="129" t="s">
        <v>1650</v>
      </c>
      <c r="D871" s="129" t="s">
        <v>1516</v>
      </c>
      <c r="E871" s="169"/>
      <c r="F871" s="253">
        <v>3000</v>
      </c>
    </row>
    <row r="872" spans="1:6" ht="15.6" x14ac:dyDescent="0.3">
      <c r="A872" s="127">
        <v>1081</v>
      </c>
      <c r="B872" s="128">
        <v>43774</v>
      </c>
      <c r="C872" s="129" t="s">
        <v>1693</v>
      </c>
      <c r="D872" s="129" t="s">
        <v>1517</v>
      </c>
      <c r="E872" s="169"/>
      <c r="F872" s="253">
        <v>60000</v>
      </c>
    </row>
    <row r="873" spans="1:6" ht="15.6" x14ac:dyDescent="0.3">
      <c r="A873" s="127">
        <v>1082</v>
      </c>
      <c r="B873" s="128">
        <v>43774</v>
      </c>
      <c r="C873" s="129" t="s">
        <v>119</v>
      </c>
      <c r="D873" s="129" t="s">
        <v>1521</v>
      </c>
      <c r="E873" s="169"/>
      <c r="F873" s="253">
        <v>500</v>
      </c>
    </row>
    <row r="874" spans="1:6" ht="15.6" x14ac:dyDescent="0.3">
      <c r="A874" s="127">
        <v>1083</v>
      </c>
      <c r="B874" s="128">
        <v>43774</v>
      </c>
      <c r="C874" s="129" t="s">
        <v>1689</v>
      </c>
      <c r="D874" s="129" t="s">
        <v>1516</v>
      </c>
      <c r="E874" s="169"/>
      <c r="F874" s="253">
        <v>2000</v>
      </c>
    </row>
    <row r="875" spans="1:6" ht="15.6" x14ac:dyDescent="0.3">
      <c r="A875" s="127">
        <v>1084</v>
      </c>
      <c r="B875" s="128">
        <v>43774</v>
      </c>
      <c r="C875" s="129" t="s">
        <v>42</v>
      </c>
      <c r="D875" s="129" t="s">
        <v>1521</v>
      </c>
      <c r="E875" s="169"/>
      <c r="F875" s="253">
        <v>50</v>
      </c>
    </row>
    <row r="876" spans="1:6" ht="15.6" x14ac:dyDescent="0.3">
      <c r="A876" s="127">
        <v>1085</v>
      </c>
      <c r="B876" s="128">
        <v>43776</v>
      </c>
      <c r="C876" s="129" t="s">
        <v>255</v>
      </c>
      <c r="D876" s="129" t="s">
        <v>1516</v>
      </c>
      <c r="E876" s="169"/>
      <c r="F876" s="253">
        <v>1000</v>
      </c>
    </row>
    <row r="877" spans="1:6" ht="15.6" x14ac:dyDescent="0.3">
      <c r="A877" s="127">
        <v>1086</v>
      </c>
      <c r="B877" s="128">
        <v>43776</v>
      </c>
      <c r="C877" s="129" t="s">
        <v>1689</v>
      </c>
      <c r="D877" s="129" t="s">
        <v>1516</v>
      </c>
      <c r="E877" s="169"/>
      <c r="F877" s="253">
        <v>9500</v>
      </c>
    </row>
    <row r="878" spans="1:6" ht="15.6" x14ac:dyDescent="0.3">
      <c r="A878" s="127">
        <v>1087</v>
      </c>
      <c r="B878" s="128">
        <v>43778</v>
      </c>
      <c r="C878" s="129" t="s">
        <v>1548</v>
      </c>
      <c r="D878" s="129" t="s">
        <v>1526</v>
      </c>
      <c r="E878" s="169"/>
      <c r="F878" s="253">
        <v>10000</v>
      </c>
    </row>
    <row r="879" spans="1:6" ht="15.6" x14ac:dyDescent="0.3">
      <c r="A879" s="127">
        <v>1088</v>
      </c>
      <c r="B879" s="128">
        <v>43780</v>
      </c>
      <c r="C879" s="133" t="s">
        <v>69</v>
      </c>
      <c r="D879" s="133" t="s">
        <v>1524</v>
      </c>
      <c r="E879" s="169"/>
      <c r="F879" s="253">
        <v>20000</v>
      </c>
    </row>
    <row r="880" spans="1:6" ht="15.6" x14ac:dyDescent="0.3">
      <c r="A880" s="127">
        <v>1089</v>
      </c>
      <c r="B880" s="128">
        <v>43780</v>
      </c>
      <c r="C880" s="129" t="s">
        <v>1650</v>
      </c>
      <c r="D880" s="129" t="s">
        <v>1516</v>
      </c>
      <c r="E880" s="169"/>
      <c r="F880" s="253">
        <v>1000</v>
      </c>
    </row>
    <row r="881" spans="1:6" ht="15.6" x14ac:dyDescent="0.3">
      <c r="A881" s="127">
        <v>1090</v>
      </c>
      <c r="B881" s="128">
        <v>43780</v>
      </c>
      <c r="C881" s="133" t="s">
        <v>1694</v>
      </c>
      <c r="D881" s="133" t="s">
        <v>1527</v>
      </c>
      <c r="E881" s="169"/>
      <c r="F881" s="253">
        <v>700</v>
      </c>
    </row>
    <row r="882" spans="1:6" ht="15.6" x14ac:dyDescent="0.3">
      <c r="A882" s="127">
        <v>1091</v>
      </c>
      <c r="B882" s="128">
        <v>43781</v>
      </c>
      <c r="C882" s="133" t="s">
        <v>259</v>
      </c>
      <c r="D882" s="133" t="s">
        <v>1533</v>
      </c>
      <c r="E882" s="168"/>
      <c r="F882" s="253">
        <v>30000</v>
      </c>
    </row>
    <row r="883" spans="1:6" ht="15.6" x14ac:dyDescent="0.3">
      <c r="A883" s="127">
        <v>1092</v>
      </c>
      <c r="B883" s="128">
        <v>43781</v>
      </c>
      <c r="C883" s="133" t="s">
        <v>1622</v>
      </c>
      <c r="D883" s="133" t="s">
        <v>1520</v>
      </c>
      <c r="E883" s="169">
        <v>100000</v>
      </c>
      <c r="F883" s="254"/>
    </row>
    <row r="884" spans="1:6" ht="15.6" x14ac:dyDescent="0.3">
      <c r="A884" s="127">
        <v>1093</v>
      </c>
      <c r="B884" s="128">
        <v>43782</v>
      </c>
      <c r="C884" s="129" t="s">
        <v>1548</v>
      </c>
      <c r="D884" s="129" t="s">
        <v>1526</v>
      </c>
      <c r="E884" s="168"/>
      <c r="F884" s="253">
        <v>2000</v>
      </c>
    </row>
    <row r="885" spans="1:6" ht="15.6" x14ac:dyDescent="0.3">
      <c r="A885" s="127">
        <v>1094</v>
      </c>
      <c r="B885" s="128">
        <v>43782</v>
      </c>
      <c r="C885" s="133" t="s">
        <v>42</v>
      </c>
      <c r="D885" s="133" t="s">
        <v>1521</v>
      </c>
      <c r="E885" s="168"/>
      <c r="F885" s="253">
        <v>90</v>
      </c>
    </row>
    <row r="886" spans="1:6" ht="15.6" x14ac:dyDescent="0.3">
      <c r="A886" s="127">
        <v>1095</v>
      </c>
      <c r="B886" s="128">
        <v>43782</v>
      </c>
      <c r="C886" s="129" t="s">
        <v>1650</v>
      </c>
      <c r="D886" s="129" t="s">
        <v>1516</v>
      </c>
      <c r="E886" s="168"/>
      <c r="F886" s="253">
        <v>1000</v>
      </c>
    </row>
    <row r="887" spans="1:6" ht="15.6" x14ac:dyDescent="0.3">
      <c r="A887" s="127">
        <v>1096</v>
      </c>
      <c r="B887" s="128">
        <v>43782</v>
      </c>
      <c r="C887" s="133" t="s">
        <v>1394</v>
      </c>
      <c r="D887" s="133" t="s">
        <v>1516</v>
      </c>
      <c r="E887" s="168"/>
      <c r="F887" s="253">
        <v>1000</v>
      </c>
    </row>
    <row r="888" spans="1:6" ht="15.6" x14ac:dyDescent="0.3">
      <c r="A888" s="127">
        <v>1097</v>
      </c>
      <c r="B888" s="128">
        <v>43782</v>
      </c>
      <c r="C888" s="129" t="s">
        <v>136</v>
      </c>
      <c r="D888" s="129" t="s">
        <v>1516</v>
      </c>
      <c r="E888" s="168"/>
      <c r="F888" s="253">
        <v>1000</v>
      </c>
    </row>
    <row r="889" spans="1:6" ht="15.6" x14ac:dyDescent="0.3">
      <c r="A889" s="127">
        <v>1098</v>
      </c>
      <c r="B889" s="128">
        <v>43783</v>
      </c>
      <c r="C889" s="129" t="s">
        <v>113</v>
      </c>
      <c r="D889" s="129" t="s">
        <v>1529</v>
      </c>
      <c r="E889" s="168"/>
      <c r="F889" s="253">
        <v>50000</v>
      </c>
    </row>
    <row r="890" spans="1:6" ht="15.6" x14ac:dyDescent="0.3">
      <c r="A890" s="127">
        <v>1099</v>
      </c>
      <c r="B890" s="128">
        <v>43783</v>
      </c>
      <c r="C890" s="129" t="s">
        <v>255</v>
      </c>
      <c r="D890" s="129" t="s">
        <v>1516</v>
      </c>
      <c r="E890" s="168"/>
      <c r="F890" s="253">
        <v>1000</v>
      </c>
    </row>
    <row r="891" spans="1:6" ht="15.6" x14ac:dyDescent="0.3">
      <c r="A891" s="127">
        <v>1100</v>
      </c>
      <c r="B891" s="128">
        <v>43783</v>
      </c>
      <c r="C891" s="133" t="s">
        <v>259</v>
      </c>
      <c r="D891" s="133" t="s">
        <v>1533</v>
      </c>
      <c r="E891" s="168"/>
      <c r="F891" s="253">
        <v>2000</v>
      </c>
    </row>
    <row r="892" spans="1:6" ht="15.6" x14ac:dyDescent="0.3">
      <c r="A892" s="127">
        <v>1101</v>
      </c>
      <c r="B892" s="128">
        <v>43783</v>
      </c>
      <c r="C892" s="129" t="s">
        <v>42</v>
      </c>
      <c r="D892" s="129" t="s">
        <v>1521</v>
      </c>
      <c r="E892" s="168"/>
      <c r="F892" s="253">
        <v>90</v>
      </c>
    </row>
    <row r="893" spans="1:6" ht="15.6" x14ac:dyDescent="0.3">
      <c r="A893" s="127">
        <v>1102</v>
      </c>
      <c r="B893" s="128">
        <v>43783</v>
      </c>
      <c r="C893" s="133" t="s">
        <v>1622</v>
      </c>
      <c r="D893" s="133" t="s">
        <v>1520</v>
      </c>
      <c r="E893" s="169">
        <v>50000</v>
      </c>
      <c r="F893" s="254"/>
    </row>
    <row r="894" spans="1:6" ht="15.6" x14ac:dyDescent="0.3">
      <c r="A894" s="127">
        <v>1103</v>
      </c>
      <c r="B894" s="128">
        <v>43785</v>
      </c>
      <c r="C894" s="129" t="s">
        <v>1650</v>
      </c>
      <c r="D894" s="129" t="s">
        <v>1516</v>
      </c>
      <c r="E894" s="168"/>
      <c r="F894" s="253">
        <v>1000</v>
      </c>
    </row>
    <row r="895" spans="1:6" ht="15.6" x14ac:dyDescent="0.3">
      <c r="A895" s="127">
        <v>1104</v>
      </c>
      <c r="B895" s="128">
        <v>43785</v>
      </c>
      <c r="C895" s="129" t="s">
        <v>255</v>
      </c>
      <c r="D895" s="129" t="s">
        <v>1516</v>
      </c>
      <c r="E895" s="168"/>
      <c r="F895" s="253">
        <v>1000</v>
      </c>
    </row>
    <row r="896" spans="1:6" ht="15.6" x14ac:dyDescent="0.3">
      <c r="A896" s="127">
        <v>1105</v>
      </c>
      <c r="B896" s="128">
        <v>43785</v>
      </c>
      <c r="C896" s="133" t="s">
        <v>1394</v>
      </c>
      <c r="D896" s="133" t="s">
        <v>1516</v>
      </c>
      <c r="E896" s="168"/>
      <c r="F896" s="253">
        <v>5000</v>
      </c>
    </row>
    <row r="897" spans="1:6" ht="15.6" x14ac:dyDescent="0.3">
      <c r="A897" s="127">
        <v>1106</v>
      </c>
      <c r="B897" s="128">
        <v>43785</v>
      </c>
      <c r="C897" s="129" t="s">
        <v>136</v>
      </c>
      <c r="D897" s="129" t="s">
        <v>1516</v>
      </c>
      <c r="E897" s="168"/>
      <c r="F897" s="253">
        <v>2000</v>
      </c>
    </row>
    <row r="898" spans="1:6" ht="15.6" x14ac:dyDescent="0.3">
      <c r="A898" s="127">
        <v>1107</v>
      </c>
      <c r="B898" s="128">
        <v>43785</v>
      </c>
      <c r="C898" s="129" t="s">
        <v>42</v>
      </c>
      <c r="D898" s="129" t="s">
        <v>1521</v>
      </c>
      <c r="E898" s="168"/>
      <c r="F898" s="253">
        <v>90</v>
      </c>
    </row>
    <row r="899" spans="1:6" ht="15.6" x14ac:dyDescent="0.3">
      <c r="A899" s="127">
        <v>1108</v>
      </c>
      <c r="B899" s="128">
        <v>43785</v>
      </c>
      <c r="C899" s="129" t="s">
        <v>119</v>
      </c>
      <c r="D899" s="129" t="s">
        <v>1521</v>
      </c>
      <c r="E899" s="168"/>
      <c r="F899" s="253">
        <v>350</v>
      </c>
    </row>
    <row r="900" spans="1:6" ht="15.6" x14ac:dyDescent="0.3">
      <c r="A900" s="127">
        <v>1109</v>
      </c>
      <c r="B900" s="128">
        <v>43786</v>
      </c>
      <c r="C900" s="129" t="s">
        <v>1548</v>
      </c>
      <c r="D900" s="129" t="s">
        <v>1526</v>
      </c>
      <c r="E900" s="168"/>
      <c r="F900" s="253">
        <v>2000</v>
      </c>
    </row>
    <row r="901" spans="1:6" ht="15.6" x14ac:dyDescent="0.3">
      <c r="A901" s="127">
        <v>1110</v>
      </c>
      <c r="B901" s="128">
        <v>43786</v>
      </c>
      <c r="C901" s="129" t="s">
        <v>1395</v>
      </c>
      <c r="D901" s="129" t="s">
        <v>1516</v>
      </c>
      <c r="E901" s="168"/>
      <c r="F901" s="253">
        <v>5000</v>
      </c>
    </row>
    <row r="902" spans="1:6" ht="15.6" x14ac:dyDescent="0.3">
      <c r="A902" s="127">
        <v>1111</v>
      </c>
      <c r="B902" s="128">
        <v>43786</v>
      </c>
      <c r="C902" s="129" t="s">
        <v>42</v>
      </c>
      <c r="D902" s="129" t="s">
        <v>1521</v>
      </c>
      <c r="E902" s="168"/>
      <c r="F902" s="253">
        <v>120</v>
      </c>
    </row>
    <row r="903" spans="1:6" ht="15.6" x14ac:dyDescent="0.3">
      <c r="A903" s="127">
        <v>1112</v>
      </c>
      <c r="B903" s="128">
        <v>43786</v>
      </c>
      <c r="C903" s="129" t="s">
        <v>1396</v>
      </c>
      <c r="D903" s="129" t="s">
        <v>1516</v>
      </c>
      <c r="E903" s="168"/>
      <c r="F903" s="253">
        <v>1000</v>
      </c>
    </row>
    <row r="904" spans="1:6" ht="15.6" x14ac:dyDescent="0.3">
      <c r="A904" s="127">
        <v>1113</v>
      </c>
      <c r="B904" s="128">
        <v>43787</v>
      </c>
      <c r="C904" s="129" t="s">
        <v>255</v>
      </c>
      <c r="D904" s="129" t="s">
        <v>1516</v>
      </c>
      <c r="E904" s="168"/>
      <c r="F904" s="253">
        <v>2000</v>
      </c>
    </row>
    <row r="905" spans="1:6" ht="15.6" x14ac:dyDescent="0.3">
      <c r="A905" s="127">
        <v>1114</v>
      </c>
      <c r="B905" s="128">
        <v>43787</v>
      </c>
      <c r="C905" s="129" t="s">
        <v>1695</v>
      </c>
      <c r="D905" s="129" t="s">
        <v>1523</v>
      </c>
      <c r="E905" s="168"/>
      <c r="F905" s="253">
        <v>20000</v>
      </c>
    </row>
    <row r="906" spans="1:6" ht="15.6" x14ac:dyDescent="0.3">
      <c r="A906" s="127">
        <v>1115</v>
      </c>
      <c r="B906" s="128">
        <v>43787</v>
      </c>
      <c r="C906" s="129" t="s">
        <v>42</v>
      </c>
      <c r="D906" s="129" t="s">
        <v>1521</v>
      </c>
      <c r="E906" s="168"/>
      <c r="F906" s="253">
        <v>150</v>
      </c>
    </row>
    <row r="907" spans="1:6" ht="15.6" x14ac:dyDescent="0.3">
      <c r="A907" s="127">
        <v>1116</v>
      </c>
      <c r="B907" s="128">
        <v>43787</v>
      </c>
      <c r="C907" s="129" t="s">
        <v>50</v>
      </c>
      <c r="D907" s="129" t="s">
        <v>1527</v>
      </c>
      <c r="E907" s="168"/>
      <c r="F907" s="253">
        <v>3420</v>
      </c>
    </row>
    <row r="908" spans="1:6" ht="15.6" x14ac:dyDescent="0.3">
      <c r="A908" s="127">
        <v>1117</v>
      </c>
      <c r="B908" s="128">
        <v>43788</v>
      </c>
      <c r="C908" s="129" t="s">
        <v>1394</v>
      </c>
      <c r="D908" s="129" t="s">
        <v>1516</v>
      </c>
      <c r="E908" s="168"/>
      <c r="F908" s="253">
        <v>3000</v>
      </c>
    </row>
    <row r="909" spans="1:6" ht="15.6" x14ac:dyDescent="0.3">
      <c r="A909" s="127">
        <v>1118</v>
      </c>
      <c r="B909" s="128">
        <v>43788</v>
      </c>
      <c r="C909" s="129" t="s">
        <v>42</v>
      </c>
      <c r="D909" s="129" t="s">
        <v>1521</v>
      </c>
      <c r="E909" s="168"/>
      <c r="F909" s="253">
        <v>150</v>
      </c>
    </row>
    <row r="910" spans="1:6" ht="15.6" x14ac:dyDescent="0.3">
      <c r="A910" s="127">
        <v>1119</v>
      </c>
      <c r="B910" s="128">
        <v>43788</v>
      </c>
      <c r="C910" s="129" t="s">
        <v>259</v>
      </c>
      <c r="D910" s="129" t="s">
        <v>1533</v>
      </c>
      <c r="E910" s="168"/>
      <c r="F910" s="253">
        <v>15000</v>
      </c>
    </row>
    <row r="911" spans="1:6" ht="15.6" x14ac:dyDescent="0.3">
      <c r="A911" s="127">
        <v>1120</v>
      </c>
      <c r="B911" s="128">
        <v>43788</v>
      </c>
      <c r="C911" s="129" t="s">
        <v>50</v>
      </c>
      <c r="D911" s="129" t="s">
        <v>1527</v>
      </c>
      <c r="E911" s="168"/>
      <c r="F911" s="253">
        <v>2700</v>
      </c>
    </row>
    <row r="912" spans="1:6" ht="15.6" x14ac:dyDescent="0.3">
      <c r="A912" s="127">
        <v>1121</v>
      </c>
      <c r="B912" s="128">
        <v>43788</v>
      </c>
      <c r="C912" s="133" t="s">
        <v>1622</v>
      </c>
      <c r="D912" s="133" t="s">
        <v>1520</v>
      </c>
      <c r="E912" s="169">
        <v>60000</v>
      </c>
      <c r="F912" s="254"/>
    </row>
    <row r="913" spans="1:6" ht="15.6" x14ac:dyDescent="0.3">
      <c r="A913" s="127">
        <v>1122</v>
      </c>
      <c r="B913" s="128">
        <v>43789</v>
      </c>
      <c r="C913" s="129" t="s">
        <v>42</v>
      </c>
      <c r="D913" s="129" t="s">
        <v>1521</v>
      </c>
      <c r="E913" s="168"/>
      <c r="F913" s="253">
        <v>100</v>
      </c>
    </row>
    <row r="914" spans="1:6" ht="15.6" x14ac:dyDescent="0.3">
      <c r="A914" s="127">
        <v>1123</v>
      </c>
      <c r="B914" s="128">
        <v>43789</v>
      </c>
      <c r="C914" s="129" t="s">
        <v>1696</v>
      </c>
      <c r="D914" s="129" t="s">
        <v>1516</v>
      </c>
      <c r="E914" s="168"/>
      <c r="F914" s="253">
        <v>5700</v>
      </c>
    </row>
    <row r="915" spans="1:6" ht="15.6" x14ac:dyDescent="0.3">
      <c r="A915" s="127">
        <v>1124</v>
      </c>
      <c r="B915" s="128">
        <v>43790</v>
      </c>
      <c r="C915" s="129" t="s">
        <v>1395</v>
      </c>
      <c r="D915" s="129" t="s">
        <v>1516</v>
      </c>
      <c r="E915" s="168"/>
      <c r="F915" s="253">
        <v>5000</v>
      </c>
    </row>
    <row r="916" spans="1:6" ht="15.6" x14ac:dyDescent="0.3">
      <c r="A916" s="127">
        <v>1125</v>
      </c>
      <c r="B916" s="128">
        <v>43790</v>
      </c>
      <c r="C916" s="129" t="s">
        <v>42</v>
      </c>
      <c r="D916" s="129" t="s">
        <v>1521</v>
      </c>
      <c r="E916" s="168"/>
      <c r="F916" s="253">
        <v>100</v>
      </c>
    </row>
    <row r="917" spans="1:6" ht="15.6" x14ac:dyDescent="0.3">
      <c r="A917" s="127">
        <v>1126</v>
      </c>
      <c r="B917" s="128">
        <v>43790</v>
      </c>
      <c r="C917" s="129" t="s">
        <v>1548</v>
      </c>
      <c r="D917" s="129" t="s">
        <v>1526</v>
      </c>
      <c r="E917" s="168"/>
      <c r="F917" s="253">
        <v>50000</v>
      </c>
    </row>
    <row r="918" spans="1:6" ht="15.6" x14ac:dyDescent="0.3">
      <c r="A918" s="127">
        <v>1127</v>
      </c>
      <c r="B918" s="128">
        <v>43790</v>
      </c>
      <c r="C918" s="129" t="s">
        <v>1650</v>
      </c>
      <c r="D918" s="129" t="s">
        <v>1516</v>
      </c>
      <c r="E918" s="168"/>
      <c r="F918" s="253">
        <v>2000</v>
      </c>
    </row>
    <row r="919" spans="1:6" ht="15.6" x14ac:dyDescent="0.3">
      <c r="A919" s="127">
        <v>1128</v>
      </c>
      <c r="B919" s="128">
        <v>43790</v>
      </c>
      <c r="C919" s="133" t="s">
        <v>1622</v>
      </c>
      <c r="D919" s="133" t="s">
        <v>1520</v>
      </c>
      <c r="E919" s="169">
        <v>30000</v>
      </c>
      <c r="F919" s="254"/>
    </row>
    <row r="920" spans="1:6" ht="15.6" x14ac:dyDescent="0.3">
      <c r="A920" s="127">
        <v>1129</v>
      </c>
      <c r="B920" s="128">
        <v>43793</v>
      </c>
      <c r="C920" s="129" t="s">
        <v>1548</v>
      </c>
      <c r="D920" s="129" t="s">
        <v>1526</v>
      </c>
      <c r="E920" s="168"/>
      <c r="F920" s="253">
        <v>50000</v>
      </c>
    </row>
    <row r="921" spans="1:6" ht="15.6" x14ac:dyDescent="0.3">
      <c r="A921" s="127">
        <v>1130</v>
      </c>
      <c r="B921" s="128">
        <v>43793</v>
      </c>
      <c r="C921" s="129" t="s">
        <v>259</v>
      </c>
      <c r="D921" s="129" t="s">
        <v>1533</v>
      </c>
      <c r="E921" s="168"/>
      <c r="F921" s="253">
        <v>10000</v>
      </c>
    </row>
    <row r="922" spans="1:6" ht="15.6" x14ac:dyDescent="0.3">
      <c r="A922" s="127">
        <v>1131</v>
      </c>
      <c r="B922" s="128">
        <v>43793</v>
      </c>
      <c r="C922" s="133" t="s">
        <v>1622</v>
      </c>
      <c r="D922" s="133" t="s">
        <v>1520</v>
      </c>
      <c r="E922" s="169">
        <v>60000</v>
      </c>
      <c r="F922" s="254"/>
    </row>
    <row r="923" spans="1:6" ht="15.6" x14ac:dyDescent="0.3">
      <c r="A923" s="127">
        <v>1132</v>
      </c>
      <c r="B923" s="128">
        <v>43794</v>
      </c>
      <c r="C923" s="129" t="s">
        <v>248</v>
      </c>
      <c r="D923" s="129" t="s">
        <v>1471</v>
      </c>
      <c r="E923" s="168"/>
      <c r="F923" s="253">
        <v>1000</v>
      </c>
    </row>
    <row r="924" spans="1:6" ht="15.6" x14ac:dyDescent="0.3">
      <c r="A924" s="127">
        <v>1133</v>
      </c>
      <c r="B924" s="128">
        <v>43794</v>
      </c>
      <c r="C924" s="129" t="s">
        <v>113</v>
      </c>
      <c r="D924" s="129" t="s">
        <v>1529</v>
      </c>
      <c r="E924" s="168"/>
      <c r="F924" s="253">
        <v>5000</v>
      </c>
    </row>
    <row r="925" spans="1:6" ht="15.6" x14ac:dyDescent="0.3">
      <c r="A925" s="127">
        <v>1134</v>
      </c>
      <c r="B925" s="128">
        <v>43794</v>
      </c>
      <c r="C925" s="129" t="s">
        <v>1650</v>
      </c>
      <c r="D925" s="129" t="s">
        <v>1516</v>
      </c>
      <c r="E925" s="168"/>
      <c r="F925" s="253">
        <v>1000</v>
      </c>
    </row>
    <row r="926" spans="1:6" ht="15.6" x14ac:dyDescent="0.3">
      <c r="A926" s="127">
        <v>1135</v>
      </c>
      <c r="B926" s="128">
        <v>43797</v>
      </c>
      <c r="C926" s="129" t="s">
        <v>1457</v>
      </c>
      <c r="D926" s="129" t="s">
        <v>1516</v>
      </c>
      <c r="E926" s="168"/>
      <c r="F926" s="253">
        <v>-1000</v>
      </c>
    </row>
    <row r="927" spans="1:6" ht="15.6" x14ac:dyDescent="0.3">
      <c r="A927" s="127">
        <v>1136</v>
      </c>
      <c r="B927" s="128">
        <v>43797</v>
      </c>
      <c r="C927" s="129" t="s">
        <v>1458</v>
      </c>
      <c r="D927" s="129" t="s">
        <v>1520</v>
      </c>
      <c r="E927" s="169">
        <v>20000</v>
      </c>
      <c r="F927" s="254"/>
    </row>
    <row r="928" spans="1:6" ht="15.6" x14ac:dyDescent="0.3">
      <c r="A928" s="127">
        <v>1137</v>
      </c>
      <c r="B928" s="128">
        <v>43797</v>
      </c>
      <c r="C928" s="129" t="s">
        <v>1459</v>
      </c>
      <c r="D928" s="129" t="s">
        <v>1526</v>
      </c>
      <c r="E928" s="168"/>
      <c r="F928" s="253">
        <v>-25000</v>
      </c>
    </row>
    <row r="929" spans="1:6" ht="15.6" x14ac:dyDescent="0.3">
      <c r="A929" s="127">
        <v>1138</v>
      </c>
      <c r="B929" s="128">
        <v>43799</v>
      </c>
      <c r="C929" s="129" t="s">
        <v>1548</v>
      </c>
      <c r="D929" s="129" t="s">
        <v>1526</v>
      </c>
      <c r="E929" s="168"/>
      <c r="F929" s="253">
        <v>100000</v>
      </c>
    </row>
    <row r="930" spans="1:6" ht="15.6" x14ac:dyDescent="0.3">
      <c r="A930" s="127">
        <v>1139</v>
      </c>
      <c r="B930" s="128">
        <v>43799</v>
      </c>
      <c r="C930" s="129" t="s">
        <v>259</v>
      </c>
      <c r="D930" s="129" t="s">
        <v>1533</v>
      </c>
      <c r="E930" s="168"/>
      <c r="F930" s="253">
        <v>40000</v>
      </c>
    </row>
    <row r="931" spans="1:6" ht="15.6" x14ac:dyDescent="0.3">
      <c r="A931" s="127">
        <v>1140</v>
      </c>
      <c r="B931" s="128">
        <v>43799</v>
      </c>
      <c r="C931" s="133" t="s">
        <v>1622</v>
      </c>
      <c r="D931" s="133" t="s">
        <v>1520</v>
      </c>
      <c r="E931" s="169">
        <v>60000</v>
      </c>
      <c r="F931" s="254"/>
    </row>
    <row r="932" spans="1:6" ht="15.6" x14ac:dyDescent="0.3">
      <c r="A932" s="127">
        <v>1141</v>
      </c>
      <c r="B932" s="128">
        <v>43799</v>
      </c>
      <c r="C932" s="133" t="s">
        <v>1622</v>
      </c>
      <c r="D932" s="133" t="s">
        <v>1520</v>
      </c>
      <c r="E932" s="169">
        <v>120000</v>
      </c>
      <c r="F932" s="254"/>
    </row>
    <row r="933" spans="1:6" ht="15.6" x14ac:dyDescent="0.3">
      <c r="A933" s="127">
        <v>1142</v>
      </c>
      <c r="B933" s="128">
        <v>43799</v>
      </c>
      <c r="C933" s="129" t="s">
        <v>42</v>
      </c>
      <c r="D933" s="129" t="s">
        <v>1521</v>
      </c>
      <c r="E933" s="168"/>
      <c r="F933" s="253">
        <v>-30</v>
      </c>
    </row>
    <row r="934" spans="1:6" ht="15.6" x14ac:dyDescent="0.3">
      <c r="A934" s="127">
        <v>1143</v>
      </c>
      <c r="B934" s="128">
        <v>43801</v>
      </c>
      <c r="C934" s="129" t="s">
        <v>1461</v>
      </c>
      <c r="D934" s="129" t="s">
        <v>1516</v>
      </c>
      <c r="E934" s="168"/>
      <c r="F934" s="253">
        <v>17500</v>
      </c>
    </row>
    <row r="935" spans="1:6" ht="15.6" x14ac:dyDescent="0.3">
      <c r="A935" s="127">
        <v>1144</v>
      </c>
      <c r="B935" s="128">
        <v>43801</v>
      </c>
      <c r="C935" s="129" t="s">
        <v>1462</v>
      </c>
      <c r="D935" s="129" t="s">
        <v>1516</v>
      </c>
      <c r="E935" s="168"/>
      <c r="F935" s="253">
        <v>10000</v>
      </c>
    </row>
    <row r="936" spans="1:6" ht="15.6" x14ac:dyDescent="0.3">
      <c r="A936" s="127">
        <v>1145</v>
      </c>
      <c r="B936" s="128">
        <v>43803</v>
      </c>
      <c r="C936" s="129" t="s">
        <v>1458</v>
      </c>
      <c r="D936" s="129" t="s">
        <v>1520</v>
      </c>
      <c r="E936" s="169">
        <v>50000</v>
      </c>
      <c r="F936" s="254"/>
    </row>
    <row r="937" spans="1:6" ht="15.6" x14ac:dyDescent="0.3">
      <c r="A937" s="127">
        <v>1146</v>
      </c>
      <c r="B937" s="128">
        <v>43803</v>
      </c>
      <c r="C937" s="129" t="s">
        <v>1463</v>
      </c>
      <c r="D937" s="129" t="s">
        <v>1526</v>
      </c>
      <c r="E937" s="168"/>
      <c r="F937" s="253">
        <v>25000</v>
      </c>
    </row>
    <row r="938" spans="1:6" ht="15.6" x14ac:dyDescent="0.3">
      <c r="A938" s="127">
        <v>1147</v>
      </c>
      <c r="B938" s="128">
        <v>43803</v>
      </c>
      <c r="C938" s="129" t="s">
        <v>259</v>
      </c>
      <c r="D938" s="129" t="s">
        <v>1533</v>
      </c>
      <c r="E938" s="168"/>
      <c r="F938" s="253">
        <v>25000</v>
      </c>
    </row>
    <row r="939" spans="1:6" ht="15.6" x14ac:dyDescent="0.3">
      <c r="A939" s="127">
        <v>1148</v>
      </c>
      <c r="B939" s="128">
        <v>43804</v>
      </c>
      <c r="C939" s="129" t="s">
        <v>1464</v>
      </c>
      <c r="D939" s="129" t="s">
        <v>1521</v>
      </c>
      <c r="E939" s="168"/>
      <c r="F939" s="253">
        <v>240</v>
      </c>
    </row>
    <row r="940" spans="1:6" ht="15.6" x14ac:dyDescent="0.3">
      <c r="A940" s="127">
        <v>1149</v>
      </c>
      <c r="B940" s="128">
        <v>43805</v>
      </c>
      <c r="C940" s="129" t="s">
        <v>113</v>
      </c>
      <c r="D940" s="129" t="s">
        <v>1529</v>
      </c>
      <c r="E940" s="168"/>
      <c r="F940" s="253">
        <v>10000</v>
      </c>
    </row>
    <row r="941" spans="1:6" ht="15.6" x14ac:dyDescent="0.3">
      <c r="A941" s="127">
        <v>1150</v>
      </c>
      <c r="B941" s="128">
        <v>43806</v>
      </c>
      <c r="C941" s="129" t="s">
        <v>1457</v>
      </c>
      <c r="D941" s="129" t="s">
        <v>1516</v>
      </c>
      <c r="E941" s="168"/>
      <c r="F941" s="253">
        <v>1000</v>
      </c>
    </row>
    <row r="942" spans="1:6" ht="15.6" x14ac:dyDescent="0.3">
      <c r="A942" s="127">
        <v>1152</v>
      </c>
      <c r="B942" s="128">
        <v>43810</v>
      </c>
      <c r="C942" s="129" t="s">
        <v>1458</v>
      </c>
      <c r="D942" s="129" t="s">
        <v>1520</v>
      </c>
      <c r="E942" s="169">
        <v>400000</v>
      </c>
      <c r="F942" s="254"/>
    </row>
    <row r="943" spans="1:6" ht="15.6" x14ac:dyDescent="0.3">
      <c r="A943" s="127">
        <v>1153</v>
      </c>
      <c r="B943" s="128">
        <v>43810</v>
      </c>
      <c r="C943" s="129" t="s">
        <v>1463</v>
      </c>
      <c r="D943" s="129" t="s">
        <v>1526</v>
      </c>
      <c r="E943" s="168"/>
      <c r="F943" s="253">
        <v>160000</v>
      </c>
    </row>
    <row r="944" spans="1:6" ht="15.6" x14ac:dyDescent="0.3">
      <c r="A944" s="127">
        <v>1154</v>
      </c>
      <c r="B944" s="128">
        <v>43810</v>
      </c>
      <c r="C944" s="129" t="s">
        <v>259</v>
      </c>
      <c r="D944" s="129" t="s">
        <v>1533</v>
      </c>
      <c r="E944" s="168"/>
      <c r="F944" s="253">
        <v>51000</v>
      </c>
    </row>
    <row r="945" spans="1:6" ht="15.6" x14ac:dyDescent="0.3">
      <c r="A945" s="127">
        <v>1155</v>
      </c>
      <c r="B945" s="128">
        <v>43810</v>
      </c>
      <c r="C945" s="129" t="s">
        <v>1457</v>
      </c>
      <c r="D945" s="129" t="s">
        <v>1516</v>
      </c>
      <c r="E945" s="168"/>
      <c r="F945" s="253">
        <v>20000</v>
      </c>
    </row>
    <row r="946" spans="1:6" ht="15.6" x14ac:dyDescent="0.3">
      <c r="A946" s="127">
        <v>1156</v>
      </c>
      <c r="B946" s="128">
        <v>43810</v>
      </c>
      <c r="C946" s="129" t="s">
        <v>1465</v>
      </c>
      <c r="D946" s="129" t="s">
        <v>1517</v>
      </c>
      <c r="E946" s="168"/>
      <c r="F946" s="253">
        <v>60000</v>
      </c>
    </row>
    <row r="947" spans="1:6" ht="15.6" x14ac:dyDescent="0.3">
      <c r="A947" s="127">
        <v>1157</v>
      </c>
      <c r="B947" s="128">
        <v>43810</v>
      </c>
      <c r="C947" s="129" t="s">
        <v>1466</v>
      </c>
      <c r="D947" s="129" t="s">
        <v>1523</v>
      </c>
      <c r="E947" s="168"/>
      <c r="F947" s="253">
        <v>50000</v>
      </c>
    </row>
    <row r="948" spans="1:6" ht="15.6" x14ac:dyDescent="0.3">
      <c r="A948" s="127">
        <v>1158</v>
      </c>
      <c r="B948" s="128">
        <v>43810</v>
      </c>
      <c r="C948" s="129" t="s">
        <v>50</v>
      </c>
      <c r="D948" s="129" t="s">
        <v>1527</v>
      </c>
      <c r="E948" s="168"/>
      <c r="F948" s="253">
        <v>2700</v>
      </c>
    </row>
    <row r="949" spans="1:6" ht="15.6" x14ac:dyDescent="0.3">
      <c r="A949" s="127">
        <v>1159</v>
      </c>
      <c r="B949" s="128">
        <v>43810</v>
      </c>
      <c r="C949" s="129" t="s">
        <v>1451</v>
      </c>
      <c r="D949" s="129" t="s">
        <v>1527</v>
      </c>
      <c r="E949" s="168"/>
      <c r="F949" s="253">
        <v>650</v>
      </c>
    </row>
    <row r="950" spans="1:6" ht="15.6" x14ac:dyDescent="0.3">
      <c r="A950" s="127">
        <v>1160</v>
      </c>
      <c r="B950" s="128">
        <v>43810</v>
      </c>
      <c r="C950" s="129" t="s">
        <v>113</v>
      </c>
      <c r="D950" s="129" t="s">
        <v>1529</v>
      </c>
      <c r="E950" s="168"/>
      <c r="F950" s="253">
        <v>15000</v>
      </c>
    </row>
    <row r="951" spans="1:6" ht="15.6" x14ac:dyDescent="0.3">
      <c r="A951" s="127">
        <v>1161</v>
      </c>
      <c r="B951" s="128">
        <v>43813</v>
      </c>
      <c r="C951" s="129" t="s">
        <v>1713</v>
      </c>
      <c r="D951" s="129" t="s">
        <v>1516</v>
      </c>
      <c r="E951" s="168"/>
      <c r="F951" s="253">
        <v>2000</v>
      </c>
    </row>
    <row r="952" spans="1:6" ht="15.6" x14ac:dyDescent="0.3">
      <c r="A952" s="127">
        <v>1163</v>
      </c>
      <c r="B952" s="128">
        <v>43816</v>
      </c>
      <c r="C952" s="129" t="s">
        <v>1714</v>
      </c>
      <c r="D952" s="129" t="s">
        <v>1533</v>
      </c>
      <c r="E952" s="141"/>
      <c r="F952" s="253">
        <v>760</v>
      </c>
    </row>
    <row r="953" spans="1:6" ht="15.6" x14ac:dyDescent="0.3">
      <c r="A953" s="127">
        <v>1164</v>
      </c>
      <c r="B953" s="128">
        <v>43816</v>
      </c>
      <c r="C953" s="129" t="s">
        <v>113</v>
      </c>
      <c r="D953" s="129" t="s">
        <v>1529</v>
      </c>
      <c r="E953" s="141"/>
      <c r="F953" s="253">
        <v>20000</v>
      </c>
    </row>
    <row r="954" spans="1:6" ht="15.6" x14ac:dyDescent="0.3">
      <c r="A954" s="127">
        <v>1166</v>
      </c>
      <c r="B954" s="128">
        <v>43818</v>
      </c>
      <c r="C954" s="129" t="s">
        <v>1458</v>
      </c>
      <c r="D954" s="129" t="s">
        <v>1520</v>
      </c>
      <c r="E954" s="169">
        <v>100000</v>
      </c>
      <c r="F954" s="254"/>
    </row>
    <row r="955" spans="1:6" ht="15.6" x14ac:dyDescent="0.3">
      <c r="A955" s="127">
        <v>1167</v>
      </c>
      <c r="B955" s="128">
        <v>43818</v>
      </c>
      <c r="C955" s="129" t="s">
        <v>1717</v>
      </c>
      <c r="D955" s="129" t="s">
        <v>1526</v>
      </c>
      <c r="E955" s="141"/>
      <c r="F955" s="253">
        <v>30000</v>
      </c>
    </row>
    <row r="956" spans="1:6" ht="15.6" x14ac:dyDescent="0.3">
      <c r="A956" s="127">
        <v>1168</v>
      </c>
      <c r="B956" s="128">
        <v>43818</v>
      </c>
      <c r="C956" s="129" t="s">
        <v>1715</v>
      </c>
      <c r="D956" s="129" t="s">
        <v>1533</v>
      </c>
      <c r="E956" s="141"/>
      <c r="F956" s="253">
        <v>25000</v>
      </c>
    </row>
    <row r="957" spans="1:6" ht="15.6" x14ac:dyDescent="0.3">
      <c r="A957" s="127">
        <v>1169</v>
      </c>
      <c r="B957" s="128">
        <v>43818</v>
      </c>
      <c r="C957" s="129" t="s">
        <v>1716</v>
      </c>
      <c r="D957" s="129" t="s">
        <v>1516</v>
      </c>
      <c r="E957" s="141"/>
      <c r="F957" s="253">
        <v>5000</v>
      </c>
    </row>
    <row r="958" spans="1:6" ht="15.6" x14ac:dyDescent="0.3">
      <c r="A958" s="127">
        <v>1170</v>
      </c>
      <c r="B958" s="128">
        <v>43820</v>
      </c>
      <c r="C958" s="129" t="s">
        <v>1718</v>
      </c>
      <c r="D958" s="129" t="s">
        <v>1516</v>
      </c>
      <c r="E958" s="141"/>
      <c r="F958" s="253">
        <v>10000</v>
      </c>
    </row>
    <row r="959" spans="1:6" ht="15.6" x14ac:dyDescent="0.3">
      <c r="A959" s="127">
        <v>1171</v>
      </c>
      <c r="B959" s="128">
        <v>43822</v>
      </c>
      <c r="C959" s="129" t="s">
        <v>1717</v>
      </c>
      <c r="D959" s="129" t="s">
        <v>1526</v>
      </c>
      <c r="E959" s="141"/>
      <c r="F959" s="253">
        <v>10000</v>
      </c>
    </row>
    <row r="960" spans="1:6" ht="15.6" x14ac:dyDescent="0.3">
      <c r="A960" s="127">
        <v>1172</v>
      </c>
      <c r="B960" s="128">
        <v>43822</v>
      </c>
      <c r="C960" s="129" t="s">
        <v>1715</v>
      </c>
      <c r="D960" s="129" t="s">
        <v>1533</v>
      </c>
      <c r="E960" s="141"/>
      <c r="F960" s="253">
        <v>2000</v>
      </c>
    </row>
    <row r="961" spans="1:7" ht="15.6" x14ac:dyDescent="0.3">
      <c r="A961" s="127">
        <v>1173</v>
      </c>
      <c r="B961" s="128">
        <v>43822</v>
      </c>
      <c r="C961" s="129" t="s">
        <v>1760</v>
      </c>
      <c r="D961" s="129" t="s">
        <v>1521</v>
      </c>
      <c r="E961" s="141"/>
      <c r="F961" s="253">
        <v>435</v>
      </c>
    </row>
    <row r="962" spans="1:7" ht="15.6" x14ac:dyDescent="0.3">
      <c r="A962" s="127">
        <v>1174</v>
      </c>
      <c r="B962" s="128">
        <v>43823</v>
      </c>
      <c r="C962" s="129" t="s">
        <v>1719</v>
      </c>
      <c r="D962" s="129" t="s">
        <v>1523</v>
      </c>
      <c r="E962" s="141"/>
      <c r="F962" s="253">
        <v>50000</v>
      </c>
    </row>
    <row r="963" spans="1:7" ht="15.6" x14ac:dyDescent="0.3">
      <c r="A963" s="127">
        <v>1175</v>
      </c>
      <c r="B963" s="128">
        <v>43823</v>
      </c>
      <c r="C963" s="129" t="s">
        <v>1720</v>
      </c>
      <c r="D963" s="129" t="s">
        <v>1521</v>
      </c>
      <c r="E963" s="141"/>
      <c r="F963" s="253">
        <v>70</v>
      </c>
    </row>
    <row r="964" spans="1:7" ht="15.6" x14ac:dyDescent="0.3">
      <c r="A964" s="127">
        <v>1176</v>
      </c>
      <c r="B964" s="128">
        <v>43823</v>
      </c>
      <c r="C964" s="129" t="s">
        <v>50</v>
      </c>
      <c r="D964" s="129" t="s">
        <v>1521</v>
      </c>
      <c r="E964" s="141"/>
      <c r="F964" s="253">
        <v>1500</v>
      </c>
    </row>
    <row r="965" spans="1:7" ht="15.6" x14ac:dyDescent="0.3">
      <c r="A965" s="127">
        <v>1177</v>
      </c>
      <c r="B965" s="128">
        <v>43823</v>
      </c>
      <c r="C965" s="129" t="s">
        <v>1722</v>
      </c>
      <c r="D965" s="129" t="s">
        <v>1524</v>
      </c>
      <c r="E965" s="141"/>
      <c r="F965" s="253">
        <v>15000</v>
      </c>
    </row>
    <row r="966" spans="1:7" ht="15.6" x14ac:dyDescent="0.3">
      <c r="A966" s="127">
        <v>1178</v>
      </c>
      <c r="B966" s="128">
        <v>43825</v>
      </c>
      <c r="C966" s="129" t="s">
        <v>1723</v>
      </c>
      <c r="D966" s="129" t="s">
        <v>1520</v>
      </c>
      <c r="E966" s="169">
        <v>50000</v>
      </c>
      <c r="F966" s="254"/>
    </row>
    <row r="967" spans="1:7" ht="15.6" x14ac:dyDescent="0.3">
      <c r="A967" s="127">
        <v>1179</v>
      </c>
      <c r="B967" s="128">
        <v>43825</v>
      </c>
      <c r="C967" s="129" t="s">
        <v>1724</v>
      </c>
      <c r="D967" s="129" t="s">
        <v>1526</v>
      </c>
      <c r="E967" s="141"/>
      <c r="F967" s="253">
        <v>40000</v>
      </c>
    </row>
    <row r="968" spans="1:7" ht="15.6" x14ac:dyDescent="0.3">
      <c r="A968" s="127">
        <v>1180</v>
      </c>
      <c r="B968" s="128">
        <v>43825</v>
      </c>
      <c r="C968" s="129" t="s">
        <v>1718</v>
      </c>
      <c r="D968" s="129" t="s">
        <v>1516</v>
      </c>
      <c r="E968" s="141"/>
      <c r="F968" s="253">
        <v>18000</v>
      </c>
    </row>
    <row r="969" spans="1:7" ht="15.6" x14ac:dyDescent="0.3">
      <c r="A969" s="127">
        <v>1181</v>
      </c>
      <c r="B969" s="128">
        <v>43825</v>
      </c>
      <c r="C969" s="129" t="s">
        <v>1715</v>
      </c>
      <c r="D969" s="129" t="s">
        <v>1533</v>
      </c>
      <c r="E969" s="141"/>
      <c r="F969" s="253">
        <v>8000</v>
      </c>
    </row>
    <row r="970" spans="1:7" ht="15.6" x14ac:dyDescent="0.3">
      <c r="A970" s="127">
        <v>1182</v>
      </c>
      <c r="B970" s="128">
        <v>43825</v>
      </c>
      <c r="C970" s="129" t="s">
        <v>1716</v>
      </c>
      <c r="D970" s="129" t="s">
        <v>1516</v>
      </c>
      <c r="E970" s="141"/>
      <c r="F970" s="253">
        <v>1000</v>
      </c>
    </row>
    <row r="971" spans="1:7" ht="15.6" x14ac:dyDescent="0.3">
      <c r="A971" s="127">
        <v>1183</v>
      </c>
      <c r="B971" s="128">
        <v>43826</v>
      </c>
      <c r="C971" s="129" t="s">
        <v>1726</v>
      </c>
      <c r="D971" s="129" t="s">
        <v>1521</v>
      </c>
      <c r="E971" s="141"/>
      <c r="F971" s="253">
        <v>260</v>
      </c>
    </row>
    <row r="972" spans="1:7" ht="15.6" x14ac:dyDescent="0.3">
      <c r="A972" s="127">
        <v>1184</v>
      </c>
      <c r="B972" s="128">
        <v>43826</v>
      </c>
      <c r="C972" s="129" t="s">
        <v>1725</v>
      </c>
      <c r="D972" s="129" t="s">
        <v>1521</v>
      </c>
      <c r="E972" s="141"/>
      <c r="F972" s="253">
        <v>560</v>
      </c>
    </row>
    <row r="973" spans="1:7" ht="15.6" x14ac:dyDescent="0.3">
      <c r="A973" s="127">
        <v>1188</v>
      </c>
      <c r="B973" s="128">
        <v>43830</v>
      </c>
      <c r="C973" s="129" t="s">
        <v>1729</v>
      </c>
      <c r="D973" s="129" t="s">
        <v>1516</v>
      </c>
      <c r="E973" s="141"/>
      <c r="F973" s="253">
        <v>1800</v>
      </c>
      <c r="G973" s="187"/>
    </row>
    <row r="974" spans="1:7" ht="15.6" x14ac:dyDescent="0.3">
      <c r="A974" s="127">
        <v>1189</v>
      </c>
      <c r="B974" s="128">
        <v>43830</v>
      </c>
      <c r="C974" s="129" t="s">
        <v>1715</v>
      </c>
      <c r="D974" s="129" t="s">
        <v>1533</v>
      </c>
      <c r="E974" s="141"/>
      <c r="F974" s="253">
        <v>2000</v>
      </c>
      <c r="G974" s="187"/>
    </row>
    <row r="975" spans="1:7" ht="15.6" x14ac:dyDescent="0.3">
      <c r="A975" s="127">
        <v>1190</v>
      </c>
      <c r="B975" s="128">
        <v>43832</v>
      </c>
      <c r="C975" s="129" t="s">
        <v>1758</v>
      </c>
      <c r="D975" s="129" t="s">
        <v>1520</v>
      </c>
      <c r="E975" s="141">
        <v>80000</v>
      </c>
      <c r="F975" s="253"/>
      <c r="G975" s="187"/>
    </row>
    <row r="976" spans="1:7" ht="15.6" x14ac:dyDescent="0.3">
      <c r="A976" s="127">
        <v>1191</v>
      </c>
      <c r="B976" s="128">
        <v>43834</v>
      </c>
      <c r="C976" s="129" t="s">
        <v>1758</v>
      </c>
      <c r="D976" s="129" t="s">
        <v>1520</v>
      </c>
      <c r="E976" s="141">
        <v>80000</v>
      </c>
      <c r="F976" s="253"/>
      <c r="G976" s="187"/>
    </row>
    <row r="977" spans="1:7" ht="15.6" x14ac:dyDescent="0.3">
      <c r="A977" s="127">
        <v>1192</v>
      </c>
      <c r="B977" s="128">
        <v>43834</v>
      </c>
      <c r="C977" s="129" t="s">
        <v>1724</v>
      </c>
      <c r="D977" s="129" t="s">
        <v>1526</v>
      </c>
      <c r="E977" s="141"/>
      <c r="F977" s="253">
        <v>50000</v>
      </c>
      <c r="G977" s="187"/>
    </row>
    <row r="978" spans="1:7" ht="15.6" x14ac:dyDescent="0.3">
      <c r="A978" s="127">
        <v>1193</v>
      </c>
      <c r="B978" s="128">
        <v>43836</v>
      </c>
      <c r="C978" s="129" t="s">
        <v>1715</v>
      </c>
      <c r="D978" s="129" t="s">
        <v>1533</v>
      </c>
      <c r="E978" s="141"/>
      <c r="F978" s="253">
        <v>70000</v>
      </c>
      <c r="G978" s="187"/>
    </row>
    <row r="979" spans="1:7" ht="15.6" x14ac:dyDescent="0.3">
      <c r="A979" s="127">
        <v>1194</v>
      </c>
      <c r="B979" s="128">
        <v>43836</v>
      </c>
      <c r="C979" s="129" t="s">
        <v>1716</v>
      </c>
      <c r="D979" s="129" t="s">
        <v>1516</v>
      </c>
      <c r="E979" s="141"/>
      <c r="F979" s="253">
        <v>2000</v>
      </c>
      <c r="G979" s="187"/>
    </row>
    <row r="980" spans="1:7" ht="15.6" x14ac:dyDescent="0.3">
      <c r="A980" s="127">
        <v>1195</v>
      </c>
      <c r="B980" s="128">
        <v>43837</v>
      </c>
      <c r="C980" s="129" t="s">
        <v>1758</v>
      </c>
      <c r="D980" s="129" t="s">
        <v>1520</v>
      </c>
      <c r="E980" s="141">
        <v>50000</v>
      </c>
      <c r="F980" s="253"/>
      <c r="G980" s="187"/>
    </row>
    <row r="981" spans="1:7" ht="15.6" x14ac:dyDescent="0.3">
      <c r="A981" s="127">
        <v>1196</v>
      </c>
      <c r="B981" s="128">
        <v>43837</v>
      </c>
      <c r="C981" s="129" t="s">
        <v>1724</v>
      </c>
      <c r="D981" s="129" t="s">
        <v>1526</v>
      </c>
      <c r="E981" s="141"/>
      <c r="F981" s="253">
        <v>10000</v>
      </c>
      <c r="G981" s="187"/>
    </row>
    <row r="982" spans="1:7" ht="15.6" x14ac:dyDescent="0.3">
      <c r="A982" s="127">
        <v>1197</v>
      </c>
      <c r="B982" s="128">
        <v>43837</v>
      </c>
      <c r="C982" s="129" t="s">
        <v>1759</v>
      </c>
      <c r="D982" s="129" t="s">
        <v>1516</v>
      </c>
      <c r="E982" s="141"/>
      <c r="F982" s="253">
        <v>3000</v>
      </c>
      <c r="G982" s="187"/>
    </row>
    <row r="983" spans="1:7" ht="15.6" x14ac:dyDescent="0.3">
      <c r="A983" s="127">
        <v>1198</v>
      </c>
      <c r="B983" s="128">
        <v>43837</v>
      </c>
      <c r="C983" s="129" t="s">
        <v>113</v>
      </c>
      <c r="D983" s="129" t="s">
        <v>1529</v>
      </c>
      <c r="E983" s="141"/>
      <c r="F983" s="253">
        <v>25000</v>
      </c>
      <c r="G983" s="187"/>
    </row>
    <row r="984" spans="1:7" ht="15.6" x14ac:dyDescent="0.3">
      <c r="A984" s="127">
        <v>1199</v>
      </c>
      <c r="B984" s="128">
        <v>43837</v>
      </c>
      <c r="C984" s="129" t="s">
        <v>1761</v>
      </c>
      <c r="D984" s="129" t="s">
        <v>1516</v>
      </c>
      <c r="E984" s="141"/>
      <c r="F984" s="253">
        <v>13650</v>
      </c>
      <c r="G984" s="187"/>
    </row>
    <row r="985" spans="1:7" ht="15.6" x14ac:dyDescent="0.3">
      <c r="A985" s="127">
        <v>1200</v>
      </c>
      <c r="B985" s="128">
        <v>43837</v>
      </c>
      <c r="C985" s="129" t="s">
        <v>1716</v>
      </c>
      <c r="D985" s="129" t="s">
        <v>1516</v>
      </c>
      <c r="E985" s="141"/>
      <c r="F985" s="253">
        <v>450</v>
      </c>
      <c r="G985" s="187"/>
    </row>
    <row r="986" spans="1:7" ht="15.6" x14ac:dyDescent="0.3">
      <c r="A986" s="127">
        <v>1201</v>
      </c>
      <c r="B986" s="128">
        <v>43837</v>
      </c>
      <c r="C986" s="129" t="s">
        <v>1758</v>
      </c>
      <c r="D986" s="129" t="s">
        <v>1520</v>
      </c>
      <c r="E986" s="141">
        <v>150000</v>
      </c>
      <c r="F986" s="253"/>
      <c r="G986" s="187"/>
    </row>
    <row r="987" spans="1:7" ht="15.6" x14ac:dyDescent="0.3">
      <c r="A987" s="127">
        <v>1202</v>
      </c>
      <c r="B987" s="128">
        <v>43837</v>
      </c>
      <c r="C987" s="129" t="s">
        <v>1724</v>
      </c>
      <c r="D987" s="129" t="s">
        <v>1526</v>
      </c>
      <c r="E987" s="141"/>
      <c r="F987" s="253">
        <v>60000</v>
      </c>
      <c r="G987" s="187"/>
    </row>
    <row r="988" spans="1:7" ht="15.6" x14ac:dyDescent="0.3">
      <c r="A988" s="127">
        <v>1203</v>
      </c>
      <c r="B988" s="128">
        <v>43837</v>
      </c>
      <c r="C988" s="129" t="s">
        <v>1715</v>
      </c>
      <c r="D988" s="129" t="s">
        <v>1533</v>
      </c>
      <c r="E988" s="141"/>
      <c r="F988" s="253">
        <v>30000</v>
      </c>
      <c r="G988" s="187"/>
    </row>
    <row r="989" spans="1:7" ht="15.6" x14ac:dyDescent="0.3">
      <c r="A989" s="127">
        <v>1204</v>
      </c>
      <c r="B989" s="128">
        <v>43844</v>
      </c>
      <c r="C989" s="129" t="s">
        <v>1758</v>
      </c>
      <c r="D989" s="129" t="s">
        <v>1520</v>
      </c>
      <c r="E989" s="141">
        <v>30000</v>
      </c>
      <c r="F989" s="253"/>
      <c r="G989" s="187"/>
    </row>
    <row r="990" spans="1:7" ht="15.6" x14ac:dyDescent="0.3">
      <c r="A990" s="127">
        <v>1205</v>
      </c>
      <c r="B990" s="128">
        <v>43844</v>
      </c>
      <c r="C990" s="129" t="s">
        <v>1724</v>
      </c>
      <c r="D990" s="129" t="s">
        <v>1526</v>
      </c>
      <c r="E990" s="141"/>
      <c r="F990" s="253">
        <v>30000</v>
      </c>
      <c r="G990" s="187"/>
    </row>
    <row r="991" spans="1:7" ht="15.6" x14ac:dyDescent="0.3">
      <c r="A991" s="127">
        <v>1206</v>
      </c>
      <c r="B991" s="128">
        <v>43845</v>
      </c>
      <c r="C991" s="129" t="s">
        <v>113</v>
      </c>
      <c r="D991" s="129" t="s">
        <v>1529</v>
      </c>
      <c r="E991" s="141"/>
      <c r="F991" s="253">
        <v>25000</v>
      </c>
      <c r="G991" s="187"/>
    </row>
    <row r="992" spans="1:7" ht="15.6" x14ac:dyDescent="0.3">
      <c r="A992" s="127">
        <v>1207</v>
      </c>
      <c r="B992" s="128">
        <v>43845</v>
      </c>
      <c r="C992" s="129" t="s">
        <v>1762</v>
      </c>
      <c r="D992" s="129" t="s">
        <v>1517</v>
      </c>
      <c r="E992" s="141"/>
      <c r="F992" s="253">
        <v>60000</v>
      </c>
      <c r="G992" s="187"/>
    </row>
    <row r="993" spans="1:7" ht="15.6" x14ac:dyDescent="0.3">
      <c r="A993" s="127">
        <v>1208</v>
      </c>
      <c r="B993" s="128">
        <v>43845</v>
      </c>
      <c r="C993" s="129" t="s">
        <v>1763</v>
      </c>
      <c r="D993" s="129" t="s">
        <v>1521</v>
      </c>
      <c r="E993" s="141"/>
      <c r="F993" s="253">
        <v>100</v>
      </c>
      <c r="G993" s="187"/>
    </row>
    <row r="994" spans="1:7" ht="15.6" x14ac:dyDescent="0.3">
      <c r="A994" s="127">
        <v>1209</v>
      </c>
      <c r="B994" s="128">
        <v>43845</v>
      </c>
      <c r="C994" s="129" t="s">
        <v>42</v>
      </c>
      <c r="D994" s="129" t="s">
        <v>1521</v>
      </c>
      <c r="E994" s="141"/>
      <c r="F994" s="253">
        <v>50</v>
      </c>
      <c r="G994" s="187"/>
    </row>
    <row r="995" spans="1:7" ht="15.6" x14ac:dyDescent="0.3">
      <c r="A995" s="127">
        <v>1210</v>
      </c>
      <c r="B995" s="128">
        <v>43848</v>
      </c>
      <c r="C995" s="129" t="s">
        <v>1758</v>
      </c>
      <c r="D995" s="129" t="s">
        <v>1520</v>
      </c>
      <c r="E995" s="141">
        <v>70000</v>
      </c>
      <c r="F995" s="253"/>
      <c r="G995" s="187"/>
    </row>
    <row r="996" spans="1:7" ht="15.6" x14ac:dyDescent="0.3">
      <c r="A996" s="127">
        <v>1211</v>
      </c>
      <c r="B996" s="128">
        <v>43848</v>
      </c>
      <c r="C996" s="129" t="s">
        <v>1724</v>
      </c>
      <c r="D996" s="129" t="s">
        <v>1526</v>
      </c>
      <c r="E996" s="141"/>
      <c r="F996" s="253">
        <v>50000</v>
      </c>
      <c r="G996" s="187"/>
    </row>
    <row r="997" spans="1:7" ht="15.6" x14ac:dyDescent="0.3">
      <c r="A997" s="127">
        <v>1212</v>
      </c>
      <c r="B997" s="128">
        <v>43848</v>
      </c>
      <c r="C997" s="129" t="s">
        <v>1716</v>
      </c>
      <c r="D997" s="129" t="s">
        <v>1516</v>
      </c>
      <c r="E997" s="141"/>
      <c r="F997" s="253">
        <v>5000</v>
      </c>
      <c r="G997" s="187"/>
    </row>
    <row r="998" spans="1:7" ht="15.6" x14ac:dyDescent="0.3">
      <c r="A998" s="127">
        <v>1213</v>
      </c>
      <c r="B998" s="128">
        <v>43848</v>
      </c>
      <c r="C998" s="129" t="s">
        <v>1715</v>
      </c>
      <c r="D998" s="129" t="s">
        <v>1533</v>
      </c>
      <c r="E998" s="141"/>
      <c r="F998" s="253">
        <v>12000</v>
      </c>
      <c r="G998" s="187"/>
    </row>
    <row r="999" spans="1:7" ht="15.6" x14ac:dyDescent="0.3">
      <c r="A999" s="127">
        <v>1214</v>
      </c>
      <c r="B999" s="128">
        <v>43850</v>
      </c>
      <c r="C999" s="129" t="s">
        <v>1764</v>
      </c>
      <c r="D999" s="129" t="s">
        <v>1523</v>
      </c>
      <c r="E999" s="141"/>
      <c r="F999" s="253">
        <v>60000</v>
      </c>
      <c r="G999" s="187"/>
    </row>
    <row r="1000" spans="1:7" ht="15.6" x14ac:dyDescent="0.3">
      <c r="A1000" s="127">
        <v>1215</v>
      </c>
      <c r="B1000" s="128">
        <v>43850</v>
      </c>
      <c r="C1000" s="129" t="s">
        <v>1758</v>
      </c>
      <c r="D1000" s="129" t="s">
        <v>1520</v>
      </c>
      <c r="E1000" s="141">
        <v>50000</v>
      </c>
      <c r="F1000" s="253"/>
      <c r="G1000" s="187"/>
    </row>
    <row r="1001" spans="1:7" ht="15.6" x14ac:dyDescent="0.3">
      <c r="A1001" s="127">
        <v>1216</v>
      </c>
      <c r="B1001" s="128">
        <v>43850</v>
      </c>
      <c r="C1001" s="129" t="s">
        <v>1724</v>
      </c>
      <c r="D1001" s="129" t="s">
        <v>1526</v>
      </c>
      <c r="E1001" s="141"/>
      <c r="F1001" s="253">
        <v>30000</v>
      </c>
      <c r="G1001" s="187"/>
    </row>
    <row r="1002" spans="1:7" ht="15.6" x14ac:dyDescent="0.3">
      <c r="A1002" s="127">
        <v>1217</v>
      </c>
      <c r="B1002" s="128">
        <v>43850</v>
      </c>
      <c r="C1002" s="129" t="s">
        <v>1715</v>
      </c>
      <c r="D1002" s="129" t="s">
        <v>1533</v>
      </c>
      <c r="E1002" s="141"/>
      <c r="F1002" s="253">
        <v>20000</v>
      </c>
      <c r="G1002" s="187"/>
    </row>
    <row r="1003" spans="1:7" ht="15.6" x14ac:dyDescent="0.3">
      <c r="A1003" s="127">
        <v>1218</v>
      </c>
      <c r="B1003" s="128">
        <v>43851</v>
      </c>
      <c r="C1003" s="129" t="s">
        <v>1758</v>
      </c>
      <c r="D1003" s="129" t="s">
        <v>1520</v>
      </c>
      <c r="E1003" s="141">
        <v>200000</v>
      </c>
      <c r="F1003" s="253"/>
      <c r="G1003" s="187"/>
    </row>
    <row r="1004" spans="1:7" ht="15.6" x14ac:dyDescent="0.3">
      <c r="A1004" s="127">
        <v>1219</v>
      </c>
      <c r="B1004" s="128">
        <v>43851</v>
      </c>
      <c r="C1004" s="129" t="s">
        <v>1724</v>
      </c>
      <c r="D1004" s="129" t="s">
        <v>1526</v>
      </c>
      <c r="E1004" s="141"/>
      <c r="F1004" s="253">
        <v>50000</v>
      </c>
      <c r="G1004" s="187"/>
    </row>
    <row r="1005" spans="1:7" ht="15.6" x14ac:dyDescent="0.3">
      <c r="A1005" s="127">
        <v>1220</v>
      </c>
      <c r="B1005" s="128">
        <v>43851</v>
      </c>
      <c r="C1005" s="129" t="s">
        <v>113</v>
      </c>
      <c r="D1005" s="129" t="s">
        <v>1529</v>
      </c>
      <c r="E1005" s="141"/>
      <c r="F1005" s="253">
        <v>30000</v>
      </c>
      <c r="G1005" s="187"/>
    </row>
    <row r="1006" spans="1:7" ht="15.6" x14ac:dyDescent="0.3">
      <c r="A1006" s="127">
        <v>1221</v>
      </c>
      <c r="B1006" s="128">
        <v>43855</v>
      </c>
      <c r="C1006" s="129" t="s">
        <v>1715</v>
      </c>
      <c r="D1006" s="129" t="s">
        <v>1533</v>
      </c>
      <c r="E1006" s="141"/>
      <c r="F1006" s="253">
        <v>11000</v>
      </c>
      <c r="G1006" s="187"/>
    </row>
    <row r="1007" spans="1:7" ht="15.6" x14ac:dyDescent="0.3">
      <c r="A1007" s="127">
        <v>1222</v>
      </c>
      <c r="B1007" s="128">
        <v>43855</v>
      </c>
      <c r="C1007" s="129" t="s">
        <v>1765</v>
      </c>
      <c r="D1007" s="129" t="s">
        <v>1516</v>
      </c>
      <c r="E1007" s="141"/>
      <c r="F1007" s="253">
        <v>14400</v>
      </c>
      <c r="G1007" s="187"/>
    </row>
    <row r="1008" spans="1:7" ht="15.6" x14ac:dyDescent="0.3">
      <c r="A1008" s="127">
        <v>1223</v>
      </c>
      <c r="B1008" s="128">
        <v>43855</v>
      </c>
      <c r="C1008" s="129" t="s">
        <v>1716</v>
      </c>
      <c r="D1008" s="129" t="s">
        <v>1516</v>
      </c>
      <c r="E1008" s="141"/>
      <c r="F1008" s="253">
        <v>1000</v>
      </c>
      <c r="G1008" s="187"/>
    </row>
    <row r="1009" spans="1:7" ht="15.6" x14ac:dyDescent="0.3">
      <c r="A1009" s="127">
        <v>1224</v>
      </c>
      <c r="B1009" s="128">
        <v>43856</v>
      </c>
      <c r="C1009" s="129" t="s">
        <v>1766</v>
      </c>
      <c r="D1009" s="129" t="s">
        <v>1524</v>
      </c>
      <c r="E1009" s="141"/>
      <c r="F1009" s="253">
        <v>15000</v>
      </c>
      <c r="G1009" s="187"/>
    </row>
    <row r="1010" spans="1:7" ht="15.6" x14ac:dyDescent="0.3">
      <c r="A1010" s="127">
        <v>1225</v>
      </c>
      <c r="B1010" s="128">
        <v>43856</v>
      </c>
      <c r="C1010" s="129" t="s">
        <v>1715</v>
      </c>
      <c r="D1010" s="129" t="s">
        <v>1533</v>
      </c>
      <c r="E1010" s="141"/>
      <c r="F1010" s="253">
        <v>2000</v>
      </c>
      <c r="G1010" s="187"/>
    </row>
    <row r="1011" spans="1:7" ht="15.6" x14ac:dyDescent="0.3">
      <c r="A1011" s="127">
        <v>1226</v>
      </c>
      <c r="B1011" s="128">
        <v>43856</v>
      </c>
      <c r="C1011" s="129" t="s">
        <v>42</v>
      </c>
      <c r="D1011" s="129" t="s">
        <v>1521</v>
      </c>
      <c r="E1011" s="141"/>
      <c r="F1011" s="253">
        <v>100</v>
      </c>
      <c r="G1011" s="187"/>
    </row>
    <row r="1012" spans="1:7" ht="15.6" x14ac:dyDescent="0.3">
      <c r="A1012" s="127">
        <v>1227</v>
      </c>
      <c r="B1012" s="128">
        <v>43859</v>
      </c>
      <c r="C1012" s="129" t="s">
        <v>1758</v>
      </c>
      <c r="D1012" s="129" t="s">
        <v>1520</v>
      </c>
      <c r="E1012" s="141">
        <v>50000</v>
      </c>
      <c r="F1012" s="253"/>
      <c r="G1012" s="187"/>
    </row>
    <row r="1013" spans="1:7" ht="15.6" x14ac:dyDescent="0.3">
      <c r="A1013" s="127">
        <v>1228</v>
      </c>
      <c r="B1013" s="128">
        <v>43859</v>
      </c>
      <c r="C1013" s="129" t="s">
        <v>1724</v>
      </c>
      <c r="D1013" s="129" t="s">
        <v>1526</v>
      </c>
      <c r="E1013" s="141"/>
      <c r="F1013" s="253">
        <v>30000</v>
      </c>
      <c r="G1013" s="187"/>
    </row>
    <row r="1014" spans="1:7" ht="15.6" x14ac:dyDescent="0.3">
      <c r="A1014" s="127">
        <v>1229</v>
      </c>
      <c r="B1014" s="128">
        <v>43859</v>
      </c>
      <c r="C1014" s="129" t="s">
        <v>42</v>
      </c>
      <c r="D1014" s="129" t="s">
        <v>1521</v>
      </c>
      <c r="E1014" s="141"/>
      <c r="F1014" s="253">
        <v>100</v>
      </c>
      <c r="G1014" s="187"/>
    </row>
    <row r="1015" spans="1:7" ht="15.6" x14ac:dyDescent="0.3">
      <c r="A1015" s="127">
        <v>1230</v>
      </c>
      <c r="B1015" s="128">
        <v>43859</v>
      </c>
      <c r="C1015" s="129" t="s">
        <v>1767</v>
      </c>
      <c r="D1015" s="129" t="s">
        <v>1521</v>
      </c>
      <c r="E1015" s="141"/>
      <c r="F1015" s="253">
        <v>30</v>
      </c>
      <c r="G1015" s="187"/>
    </row>
    <row r="1016" spans="1:7" ht="15.6" x14ac:dyDescent="0.3">
      <c r="A1016" s="127">
        <v>1231</v>
      </c>
      <c r="B1016" s="128">
        <v>43861</v>
      </c>
      <c r="C1016" s="129" t="s">
        <v>42</v>
      </c>
      <c r="D1016" s="129" t="s">
        <v>1521</v>
      </c>
      <c r="E1016" s="141"/>
      <c r="F1016" s="253">
        <v>100</v>
      </c>
      <c r="G1016" s="187"/>
    </row>
    <row r="1017" spans="1:7" ht="15.6" x14ac:dyDescent="0.3">
      <c r="A1017" s="127">
        <v>1232</v>
      </c>
      <c r="B1017" s="128">
        <v>43863</v>
      </c>
      <c r="C1017" s="129" t="s">
        <v>1715</v>
      </c>
      <c r="D1017" s="129" t="s">
        <v>1533</v>
      </c>
      <c r="E1017" s="141"/>
      <c r="F1017" s="253">
        <v>10000</v>
      </c>
      <c r="G1017" s="187"/>
    </row>
    <row r="1018" spans="1:7" ht="15.6" x14ac:dyDescent="0.3">
      <c r="A1018" s="127">
        <v>1233</v>
      </c>
      <c r="B1018" s="128">
        <v>43863</v>
      </c>
      <c r="C1018" s="129" t="s">
        <v>1769</v>
      </c>
      <c r="D1018" s="129" t="s">
        <v>1516</v>
      </c>
      <c r="E1018" s="141"/>
      <c r="F1018" s="253">
        <v>15050</v>
      </c>
      <c r="G1018" s="187"/>
    </row>
    <row r="1019" spans="1:7" ht="15.6" x14ac:dyDescent="0.3">
      <c r="A1019" s="127">
        <v>1234</v>
      </c>
      <c r="B1019" s="128">
        <v>43864</v>
      </c>
      <c r="C1019" s="129" t="s">
        <v>1758</v>
      </c>
      <c r="D1019" s="129" t="s">
        <v>1520</v>
      </c>
      <c r="E1019" s="141">
        <v>150000</v>
      </c>
      <c r="F1019" s="253"/>
      <c r="G1019" s="187"/>
    </row>
    <row r="1020" spans="1:7" ht="15.6" x14ac:dyDescent="0.3">
      <c r="A1020" s="127">
        <v>1235</v>
      </c>
      <c r="B1020" s="128">
        <v>43865</v>
      </c>
      <c r="C1020" s="129" t="s">
        <v>1724</v>
      </c>
      <c r="D1020" s="129" t="s">
        <v>1526</v>
      </c>
      <c r="E1020" s="141"/>
      <c r="F1020" s="253">
        <v>80000</v>
      </c>
      <c r="G1020" s="187"/>
    </row>
    <row r="1021" spans="1:7" ht="15.6" x14ac:dyDescent="0.3">
      <c r="A1021" s="127">
        <v>1236</v>
      </c>
      <c r="B1021" s="128">
        <v>43865</v>
      </c>
      <c r="C1021" s="129" t="s">
        <v>1715</v>
      </c>
      <c r="D1021" s="129" t="s">
        <v>1533</v>
      </c>
      <c r="E1021" s="141"/>
      <c r="F1021" s="253">
        <v>90000</v>
      </c>
      <c r="G1021" s="187"/>
    </row>
    <row r="1022" spans="1:7" ht="15.6" x14ac:dyDescent="0.3">
      <c r="A1022" s="127">
        <v>1237</v>
      </c>
      <c r="B1022" s="128">
        <v>43870</v>
      </c>
      <c r="C1022" s="129" t="s">
        <v>1716</v>
      </c>
      <c r="D1022" s="129" t="s">
        <v>1516</v>
      </c>
      <c r="E1022" s="141"/>
      <c r="F1022" s="253">
        <v>1000</v>
      </c>
      <c r="G1022" s="187"/>
    </row>
    <row r="1023" spans="1:7" ht="15.6" x14ac:dyDescent="0.3">
      <c r="A1023" s="127">
        <v>1238</v>
      </c>
      <c r="B1023" s="128">
        <v>43862</v>
      </c>
      <c r="C1023" s="129" t="s">
        <v>113</v>
      </c>
      <c r="D1023" s="129" t="s">
        <v>1529</v>
      </c>
      <c r="E1023" s="141"/>
      <c r="F1023" s="253">
        <v>10000</v>
      </c>
      <c r="G1023" s="187"/>
    </row>
    <row r="1024" spans="1:7" ht="15.6" x14ac:dyDescent="0.3">
      <c r="A1024" s="127">
        <v>1239</v>
      </c>
      <c r="B1024" s="128">
        <v>43869</v>
      </c>
      <c r="C1024" s="129" t="s">
        <v>1715</v>
      </c>
      <c r="D1024" s="129" t="s">
        <v>1533</v>
      </c>
      <c r="E1024" s="141"/>
      <c r="F1024" s="253">
        <v>5000</v>
      </c>
      <c r="G1024" s="187"/>
    </row>
    <row r="1025" spans="1:7" ht="15.6" x14ac:dyDescent="0.3">
      <c r="A1025" s="127">
        <v>1240</v>
      </c>
      <c r="B1025" s="128">
        <v>43870</v>
      </c>
      <c r="C1025" s="129" t="s">
        <v>1758</v>
      </c>
      <c r="D1025" s="129" t="s">
        <v>1520</v>
      </c>
      <c r="E1025" s="141">
        <v>100000</v>
      </c>
      <c r="F1025" s="253"/>
      <c r="G1025" s="187"/>
    </row>
    <row r="1026" spans="1:7" ht="15.6" x14ac:dyDescent="0.3">
      <c r="A1026" s="127">
        <v>1241</v>
      </c>
      <c r="B1026" s="128">
        <v>43870</v>
      </c>
      <c r="C1026" s="129" t="s">
        <v>1768</v>
      </c>
      <c r="D1026" s="129" t="s">
        <v>1517</v>
      </c>
      <c r="E1026" s="141"/>
      <c r="F1026" s="253">
        <v>60000</v>
      </c>
      <c r="G1026" s="187"/>
    </row>
    <row r="1027" spans="1:7" ht="15.6" x14ac:dyDescent="0.3">
      <c r="A1027" s="127">
        <v>1242</v>
      </c>
      <c r="B1027" s="128">
        <v>43870</v>
      </c>
      <c r="C1027" s="129" t="s">
        <v>1724</v>
      </c>
      <c r="D1027" s="129" t="s">
        <v>1526</v>
      </c>
      <c r="E1027" s="141"/>
      <c r="F1027" s="253">
        <v>50000</v>
      </c>
      <c r="G1027" s="187"/>
    </row>
    <row r="1028" spans="1:7" ht="15.6" x14ac:dyDescent="0.3">
      <c r="A1028" s="127">
        <v>1243</v>
      </c>
      <c r="B1028" s="128">
        <v>43870</v>
      </c>
      <c r="C1028" s="129" t="s">
        <v>1716</v>
      </c>
      <c r="D1028" s="129" t="s">
        <v>1516</v>
      </c>
      <c r="E1028" s="141"/>
      <c r="F1028" s="253">
        <v>5000</v>
      </c>
      <c r="G1028" s="187"/>
    </row>
    <row r="1029" spans="1:7" ht="15.6" x14ac:dyDescent="0.3">
      <c r="A1029" s="127">
        <v>1244</v>
      </c>
      <c r="B1029" s="128">
        <v>43870</v>
      </c>
      <c r="C1029" s="129" t="s">
        <v>1715</v>
      </c>
      <c r="D1029" s="129" t="s">
        <v>1533</v>
      </c>
      <c r="E1029" s="141"/>
      <c r="F1029" s="253">
        <v>2000</v>
      </c>
      <c r="G1029" s="187"/>
    </row>
    <row r="1030" spans="1:7" ht="15.6" x14ac:dyDescent="0.3">
      <c r="A1030" s="127">
        <v>1245</v>
      </c>
      <c r="B1030" s="128">
        <v>43872</v>
      </c>
      <c r="C1030" s="129" t="s">
        <v>1719</v>
      </c>
      <c r="D1030" s="129" t="s">
        <v>1523</v>
      </c>
      <c r="E1030" s="141"/>
      <c r="F1030" s="253">
        <v>18000</v>
      </c>
      <c r="G1030" s="187"/>
    </row>
    <row r="1031" spans="1:7" ht="15.6" x14ac:dyDescent="0.3">
      <c r="A1031" s="127">
        <v>1246</v>
      </c>
      <c r="B1031" s="128">
        <v>43872</v>
      </c>
      <c r="C1031" s="129" t="s">
        <v>1758</v>
      </c>
      <c r="D1031" s="129" t="s">
        <v>1520</v>
      </c>
      <c r="E1031" s="141">
        <v>30000</v>
      </c>
      <c r="F1031" s="253"/>
      <c r="G1031" s="187"/>
    </row>
    <row r="1032" spans="1:7" ht="15.6" x14ac:dyDescent="0.3">
      <c r="A1032" s="127">
        <v>1247</v>
      </c>
      <c r="B1032" s="128">
        <v>43873</v>
      </c>
      <c r="C1032" s="129" t="s">
        <v>1724</v>
      </c>
      <c r="D1032" s="129" t="s">
        <v>1526</v>
      </c>
      <c r="E1032" s="141"/>
      <c r="F1032" s="253">
        <v>30000</v>
      </c>
      <c r="G1032" s="187"/>
    </row>
    <row r="1033" spans="1:7" ht="15.6" x14ac:dyDescent="0.3">
      <c r="A1033" s="127">
        <v>1248</v>
      </c>
      <c r="B1033" s="128">
        <v>43874</v>
      </c>
      <c r="C1033" s="129" t="s">
        <v>1758</v>
      </c>
      <c r="D1033" s="129" t="s">
        <v>1520</v>
      </c>
      <c r="E1033" s="141">
        <v>30000</v>
      </c>
      <c r="F1033" s="253"/>
      <c r="G1033" s="187"/>
    </row>
    <row r="1034" spans="1:7" ht="15.6" x14ac:dyDescent="0.3">
      <c r="A1034" s="127">
        <v>1249</v>
      </c>
      <c r="B1034" s="128">
        <v>43874</v>
      </c>
      <c r="C1034" s="129" t="s">
        <v>1770</v>
      </c>
      <c r="D1034" s="129" t="s">
        <v>1516</v>
      </c>
      <c r="E1034" s="141"/>
      <c r="F1034" s="253">
        <v>500</v>
      </c>
      <c r="G1034" s="187"/>
    </row>
    <row r="1035" spans="1:7" ht="15.6" x14ac:dyDescent="0.3">
      <c r="A1035" s="127">
        <v>1250</v>
      </c>
      <c r="B1035" s="128">
        <v>43874</v>
      </c>
      <c r="C1035" s="129" t="s">
        <v>1715</v>
      </c>
      <c r="D1035" s="129" t="s">
        <v>1533</v>
      </c>
      <c r="E1035" s="141"/>
      <c r="F1035" s="253">
        <v>12000</v>
      </c>
      <c r="G1035" s="187"/>
    </row>
    <row r="1036" spans="1:7" ht="15.6" x14ac:dyDescent="0.3">
      <c r="A1036" s="127">
        <v>1251</v>
      </c>
      <c r="B1036" s="128">
        <v>43874</v>
      </c>
      <c r="C1036" s="129" t="s">
        <v>113</v>
      </c>
      <c r="D1036" s="129" t="s">
        <v>1529</v>
      </c>
      <c r="E1036" s="141"/>
      <c r="F1036" s="253">
        <v>20000</v>
      </c>
      <c r="G1036" s="187"/>
    </row>
    <row r="1037" spans="1:7" ht="15.6" x14ac:dyDescent="0.3">
      <c r="A1037" s="127">
        <v>1252</v>
      </c>
      <c r="B1037" s="128">
        <v>43874</v>
      </c>
      <c r="C1037" s="129" t="s">
        <v>1715</v>
      </c>
      <c r="D1037" s="129" t="s">
        <v>1533</v>
      </c>
      <c r="E1037" s="141"/>
      <c r="F1037" s="253">
        <v>2000</v>
      </c>
      <c r="G1037" s="187"/>
    </row>
    <row r="1038" spans="1:7" ht="15.6" x14ac:dyDescent="0.3">
      <c r="A1038" s="127">
        <v>1253</v>
      </c>
      <c r="B1038" s="128">
        <v>43877</v>
      </c>
      <c r="C1038" s="129" t="s">
        <v>42</v>
      </c>
      <c r="D1038" s="129" t="s">
        <v>1521</v>
      </c>
      <c r="E1038" s="141"/>
      <c r="F1038" s="253">
        <v>100</v>
      </c>
      <c r="G1038" s="187"/>
    </row>
    <row r="1039" spans="1:7" ht="15.6" x14ac:dyDescent="0.3">
      <c r="A1039" s="127">
        <v>1254</v>
      </c>
      <c r="B1039" s="128">
        <v>43877</v>
      </c>
      <c r="C1039" s="129" t="s">
        <v>1724</v>
      </c>
      <c r="D1039" s="129" t="s">
        <v>1526</v>
      </c>
      <c r="E1039" s="141"/>
      <c r="F1039" s="253">
        <v>5000</v>
      </c>
      <c r="G1039" s="187"/>
    </row>
    <row r="1040" spans="1:7" ht="15.6" x14ac:dyDescent="0.3">
      <c r="A1040" s="127">
        <v>1255</v>
      </c>
      <c r="B1040" s="128">
        <v>43877</v>
      </c>
      <c r="C1040" s="129" t="s">
        <v>1716</v>
      </c>
      <c r="D1040" s="129" t="s">
        <v>1516</v>
      </c>
      <c r="E1040" s="141"/>
      <c r="F1040" s="253">
        <v>5000</v>
      </c>
      <c r="G1040" s="187"/>
    </row>
    <row r="1041" spans="1:7" ht="15.6" x14ac:dyDescent="0.3">
      <c r="A1041" s="127">
        <v>1256</v>
      </c>
      <c r="B1041" s="128">
        <v>43879</v>
      </c>
      <c r="C1041" s="129" t="s">
        <v>1715</v>
      </c>
      <c r="D1041" s="129" t="s">
        <v>1533</v>
      </c>
      <c r="E1041" s="141"/>
      <c r="F1041" s="253">
        <v>2000</v>
      </c>
      <c r="G1041" s="187"/>
    </row>
    <row r="1042" spans="1:7" ht="15.6" x14ac:dyDescent="0.3">
      <c r="A1042" s="127">
        <v>1257</v>
      </c>
      <c r="B1042" s="128">
        <v>43880</v>
      </c>
      <c r="C1042" s="129" t="s">
        <v>1758</v>
      </c>
      <c r="D1042" s="129" t="s">
        <v>1520</v>
      </c>
      <c r="E1042" s="141">
        <v>30000</v>
      </c>
      <c r="F1042" s="253"/>
      <c r="G1042" s="187"/>
    </row>
    <row r="1043" spans="1:7" ht="15.6" x14ac:dyDescent="0.3">
      <c r="A1043" s="127">
        <v>1258</v>
      </c>
      <c r="B1043" s="128">
        <v>43880</v>
      </c>
      <c r="C1043" s="129" t="s">
        <v>1724</v>
      </c>
      <c r="D1043" s="129" t="s">
        <v>1526</v>
      </c>
      <c r="E1043" s="141"/>
      <c r="F1043" s="253">
        <v>30000</v>
      </c>
      <c r="G1043" s="187"/>
    </row>
    <row r="1044" spans="1:7" ht="15.6" x14ac:dyDescent="0.3">
      <c r="A1044" s="127">
        <v>1259</v>
      </c>
      <c r="B1044" s="128">
        <v>43881</v>
      </c>
      <c r="C1044" s="129" t="s">
        <v>26</v>
      </c>
      <c r="D1044" s="129" t="s">
        <v>1522</v>
      </c>
      <c r="E1044" s="141"/>
      <c r="F1044" s="253">
        <v>5000</v>
      </c>
      <c r="G1044" s="187"/>
    </row>
    <row r="1045" spans="1:7" ht="15.6" x14ac:dyDescent="0.3">
      <c r="A1045" s="127">
        <v>1260</v>
      </c>
      <c r="B1045" s="128">
        <v>43881</v>
      </c>
      <c r="C1045" s="129" t="s">
        <v>1715</v>
      </c>
      <c r="D1045" s="129" t="s">
        <v>1533</v>
      </c>
      <c r="E1045" s="141"/>
      <c r="F1045" s="253">
        <v>5000</v>
      </c>
      <c r="G1045" s="187"/>
    </row>
    <row r="1046" spans="1:7" ht="15.6" x14ac:dyDescent="0.3">
      <c r="A1046" s="127">
        <v>1261</v>
      </c>
      <c r="B1046" s="128">
        <v>43881</v>
      </c>
      <c r="C1046" s="129" t="s">
        <v>42</v>
      </c>
      <c r="D1046" s="129" t="s">
        <v>1521</v>
      </c>
      <c r="E1046" s="141"/>
      <c r="F1046" s="253">
        <v>50</v>
      </c>
      <c r="G1046" s="187"/>
    </row>
    <row r="1047" spans="1:7" ht="15.6" x14ac:dyDescent="0.3">
      <c r="A1047" s="127">
        <v>1262</v>
      </c>
      <c r="B1047" s="128">
        <v>43881</v>
      </c>
      <c r="C1047" s="129" t="s">
        <v>1758</v>
      </c>
      <c r="D1047" s="129" t="s">
        <v>1520</v>
      </c>
      <c r="E1047" s="141">
        <v>50000</v>
      </c>
      <c r="F1047" s="253"/>
      <c r="G1047" s="187"/>
    </row>
    <row r="1048" spans="1:7" ht="15.6" x14ac:dyDescent="0.3">
      <c r="A1048" s="127">
        <v>1263</v>
      </c>
      <c r="B1048" s="128">
        <v>43881</v>
      </c>
      <c r="C1048" s="129" t="s">
        <v>1724</v>
      </c>
      <c r="D1048" s="129" t="s">
        <v>1526</v>
      </c>
      <c r="E1048" s="141"/>
      <c r="F1048" s="253">
        <v>50000</v>
      </c>
      <c r="G1048" s="187"/>
    </row>
    <row r="1049" spans="1:7" ht="15.6" x14ac:dyDescent="0.3">
      <c r="A1049" s="127">
        <v>1264</v>
      </c>
      <c r="B1049" s="128">
        <v>43883</v>
      </c>
      <c r="C1049" s="129" t="s">
        <v>1766</v>
      </c>
      <c r="D1049" s="129" t="s">
        <v>1524</v>
      </c>
      <c r="E1049" s="141"/>
      <c r="F1049" s="253">
        <v>20000</v>
      </c>
      <c r="G1049" s="187"/>
    </row>
    <row r="1050" spans="1:7" ht="15.6" x14ac:dyDescent="0.3">
      <c r="A1050" s="127">
        <v>1265</v>
      </c>
      <c r="B1050" s="128">
        <v>43883</v>
      </c>
      <c r="C1050" s="129" t="s">
        <v>26</v>
      </c>
      <c r="D1050" s="129" t="s">
        <v>1522</v>
      </c>
      <c r="E1050" s="141"/>
      <c r="F1050" s="253">
        <v>5000</v>
      </c>
      <c r="G1050" s="187"/>
    </row>
    <row r="1051" spans="1:7" ht="15.6" x14ac:dyDescent="0.3">
      <c r="A1051" s="127">
        <v>1266</v>
      </c>
      <c r="B1051" s="128">
        <v>43883</v>
      </c>
      <c r="C1051" s="129" t="s">
        <v>1771</v>
      </c>
      <c r="D1051" s="129" t="s">
        <v>1516</v>
      </c>
      <c r="E1051" s="141"/>
      <c r="F1051" s="253">
        <v>4000</v>
      </c>
      <c r="G1051" s="187"/>
    </row>
    <row r="1052" spans="1:7" ht="15.6" x14ac:dyDescent="0.3">
      <c r="A1052" s="127">
        <v>1267</v>
      </c>
      <c r="B1052" s="128">
        <v>43883</v>
      </c>
      <c r="C1052" s="129" t="s">
        <v>1758</v>
      </c>
      <c r="D1052" s="129" t="s">
        <v>1520</v>
      </c>
      <c r="E1052" s="141">
        <v>50000</v>
      </c>
      <c r="F1052" s="253"/>
      <c r="G1052" s="187"/>
    </row>
    <row r="1053" spans="1:7" ht="15.6" x14ac:dyDescent="0.3">
      <c r="A1053" s="127">
        <v>1268</v>
      </c>
      <c r="B1053" s="128">
        <v>43886</v>
      </c>
      <c r="C1053" s="129" t="s">
        <v>1715</v>
      </c>
      <c r="D1053" s="129" t="s">
        <v>1533</v>
      </c>
      <c r="E1053" s="141"/>
      <c r="F1053" s="253">
        <v>2000</v>
      </c>
      <c r="G1053" s="187"/>
    </row>
    <row r="1054" spans="1:7" ht="15.6" x14ac:dyDescent="0.3">
      <c r="A1054" s="127">
        <v>1269</v>
      </c>
      <c r="B1054" s="128">
        <v>43889</v>
      </c>
      <c r="C1054" s="129" t="s">
        <v>1724</v>
      </c>
      <c r="D1054" s="129" t="s">
        <v>1526</v>
      </c>
      <c r="E1054" s="141"/>
      <c r="F1054" s="253">
        <v>10000</v>
      </c>
      <c r="G1054" s="187"/>
    </row>
    <row r="1055" spans="1:7" ht="15.6" x14ac:dyDescent="0.3">
      <c r="A1055" s="127">
        <v>1270</v>
      </c>
      <c r="B1055" s="128">
        <v>43889</v>
      </c>
      <c r="C1055" s="129" t="s">
        <v>1715</v>
      </c>
      <c r="D1055" s="129" t="s">
        <v>1533</v>
      </c>
      <c r="E1055" s="141"/>
      <c r="F1055" s="253">
        <v>20000</v>
      </c>
      <c r="G1055" s="187"/>
    </row>
    <row r="1056" spans="1:7" ht="15.6" x14ac:dyDescent="0.3">
      <c r="A1056" s="127">
        <v>1271</v>
      </c>
      <c r="B1056" s="128">
        <v>43892</v>
      </c>
      <c r="C1056" s="129" t="s">
        <v>1758</v>
      </c>
      <c r="D1056" s="129" t="s">
        <v>1520</v>
      </c>
      <c r="E1056" s="141">
        <v>125000</v>
      </c>
      <c r="F1056" s="253"/>
      <c r="G1056" s="187"/>
    </row>
    <row r="1057" spans="1:11" ht="15.6" x14ac:dyDescent="0.3">
      <c r="A1057" s="127">
        <v>1272</v>
      </c>
      <c r="B1057" s="128">
        <v>43892</v>
      </c>
      <c r="C1057" s="129" t="s">
        <v>1766</v>
      </c>
      <c r="D1057" s="129" t="s">
        <v>1524</v>
      </c>
      <c r="E1057" s="141"/>
      <c r="F1057" s="253">
        <v>50000</v>
      </c>
      <c r="H1057" s="77"/>
    </row>
    <row r="1058" spans="1:11" s="119" customFormat="1" ht="15.6" x14ac:dyDescent="0.3">
      <c r="A1058" s="127">
        <v>1271</v>
      </c>
      <c r="B1058" s="128">
        <v>43900</v>
      </c>
      <c r="C1058" s="129" t="s">
        <v>1759</v>
      </c>
      <c r="D1058" s="129" t="s">
        <v>1516</v>
      </c>
      <c r="E1058" s="152"/>
      <c r="F1058" s="254">
        <v>2700</v>
      </c>
      <c r="G1058" s="142"/>
      <c r="H1058" s="118"/>
      <c r="I1058" s="144"/>
      <c r="J1058" s="118"/>
      <c r="K1058" s="118"/>
    </row>
    <row r="1059" spans="1:11" s="119" customFormat="1" ht="15.6" x14ac:dyDescent="0.3">
      <c r="A1059" s="127">
        <v>1272</v>
      </c>
      <c r="B1059" s="128">
        <v>43901</v>
      </c>
      <c r="C1059" s="129" t="s">
        <v>1772</v>
      </c>
      <c r="D1059" s="129" t="s">
        <v>1516</v>
      </c>
      <c r="E1059" s="152"/>
      <c r="F1059" s="254">
        <v>300</v>
      </c>
      <c r="G1059" s="142"/>
      <c r="H1059" s="118"/>
      <c r="I1059" s="144"/>
      <c r="J1059" s="118"/>
      <c r="K1059" s="118"/>
    </row>
    <row r="1060" spans="1:11" s="119" customFormat="1" ht="15.6" x14ac:dyDescent="0.3">
      <c r="A1060" s="127">
        <v>1273</v>
      </c>
      <c r="B1060" s="128">
        <v>43901</v>
      </c>
      <c r="C1060" s="129" t="s">
        <v>1758</v>
      </c>
      <c r="D1060" s="129" t="s">
        <v>1520</v>
      </c>
      <c r="E1060" s="152">
        <v>50000</v>
      </c>
      <c r="F1060" s="254"/>
      <c r="G1060" s="142"/>
      <c r="H1060" s="118"/>
      <c r="I1060" s="144"/>
      <c r="J1060" s="118"/>
      <c r="K1060" s="118"/>
    </row>
    <row r="1061" spans="1:11" s="119" customFormat="1" ht="15.6" x14ac:dyDescent="0.3">
      <c r="A1061" s="127">
        <v>1274</v>
      </c>
      <c r="B1061" s="128">
        <v>43902</v>
      </c>
      <c r="C1061" s="129" t="s">
        <v>1758</v>
      </c>
      <c r="D1061" s="129" t="s">
        <v>1520</v>
      </c>
      <c r="E1061" s="152">
        <v>100000</v>
      </c>
      <c r="F1061" s="254"/>
      <c r="G1061" s="142"/>
      <c r="H1061" s="118"/>
      <c r="I1061" s="144"/>
      <c r="J1061" s="118"/>
      <c r="K1061" s="118"/>
    </row>
    <row r="1062" spans="1:11" s="119" customFormat="1" ht="15.6" x14ac:dyDescent="0.3">
      <c r="A1062" s="127">
        <v>1275</v>
      </c>
      <c r="B1062" s="128">
        <v>43902</v>
      </c>
      <c r="C1062" s="129" t="s">
        <v>1766</v>
      </c>
      <c r="D1062" s="129" t="s">
        <v>1524</v>
      </c>
      <c r="E1062" s="152"/>
      <c r="F1062" s="254">
        <v>30000</v>
      </c>
      <c r="G1062" s="142"/>
      <c r="H1062" s="118"/>
      <c r="I1062" s="144"/>
      <c r="J1062" s="118"/>
      <c r="K1062" s="118"/>
    </row>
    <row r="1063" spans="1:11" s="119" customFormat="1" ht="15.6" x14ac:dyDescent="0.3">
      <c r="A1063" s="127">
        <v>1276</v>
      </c>
      <c r="B1063" s="128">
        <v>43902</v>
      </c>
      <c r="C1063" s="129" t="s">
        <v>1724</v>
      </c>
      <c r="D1063" s="129" t="s">
        <v>1526</v>
      </c>
      <c r="E1063" s="152"/>
      <c r="F1063" s="254">
        <v>50000</v>
      </c>
      <c r="G1063" s="142"/>
      <c r="H1063" s="118"/>
      <c r="I1063" s="144"/>
      <c r="J1063" s="118"/>
      <c r="K1063" s="118"/>
    </row>
    <row r="1064" spans="1:11" s="119" customFormat="1" ht="15.6" x14ac:dyDescent="0.3">
      <c r="A1064" s="127">
        <v>1277</v>
      </c>
      <c r="B1064" s="128">
        <v>43902</v>
      </c>
      <c r="C1064" s="129" t="s">
        <v>1777</v>
      </c>
      <c r="D1064" s="129" t="s">
        <v>1517</v>
      </c>
      <c r="E1064" s="152"/>
      <c r="F1064" s="254">
        <v>60000</v>
      </c>
      <c r="G1064" s="142"/>
      <c r="H1064" s="118"/>
      <c r="I1064" s="144"/>
      <c r="J1064" s="118"/>
      <c r="K1064" s="118"/>
    </row>
    <row r="1065" spans="1:11" s="119" customFormat="1" ht="15.6" x14ac:dyDescent="0.3">
      <c r="A1065" s="127">
        <v>1278</v>
      </c>
      <c r="B1065" s="128">
        <v>43905</v>
      </c>
      <c r="C1065" s="129" t="s">
        <v>1773</v>
      </c>
      <c r="D1065" s="129" t="s">
        <v>1516</v>
      </c>
      <c r="E1065" s="152"/>
      <c r="F1065" s="254">
        <v>12400</v>
      </c>
      <c r="G1065" s="142"/>
      <c r="H1065" s="118"/>
      <c r="I1065" s="144"/>
      <c r="J1065" s="118"/>
      <c r="K1065" s="118"/>
    </row>
    <row r="1066" spans="1:11" s="119" customFormat="1" ht="15.6" x14ac:dyDescent="0.3">
      <c r="A1066" s="127">
        <v>1279</v>
      </c>
      <c r="B1066" s="128">
        <v>43905</v>
      </c>
      <c r="C1066" s="129" t="s">
        <v>1715</v>
      </c>
      <c r="D1066" s="129" t="s">
        <v>1533</v>
      </c>
      <c r="E1066" s="152"/>
      <c r="F1066" s="254">
        <v>2000</v>
      </c>
      <c r="G1066" s="142"/>
      <c r="H1066" s="118"/>
      <c r="I1066" s="144"/>
      <c r="J1066" s="118"/>
      <c r="K1066" s="118"/>
    </row>
    <row r="1067" spans="1:11" s="119" customFormat="1" ht="15.6" x14ac:dyDescent="0.3">
      <c r="A1067" s="127">
        <v>1280</v>
      </c>
      <c r="B1067" s="128">
        <v>43905</v>
      </c>
      <c r="C1067" s="129" t="s">
        <v>1774</v>
      </c>
      <c r="D1067" s="129" t="s">
        <v>1516</v>
      </c>
      <c r="E1067" s="152"/>
      <c r="F1067" s="254">
        <v>4500</v>
      </c>
      <c r="G1067" s="142"/>
      <c r="H1067" s="118"/>
      <c r="I1067" s="144"/>
      <c r="J1067" s="118"/>
      <c r="K1067" s="118"/>
    </row>
    <row r="1068" spans="1:11" s="119" customFormat="1" ht="15.6" x14ac:dyDescent="0.3">
      <c r="A1068" s="127">
        <v>1281</v>
      </c>
      <c r="B1068" s="128">
        <v>43908</v>
      </c>
      <c r="C1068" s="129" t="s">
        <v>1758</v>
      </c>
      <c r="D1068" s="129" t="s">
        <v>1520</v>
      </c>
      <c r="E1068" s="152">
        <v>80000</v>
      </c>
      <c r="F1068" s="254"/>
      <c r="G1068" s="142"/>
      <c r="H1068" s="118"/>
      <c r="I1068" s="144"/>
      <c r="J1068" s="118"/>
      <c r="K1068" s="118"/>
    </row>
    <row r="1069" spans="1:11" s="119" customFormat="1" ht="15.6" x14ac:dyDescent="0.3">
      <c r="A1069" s="127">
        <v>1282</v>
      </c>
      <c r="B1069" s="128">
        <v>43908</v>
      </c>
      <c r="C1069" s="129" t="s">
        <v>1766</v>
      </c>
      <c r="D1069" s="129" t="s">
        <v>1524</v>
      </c>
      <c r="E1069" s="152"/>
      <c r="F1069" s="254">
        <v>20000</v>
      </c>
      <c r="G1069" s="142"/>
      <c r="H1069" s="118"/>
      <c r="I1069" s="144"/>
      <c r="J1069" s="118"/>
      <c r="K1069" s="118"/>
    </row>
    <row r="1070" spans="1:11" s="119" customFormat="1" ht="15.6" x14ac:dyDescent="0.3">
      <c r="A1070" s="127">
        <v>1283</v>
      </c>
      <c r="B1070" s="128">
        <v>43908</v>
      </c>
      <c r="C1070" s="129" t="s">
        <v>1715</v>
      </c>
      <c r="D1070" s="129" t="s">
        <v>1533</v>
      </c>
      <c r="E1070" s="152"/>
      <c r="F1070" s="254">
        <v>10000</v>
      </c>
      <c r="G1070" s="142"/>
      <c r="H1070" s="118"/>
      <c r="I1070" s="144"/>
      <c r="J1070" s="118"/>
      <c r="K1070" s="118"/>
    </row>
    <row r="1071" spans="1:11" s="119" customFormat="1" ht="15.6" x14ac:dyDescent="0.3">
      <c r="A1071" s="127">
        <v>1284</v>
      </c>
      <c r="B1071" s="128">
        <v>43908</v>
      </c>
      <c r="C1071" s="129" t="s">
        <v>1724</v>
      </c>
      <c r="D1071" s="129" t="s">
        <v>1526</v>
      </c>
      <c r="E1071" s="152"/>
      <c r="F1071" s="254">
        <v>13000</v>
      </c>
      <c r="G1071" s="142"/>
      <c r="H1071" s="118"/>
      <c r="I1071" s="144"/>
      <c r="J1071" s="118"/>
      <c r="K1071" s="118"/>
    </row>
    <row r="1072" spans="1:11" s="119" customFormat="1" ht="15.6" x14ac:dyDescent="0.3">
      <c r="A1072" s="127">
        <v>1285</v>
      </c>
      <c r="B1072" s="128">
        <v>43919</v>
      </c>
      <c r="C1072" s="129" t="s">
        <v>1758</v>
      </c>
      <c r="D1072" s="129" t="s">
        <v>1520</v>
      </c>
      <c r="E1072" s="152">
        <v>50000</v>
      </c>
      <c r="F1072" s="254"/>
      <c r="G1072" s="142"/>
      <c r="H1072" s="118"/>
      <c r="I1072" s="144"/>
      <c r="J1072" s="118"/>
      <c r="K1072" s="118"/>
    </row>
    <row r="1073" spans="1:11" s="119" customFormat="1" ht="15.6" x14ac:dyDescent="0.3">
      <c r="A1073" s="127">
        <v>1286</v>
      </c>
      <c r="B1073" s="128">
        <v>43919</v>
      </c>
      <c r="C1073" s="129" t="s">
        <v>1724</v>
      </c>
      <c r="D1073" s="129" t="s">
        <v>1526</v>
      </c>
      <c r="E1073" s="152"/>
      <c r="F1073" s="254">
        <v>50000</v>
      </c>
      <c r="G1073" s="142"/>
      <c r="H1073" s="118"/>
      <c r="I1073" s="144"/>
      <c r="J1073" s="118"/>
      <c r="K1073" s="118"/>
    </row>
    <row r="1074" spans="1:11" s="119" customFormat="1" ht="15.6" x14ac:dyDescent="0.3">
      <c r="A1074" s="127">
        <v>1287</v>
      </c>
      <c r="B1074" s="128">
        <v>43923</v>
      </c>
      <c r="C1074" s="129" t="s">
        <v>1775</v>
      </c>
      <c r="D1074" s="129" t="s">
        <v>1516</v>
      </c>
      <c r="E1074" s="152"/>
      <c r="F1074" s="254">
        <v>6650</v>
      </c>
      <c r="G1074" s="142"/>
      <c r="H1074" s="118"/>
      <c r="I1074" s="144"/>
      <c r="J1074" s="118"/>
      <c r="K1074" s="118"/>
    </row>
    <row r="1075" spans="1:11" s="119" customFormat="1" ht="15.6" x14ac:dyDescent="0.3">
      <c r="A1075" s="127">
        <v>1288</v>
      </c>
      <c r="B1075" s="128">
        <v>43928</v>
      </c>
      <c r="C1075" s="129" t="s">
        <v>1715</v>
      </c>
      <c r="D1075" s="255" t="s">
        <v>1533</v>
      </c>
      <c r="E1075" s="152"/>
      <c r="F1075" s="254">
        <v>10000</v>
      </c>
      <c r="G1075" s="142"/>
      <c r="H1075" s="118"/>
      <c r="I1075" s="144"/>
      <c r="J1075" s="118"/>
      <c r="K1075" s="118"/>
    </row>
    <row r="1076" spans="1:11" s="119" customFormat="1" ht="15.6" x14ac:dyDescent="0.3">
      <c r="A1076" s="127">
        <v>1289</v>
      </c>
      <c r="B1076" s="128">
        <v>43939</v>
      </c>
      <c r="C1076" s="129" t="s">
        <v>1776</v>
      </c>
      <c r="D1076" s="255" t="s">
        <v>1517</v>
      </c>
      <c r="E1076" s="129"/>
      <c r="F1076" s="254">
        <v>60000</v>
      </c>
      <c r="G1076" s="118"/>
      <c r="H1076" s="118"/>
    </row>
    <row r="1077" spans="1:11" s="119" customFormat="1" ht="15.6" x14ac:dyDescent="0.3">
      <c r="A1077" s="127">
        <v>1290</v>
      </c>
      <c r="B1077" s="128">
        <v>43948</v>
      </c>
      <c r="C1077" s="129" t="s">
        <v>1716</v>
      </c>
      <c r="D1077" s="255" t="s">
        <v>1516</v>
      </c>
      <c r="E1077" s="129"/>
      <c r="F1077" s="254">
        <v>1000</v>
      </c>
      <c r="G1077" s="118"/>
      <c r="H1077" s="118"/>
    </row>
    <row r="1078" spans="1:11" s="119" customFormat="1" ht="15.6" x14ac:dyDescent="0.3">
      <c r="A1078" s="127">
        <v>1291</v>
      </c>
      <c r="B1078" s="128">
        <v>43948</v>
      </c>
      <c r="C1078" s="129" t="s">
        <v>1716</v>
      </c>
      <c r="D1078" s="255" t="s">
        <v>1516</v>
      </c>
      <c r="E1078" s="129"/>
      <c r="F1078" s="254">
        <v>2000</v>
      </c>
      <c r="G1078" s="118"/>
      <c r="H1078" s="118"/>
    </row>
    <row r="1079" spans="1:11" s="119" customFormat="1" ht="15.6" x14ac:dyDescent="0.3">
      <c r="A1079" s="127">
        <v>1292</v>
      </c>
      <c r="B1079" s="128">
        <v>43948</v>
      </c>
      <c r="C1079" s="129" t="s">
        <v>1779</v>
      </c>
      <c r="D1079" s="255" t="s">
        <v>1516</v>
      </c>
      <c r="E1079" s="129"/>
      <c r="F1079" s="254">
        <v>6500</v>
      </c>
      <c r="G1079" s="118"/>
      <c r="H1079" s="118"/>
    </row>
    <row r="1080" spans="1:11" s="119" customFormat="1" ht="15.6" x14ac:dyDescent="0.3">
      <c r="A1080" s="127">
        <v>1293</v>
      </c>
      <c r="B1080" s="128">
        <v>43950</v>
      </c>
      <c r="C1080" s="129" t="s">
        <v>1758</v>
      </c>
      <c r="D1080" s="255" t="s">
        <v>1520</v>
      </c>
      <c r="E1080" s="152">
        <v>80000</v>
      </c>
      <c r="F1080" s="254"/>
      <c r="G1080" s="118"/>
      <c r="H1080" s="118"/>
    </row>
    <row r="1081" spans="1:11" s="119" customFormat="1" ht="15.6" x14ac:dyDescent="0.3">
      <c r="A1081" s="127">
        <v>1294</v>
      </c>
      <c r="B1081" s="128">
        <v>43950</v>
      </c>
      <c r="C1081" s="129" t="s">
        <v>1780</v>
      </c>
      <c r="D1081" s="255" t="s">
        <v>1516</v>
      </c>
      <c r="E1081" s="129"/>
      <c r="F1081" s="254">
        <v>2600</v>
      </c>
      <c r="G1081" s="118"/>
      <c r="H1081" s="118"/>
    </row>
    <row r="1082" spans="1:11" s="119" customFormat="1" ht="15.6" x14ac:dyDescent="0.3">
      <c r="A1082" s="127">
        <v>1295</v>
      </c>
      <c r="B1082" s="128">
        <v>43950</v>
      </c>
      <c r="C1082" s="129" t="s">
        <v>1715</v>
      </c>
      <c r="D1082" s="255" t="s">
        <v>1533</v>
      </c>
      <c r="E1082" s="129"/>
      <c r="F1082" s="254">
        <v>5000</v>
      </c>
      <c r="G1082" s="118"/>
      <c r="H1082" s="118"/>
    </row>
    <row r="1083" spans="1:11" s="119" customFormat="1" ht="15.6" x14ac:dyDescent="0.3">
      <c r="A1083" s="127">
        <v>1296</v>
      </c>
      <c r="B1083" s="128">
        <v>43952</v>
      </c>
      <c r="C1083" s="129" t="s">
        <v>1716</v>
      </c>
      <c r="D1083" s="255" t="s">
        <v>1516</v>
      </c>
      <c r="E1083" s="129"/>
      <c r="F1083" s="254">
        <v>1000</v>
      </c>
      <c r="G1083" s="118"/>
      <c r="H1083" s="118"/>
    </row>
    <row r="1084" spans="1:11" s="119" customFormat="1" ht="15.6" x14ac:dyDescent="0.3">
      <c r="A1084" s="127">
        <v>1297</v>
      </c>
      <c r="B1084" s="128">
        <v>43953</v>
      </c>
      <c r="C1084" s="129" t="s">
        <v>1716</v>
      </c>
      <c r="D1084" s="255" t="s">
        <v>1516</v>
      </c>
      <c r="E1084" s="129"/>
      <c r="F1084" s="254">
        <v>1000</v>
      </c>
      <c r="G1084" s="118"/>
      <c r="H1084" s="118"/>
    </row>
    <row r="1085" spans="1:11" s="119" customFormat="1" ht="15.6" x14ac:dyDescent="0.3">
      <c r="A1085" s="127">
        <v>1298</v>
      </c>
      <c r="B1085" s="128">
        <v>43954</v>
      </c>
      <c r="C1085" s="129" t="s">
        <v>1758</v>
      </c>
      <c r="D1085" s="255" t="s">
        <v>1520</v>
      </c>
      <c r="E1085" s="152">
        <v>100000</v>
      </c>
      <c r="F1085" s="254"/>
      <c r="G1085" s="118"/>
      <c r="H1085" s="118"/>
    </row>
    <row r="1086" spans="1:11" s="119" customFormat="1" ht="15.6" x14ac:dyDescent="0.3">
      <c r="A1086" s="127">
        <v>1299</v>
      </c>
      <c r="B1086" s="128">
        <v>43955</v>
      </c>
      <c r="C1086" s="130" t="s">
        <v>1781</v>
      </c>
      <c r="D1086" s="256" t="s">
        <v>1530</v>
      </c>
      <c r="E1086" s="129"/>
      <c r="F1086" s="254">
        <v>55000</v>
      </c>
      <c r="G1086" s="118"/>
      <c r="H1086" s="118"/>
    </row>
    <row r="1087" spans="1:11" s="119" customFormat="1" ht="15.6" x14ac:dyDescent="0.3">
      <c r="A1087" s="127">
        <v>1300</v>
      </c>
      <c r="B1087" s="128">
        <v>43955</v>
      </c>
      <c r="C1087" s="129" t="s">
        <v>1782</v>
      </c>
      <c r="D1087" s="255" t="s">
        <v>1516</v>
      </c>
      <c r="E1087" s="129"/>
      <c r="F1087" s="254">
        <v>26500</v>
      </c>
      <c r="G1087" s="118"/>
      <c r="H1087" s="118"/>
    </row>
    <row r="1088" spans="1:11" s="119" customFormat="1" ht="15.6" x14ac:dyDescent="0.3">
      <c r="A1088" s="127">
        <v>1301</v>
      </c>
      <c r="B1088" s="128">
        <v>43955</v>
      </c>
      <c r="C1088" s="129" t="s">
        <v>1783</v>
      </c>
      <c r="D1088" s="255" t="s">
        <v>1521</v>
      </c>
      <c r="E1088" s="129"/>
      <c r="F1088" s="254">
        <v>450</v>
      </c>
      <c r="G1088" s="118"/>
      <c r="H1088" s="118"/>
    </row>
    <row r="1089" spans="1:8" s="119" customFormat="1" ht="15.6" x14ac:dyDescent="0.3">
      <c r="A1089" s="127">
        <v>1302</v>
      </c>
      <c r="B1089" s="128">
        <v>43955</v>
      </c>
      <c r="C1089" s="129" t="s">
        <v>1784</v>
      </c>
      <c r="D1089" s="255" t="s">
        <v>1516</v>
      </c>
      <c r="E1089" s="129"/>
      <c r="F1089" s="254">
        <v>4600</v>
      </c>
      <c r="G1089" s="118"/>
      <c r="H1089" s="118"/>
    </row>
    <row r="1090" spans="1:8" s="119" customFormat="1" ht="15.6" x14ac:dyDescent="0.3">
      <c r="A1090" s="127">
        <v>1303</v>
      </c>
      <c r="B1090" s="128">
        <v>43955</v>
      </c>
      <c r="C1090" s="129" t="s">
        <v>1715</v>
      </c>
      <c r="D1090" s="255" t="s">
        <v>1533</v>
      </c>
      <c r="E1090" s="129"/>
      <c r="F1090" s="254">
        <v>2000</v>
      </c>
      <c r="G1090" s="118"/>
      <c r="H1090" s="118"/>
    </row>
    <row r="1091" spans="1:8" s="119" customFormat="1" ht="15.6" x14ac:dyDescent="0.3">
      <c r="A1091" s="127">
        <v>1304</v>
      </c>
      <c r="B1091" s="128">
        <v>43964</v>
      </c>
      <c r="C1091" s="129" t="s">
        <v>1785</v>
      </c>
      <c r="D1091" s="255" t="s">
        <v>1516</v>
      </c>
      <c r="E1091" s="129"/>
      <c r="F1091" s="254">
        <v>3000</v>
      </c>
      <c r="G1091" s="118"/>
      <c r="H1091" s="118"/>
    </row>
    <row r="1092" spans="1:8" s="119" customFormat="1" ht="15.6" x14ac:dyDescent="0.3">
      <c r="A1092" s="127">
        <v>1305</v>
      </c>
      <c r="B1092" s="128">
        <v>43964</v>
      </c>
      <c r="C1092" s="129" t="s">
        <v>1715</v>
      </c>
      <c r="D1092" s="255" t="s">
        <v>1533</v>
      </c>
      <c r="E1092" s="129"/>
      <c r="F1092" s="254">
        <v>2000</v>
      </c>
      <c r="G1092" s="118"/>
      <c r="H1092" s="118"/>
    </row>
    <row r="1093" spans="1:8" s="119" customFormat="1" ht="15.6" x14ac:dyDescent="0.3">
      <c r="A1093" s="127">
        <v>1306</v>
      </c>
      <c r="B1093" s="128">
        <v>43965</v>
      </c>
      <c r="C1093" s="129" t="s">
        <v>1786</v>
      </c>
      <c r="D1093" s="255" t="s">
        <v>1521</v>
      </c>
      <c r="E1093" s="129"/>
      <c r="F1093" s="254">
        <v>410</v>
      </c>
      <c r="G1093" s="118"/>
      <c r="H1093" s="118"/>
    </row>
    <row r="1094" spans="1:8" s="119" customFormat="1" ht="15.6" x14ac:dyDescent="0.3">
      <c r="A1094" s="127">
        <v>1307</v>
      </c>
      <c r="B1094" s="128">
        <v>43965</v>
      </c>
      <c r="C1094" s="129" t="s">
        <v>1758</v>
      </c>
      <c r="D1094" s="255" t="s">
        <v>1520</v>
      </c>
      <c r="E1094" s="152">
        <v>90000</v>
      </c>
      <c r="F1094" s="254"/>
      <c r="G1094" s="118"/>
      <c r="H1094" s="118"/>
    </row>
    <row r="1095" spans="1:8" ht="15.6" x14ac:dyDescent="0.3">
      <c r="A1095" s="127">
        <v>1308</v>
      </c>
      <c r="B1095" s="128">
        <v>43965</v>
      </c>
      <c r="C1095" s="129" t="s">
        <v>113</v>
      </c>
      <c r="D1095" s="255" t="s">
        <v>1529</v>
      </c>
      <c r="E1095" s="251"/>
      <c r="F1095" s="257">
        <v>10000</v>
      </c>
      <c r="G1095" s="77"/>
      <c r="H1095" s="77"/>
    </row>
    <row r="1096" spans="1:8" ht="15.6" x14ac:dyDescent="0.3">
      <c r="A1096" s="127">
        <v>1309</v>
      </c>
      <c r="B1096" s="128">
        <v>43967</v>
      </c>
      <c r="C1096" s="129" t="s">
        <v>1787</v>
      </c>
      <c r="D1096" s="255" t="s">
        <v>1516</v>
      </c>
      <c r="E1096" s="251"/>
      <c r="F1096" s="257">
        <v>12300</v>
      </c>
      <c r="G1096" s="77"/>
      <c r="H1096" s="77"/>
    </row>
    <row r="1097" spans="1:8" ht="15.6" x14ac:dyDescent="0.3">
      <c r="A1097" s="127">
        <v>1310</v>
      </c>
      <c r="B1097" s="128">
        <v>43967</v>
      </c>
      <c r="C1097" s="129" t="s">
        <v>1716</v>
      </c>
      <c r="D1097" s="255" t="s">
        <v>1516</v>
      </c>
      <c r="E1097" s="251"/>
      <c r="F1097" s="257">
        <v>2000</v>
      </c>
      <c r="G1097" s="77"/>
      <c r="H1097" s="77"/>
    </row>
    <row r="1098" spans="1:8" ht="15.6" x14ac:dyDescent="0.3">
      <c r="A1098" s="127">
        <v>1311</v>
      </c>
      <c r="B1098" s="128">
        <v>43968</v>
      </c>
      <c r="C1098" s="129" t="s">
        <v>1716</v>
      </c>
      <c r="D1098" s="255" t="s">
        <v>1516</v>
      </c>
      <c r="E1098" s="251"/>
      <c r="F1098" s="257">
        <v>1000</v>
      </c>
      <c r="G1098" s="77"/>
      <c r="H1098" s="77"/>
    </row>
    <row r="1099" spans="1:8" ht="15.6" x14ac:dyDescent="0.3">
      <c r="A1099" s="127">
        <v>1312</v>
      </c>
      <c r="B1099" s="128">
        <v>43969</v>
      </c>
      <c r="C1099" s="129" t="s">
        <v>1758</v>
      </c>
      <c r="D1099" s="255" t="s">
        <v>1520</v>
      </c>
      <c r="E1099" s="152">
        <v>180000</v>
      </c>
      <c r="F1099" s="257"/>
      <c r="G1099" s="77"/>
      <c r="H1099" s="77"/>
    </row>
    <row r="1100" spans="1:8" ht="15.6" x14ac:dyDescent="0.3">
      <c r="A1100" s="127">
        <v>1313</v>
      </c>
      <c r="B1100" s="128">
        <v>43970</v>
      </c>
      <c r="C1100" s="129" t="s">
        <v>1724</v>
      </c>
      <c r="D1100" s="255" t="s">
        <v>1526</v>
      </c>
      <c r="E1100" s="251"/>
      <c r="F1100" s="257">
        <v>100000</v>
      </c>
      <c r="G1100" s="77"/>
      <c r="H1100" s="77"/>
    </row>
    <row r="1101" spans="1:8" ht="15.6" x14ac:dyDescent="0.3">
      <c r="A1101" s="127">
        <v>1314</v>
      </c>
      <c r="B1101" s="128">
        <v>43970</v>
      </c>
      <c r="C1101" s="129" t="s">
        <v>113</v>
      </c>
      <c r="D1101" s="255" t="s">
        <v>1529</v>
      </c>
      <c r="E1101" s="251"/>
      <c r="F1101" s="257">
        <v>10000</v>
      </c>
      <c r="G1101" s="77"/>
      <c r="H1101" s="77"/>
    </row>
    <row r="1102" spans="1:8" ht="15.6" x14ac:dyDescent="0.3">
      <c r="A1102" s="127">
        <v>1315</v>
      </c>
      <c r="B1102" s="128">
        <v>43971</v>
      </c>
      <c r="C1102" s="129" t="s">
        <v>1715</v>
      </c>
      <c r="D1102" s="255" t="s">
        <v>1533</v>
      </c>
      <c r="E1102" s="251"/>
      <c r="F1102" s="257">
        <v>25000</v>
      </c>
      <c r="G1102" s="77"/>
      <c r="H1102" s="77"/>
    </row>
    <row r="1103" spans="1:8" ht="15.6" x14ac:dyDescent="0.3">
      <c r="A1103" s="127">
        <v>1316</v>
      </c>
      <c r="B1103" s="128">
        <v>43971</v>
      </c>
      <c r="C1103" s="129" t="s">
        <v>1716</v>
      </c>
      <c r="D1103" s="255" t="s">
        <v>1516</v>
      </c>
      <c r="E1103" s="251"/>
      <c r="F1103" s="257">
        <v>10000</v>
      </c>
      <c r="G1103" s="77"/>
      <c r="H1103" s="77"/>
    </row>
    <row r="1104" spans="1:8" ht="15.6" x14ac:dyDescent="0.3">
      <c r="A1104" s="127">
        <v>1317</v>
      </c>
      <c r="B1104" s="128">
        <v>43971</v>
      </c>
      <c r="C1104" s="129" t="s">
        <v>1788</v>
      </c>
      <c r="D1104" s="255" t="s">
        <v>1517</v>
      </c>
      <c r="E1104" s="251"/>
      <c r="F1104" s="257">
        <v>10000</v>
      </c>
      <c r="G1104" s="77"/>
      <c r="H1104" s="77"/>
    </row>
    <row r="1105" spans="1:8" ht="15.6" x14ac:dyDescent="0.3">
      <c r="A1105" s="127">
        <v>1318</v>
      </c>
      <c r="B1105" s="128">
        <v>43984</v>
      </c>
      <c r="C1105" s="129" t="s">
        <v>1789</v>
      </c>
      <c r="D1105" s="255" t="s">
        <v>1516</v>
      </c>
      <c r="E1105" s="251"/>
      <c r="F1105" s="257">
        <v>2000</v>
      </c>
      <c r="G1105" s="77"/>
      <c r="H1105" s="77"/>
    </row>
    <row r="1106" spans="1:8" ht="15.6" x14ac:dyDescent="0.3">
      <c r="A1106" s="127">
        <v>1319</v>
      </c>
      <c r="B1106" s="128">
        <v>43984</v>
      </c>
      <c r="C1106" s="129" t="s">
        <v>1715</v>
      </c>
      <c r="D1106" s="255" t="s">
        <v>1533</v>
      </c>
      <c r="E1106" s="251"/>
      <c r="F1106" s="257">
        <v>1000</v>
      </c>
      <c r="G1106" s="77"/>
      <c r="H1106" s="77"/>
    </row>
    <row r="1107" spans="1:8" ht="15.6" x14ac:dyDescent="0.3">
      <c r="A1107" s="127">
        <v>1320</v>
      </c>
      <c r="B1107" s="128">
        <v>43984</v>
      </c>
      <c r="C1107" s="129" t="s">
        <v>1790</v>
      </c>
      <c r="D1107" s="255" t="s">
        <v>1516</v>
      </c>
      <c r="E1107" s="251"/>
      <c r="F1107" s="257">
        <v>4000</v>
      </c>
      <c r="G1107" s="77"/>
      <c r="H1107" s="77"/>
    </row>
    <row r="1108" spans="1:8" ht="15.6" x14ac:dyDescent="0.3">
      <c r="A1108" s="127">
        <v>1321</v>
      </c>
      <c r="B1108" s="128">
        <v>43986</v>
      </c>
      <c r="C1108" s="129" t="s">
        <v>1791</v>
      </c>
      <c r="D1108" s="255" t="s">
        <v>1516</v>
      </c>
      <c r="E1108" s="251"/>
      <c r="F1108" s="257">
        <v>8000</v>
      </c>
      <c r="G1108" s="77"/>
      <c r="H1108" s="77"/>
    </row>
    <row r="1109" spans="1:8" ht="15.6" x14ac:dyDescent="0.3">
      <c r="A1109" s="127">
        <v>1322</v>
      </c>
      <c r="B1109" s="128">
        <v>43986</v>
      </c>
      <c r="C1109" s="129" t="s">
        <v>1793</v>
      </c>
      <c r="D1109" s="255" t="s">
        <v>1520</v>
      </c>
      <c r="E1109" s="152">
        <v>200000</v>
      </c>
      <c r="F1109" s="257"/>
      <c r="G1109" s="77"/>
      <c r="H1109" s="77"/>
    </row>
    <row r="1110" spans="1:8" ht="15.6" x14ac:dyDescent="0.3">
      <c r="A1110" s="127">
        <v>1323</v>
      </c>
      <c r="B1110" s="128">
        <v>43989</v>
      </c>
      <c r="C1110" s="129" t="s">
        <v>1716</v>
      </c>
      <c r="D1110" s="255" t="s">
        <v>1516</v>
      </c>
      <c r="E1110" s="251"/>
      <c r="F1110" s="257">
        <v>5000</v>
      </c>
      <c r="G1110" s="77"/>
      <c r="H1110" s="77"/>
    </row>
    <row r="1111" spans="1:8" ht="15.6" x14ac:dyDescent="0.3">
      <c r="A1111" s="127">
        <v>1324</v>
      </c>
      <c r="B1111" s="128">
        <v>43989</v>
      </c>
      <c r="C1111" s="129" t="s">
        <v>1792</v>
      </c>
      <c r="D1111" s="255" t="s">
        <v>1516</v>
      </c>
      <c r="E1111" s="251"/>
      <c r="F1111" s="257">
        <v>1800</v>
      </c>
      <c r="G1111" s="77"/>
      <c r="H1111" s="77"/>
    </row>
    <row r="1112" spans="1:8" ht="15.6" x14ac:dyDescent="0.3">
      <c r="A1112" s="127">
        <v>1325</v>
      </c>
      <c r="B1112" s="128">
        <v>43990</v>
      </c>
      <c r="C1112" s="129" t="s">
        <v>1724</v>
      </c>
      <c r="D1112" s="255" t="s">
        <v>1526</v>
      </c>
      <c r="E1112" s="251"/>
      <c r="F1112" s="257">
        <v>50000</v>
      </c>
      <c r="G1112" s="77"/>
      <c r="H1112" s="77"/>
    </row>
    <row r="1113" spans="1:8" ht="15.6" x14ac:dyDescent="0.3">
      <c r="A1113" s="127">
        <v>1326</v>
      </c>
      <c r="B1113" s="128">
        <v>43997</v>
      </c>
      <c r="C1113" s="129" t="s">
        <v>1791</v>
      </c>
      <c r="D1113" s="255" t="s">
        <v>1516</v>
      </c>
      <c r="E1113" s="251"/>
      <c r="F1113" s="257">
        <v>2000</v>
      </c>
      <c r="G1113" s="77"/>
      <c r="H1113" s="77"/>
    </row>
    <row r="1114" spans="1:8" ht="15.6" x14ac:dyDescent="0.3">
      <c r="A1114" s="127">
        <v>1327</v>
      </c>
      <c r="B1114" s="128">
        <v>43997</v>
      </c>
      <c r="C1114" s="129" t="s">
        <v>1716</v>
      </c>
      <c r="D1114" s="255" t="s">
        <v>1516</v>
      </c>
      <c r="E1114" s="251"/>
      <c r="F1114" s="257">
        <v>1000</v>
      </c>
      <c r="G1114" s="77"/>
      <c r="H1114" s="77"/>
    </row>
    <row r="1115" spans="1:8" ht="15.6" x14ac:dyDescent="0.3">
      <c r="A1115" s="127">
        <v>1328</v>
      </c>
      <c r="B1115" s="128">
        <v>43997</v>
      </c>
      <c r="C1115" s="129" t="s">
        <v>1794</v>
      </c>
      <c r="D1115" s="255" t="s">
        <v>1521</v>
      </c>
      <c r="E1115" s="251"/>
      <c r="F1115" s="257">
        <v>200</v>
      </c>
      <c r="G1115" s="77"/>
      <c r="H1115" s="77"/>
    </row>
    <row r="1116" spans="1:8" ht="15.6" x14ac:dyDescent="0.3">
      <c r="A1116" s="127">
        <v>1329</v>
      </c>
      <c r="B1116" s="128">
        <v>43997</v>
      </c>
      <c r="C1116" s="129" t="s">
        <v>1716</v>
      </c>
      <c r="D1116" s="255" t="s">
        <v>1516</v>
      </c>
      <c r="E1116" s="251"/>
      <c r="F1116" s="257">
        <v>3000</v>
      </c>
      <c r="G1116" s="77"/>
      <c r="H1116" s="77"/>
    </row>
    <row r="1117" spans="1:8" ht="15.6" x14ac:dyDescent="0.3">
      <c r="A1117" s="127">
        <v>1330</v>
      </c>
      <c r="B1117" s="128">
        <v>43997</v>
      </c>
      <c r="C1117" s="129" t="s">
        <v>1794</v>
      </c>
      <c r="D1117" s="255" t="s">
        <v>1521</v>
      </c>
      <c r="E1117" s="251"/>
      <c r="F1117" s="257">
        <v>200</v>
      </c>
      <c r="G1117" s="77"/>
      <c r="H1117" s="77"/>
    </row>
    <row r="1118" spans="1:8" ht="15.6" x14ac:dyDescent="0.3">
      <c r="A1118" s="127">
        <v>1331</v>
      </c>
      <c r="B1118" s="128">
        <v>43997</v>
      </c>
      <c r="C1118" s="129" t="s">
        <v>42</v>
      </c>
      <c r="D1118" s="255" t="s">
        <v>1521</v>
      </c>
      <c r="E1118" s="251"/>
      <c r="F1118" s="257">
        <v>100</v>
      </c>
      <c r="G1118" s="77"/>
      <c r="H1118" s="77"/>
    </row>
    <row r="1119" spans="1:8" ht="15.6" x14ac:dyDescent="0.3">
      <c r="A1119" s="127">
        <v>1332</v>
      </c>
      <c r="B1119" s="128">
        <v>44003</v>
      </c>
      <c r="C1119" s="129" t="s">
        <v>1795</v>
      </c>
      <c r="D1119" s="255" t="s">
        <v>1521</v>
      </c>
      <c r="E1119" s="251"/>
      <c r="F1119" s="257">
        <v>7000</v>
      </c>
      <c r="G1119" s="77"/>
      <c r="H1119" s="77"/>
    </row>
    <row r="1120" spans="1:8" ht="15.6" x14ac:dyDescent="0.3">
      <c r="A1120" s="127">
        <v>1333</v>
      </c>
      <c r="B1120" s="128">
        <v>44003</v>
      </c>
      <c r="C1120" s="129" t="s">
        <v>26</v>
      </c>
      <c r="D1120" s="255" t="s">
        <v>1522</v>
      </c>
      <c r="E1120" s="251"/>
      <c r="F1120" s="257">
        <v>2500</v>
      </c>
      <c r="G1120" s="77"/>
      <c r="H1120" s="77"/>
    </row>
    <row r="1121" spans="1:8" ht="15.6" x14ac:dyDescent="0.3">
      <c r="A1121" s="127">
        <v>1334</v>
      </c>
      <c r="B1121" s="128">
        <v>44003</v>
      </c>
      <c r="C1121" s="129" t="s">
        <v>1796</v>
      </c>
      <c r="D1121" s="255" t="s">
        <v>1517</v>
      </c>
      <c r="E1121" s="251"/>
      <c r="F1121" s="257">
        <v>60000</v>
      </c>
      <c r="G1121" s="77"/>
      <c r="H1121" s="77"/>
    </row>
    <row r="1122" spans="1:8" ht="15.6" x14ac:dyDescent="0.3">
      <c r="A1122" s="127">
        <v>1335</v>
      </c>
      <c r="B1122" s="128">
        <v>44004</v>
      </c>
      <c r="C1122" s="129" t="s">
        <v>1797</v>
      </c>
      <c r="D1122" s="255" t="s">
        <v>1520</v>
      </c>
      <c r="E1122" s="152">
        <v>150000</v>
      </c>
      <c r="F1122" s="257"/>
      <c r="G1122" s="77"/>
      <c r="H1122" s="77"/>
    </row>
    <row r="1123" spans="1:8" ht="15.6" x14ac:dyDescent="0.3">
      <c r="A1123" s="127">
        <v>1336</v>
      </c>
      <c r="B1123" s="128">
        <v>44004</v>
      </c>
      <c r="C1123" s="129" t="s">
        <v>1798</v>
      </c>
      <c r="D1123" s="255" t="s">
        <v>1523</v>
      </c>
      <c r="E1123" s="251"/>
      <c r="F1123" s="257">
        <v>50000</v>
      </c>
      <c r="G1123" s="77"/>
      <c r="H1123" s="77"/>
    </row>
    <row r="1124" spans="1:8" ht="15.6" x14ac:dyDescent="0.3">
      <c r="A1124" s="127">
        <v>1337</v>
      </c>
      <c r="B1124" s="128">
        <v>44005</v>
      </c>
      <c r="C1124" s="129" t="s">
        <v>1724</v>
      </c>
      <c r="D1124" s="255" t="s">
        <v>1526</v>
      </c>
      <c r="E1124" s="251"/>
      <c r="F1124" s="257">
        <v>35000</v>
      </c>
      <c r="G1124" s="77"/>
      <c r="H1124" s="77"/>
    </row>
    <row r="1125" spans="1:8" ht="15.6" x14ac:dyDescent="0.3">
      <c r="A1125" s="127">
        <v>1338</v>
      </c>
      <c r="B1125" s="128">
        <v>44005</v>
      </c>
      <c r="C1125" s="129" t="s">
        <v>1759</v>
      </c>
      <c r="D1125" s="255" t="s">
        <v>1516</v>
      </c>
      <c r="E1125" s="251"/>
      <c r="F1125" s="257">
        <v>900</v>
      </c>
      <c r="G1125" s="77"/>
      <c r="H1125" s="77"/>
    </row>
    <row r="1126" spans="1:8" ht="15.6" x14ac:dyDescent="0.3">
      <c r="A1126" s="127">
        <v>1339</v>
      </c>
      <c r="B1126" s="128">
        <v>44005</v>
      </c>
      <c r="C1126" s="129" t="s">
        <v>42</v>
      </c>
      <c r="D1126" s="255" t="s">
        <v>1521</v>
      </c>
      <c r="E1126" s="251"/>
      <c r="F1126" s="257">
        <v>100</v>
      </c>
      <c r="G1126" s="77"/>
      <c r="H1126" s="77"/>
    </row>
    <row r="1127" spans="1:8" ht="15.6" x14ac:dyDescent="0.3">
      <c r="A1127" s="127">
        <v>1340</v>
      </c>
      <c r="B1127" s="128">
        <v>44005</v>
      </c>
      <c r="C1127" s="129" t="s">
        <v>1799</v>
      </c>
      <c r="D1127" s="255" t="s">
        <v>1471</v>
      </c>
      <c r="E1127" s="251"/>
      <c r="F1127" s="257">
        <v>10000</v>
      </c>
      <c r="G1127" s="77"/>
      <c r="H1127" s="77"/>
    </row>
    <row r="1128" spans="1:8" ht="15.6" x14ac:dyDescent="0.3">
      <c r="A1128" s="127">
        <v>1341</v>
      </c>
      <c r="B1128" s="128">
        <v>44005</v>
      </c>
      <c r="C1128" s="129" t="s">
        <v>1716</v>
      </c>
      <c r="D1128" s="255" t="s">
        <v>1516</v>
      </c>
      <c r="E1128" s="251"/>
      <c r="F1128" s="257">
        <v>1000</v>
      </c>
      <c r="G1128" s="77"/>
      <c r="H1128" s="77"/>
    </row>
    <row r="1129" spans="1:8" ht="15.6" x14ac:dyDescent="0.3">
      <c r="A1129" s="127">
        <v>1342</v>
      </c>
      <c r="B1129" s="128">
        <v>44005</v>
      </c>
      <c r="C1129" s="129" t="s">
        <v>1800</v>
      </c>
      <c r="D1129" s="255" t="s">
        <v>1521</v>
      </c>
      <c r="E1129" s="251"/>
      <c r="F1129" s="257">
        <v>250</v>
      </c>
      <c r="G1129" s="77"/>
      <c r="H1129" s="77"/>
    </row>
    <row r="1130" spans="1:8" ht="15.6" x14ac:dyDescent="0.3">
      <c r="A1130" s="127">
        <v>1343</v>
      </c>
      <c r="B1130" s="128">
        <v>44005</v>
      </c>
      <c r="C1130" s="129" t="s">
        <v>1801</v>
      </c>
      <c r="D1130" s="255" t="s">
        <v>1521</v>
      </c>
      <c r="E1130" s="251"/>
      <c r="F1130" s="257">
        <v>90</v>
      </c>
      <c r="G1130" s="77"/>
      <c r="H1130" s="77"/>
    </row>
    <row r="1131" spans="1:8" ht="15.6" x14ac:dyDescent="0.3">
      <c r="A1131" s="127">
        <v>1344</v>
      </c>
      <c r="B1131" s="128">
        <v>44005</v>
      </c>
      <c r="C1131" s="129" t="s">
        <v>1759</v>
      </c>
      <c r="D1131" s="255" t="s">
        <v>1516</v>
      </c>
      <c r="E1131" s="251"/>
      <c r="F1131" s="257">
        <v>900</v>
      </c>
      <c r="G1131" s="77"/>
      <c r="H1131" s="77"/>
    </row>
    <row r="1132" spans="1:8" ht="15.6" x14ac:dyDescent="0.3">
      <c r="A1132" s="127">
        <v>1345</v>
      </c>
      <c r="B1132" s="128">
        <v>44005</v>
      </c>
      <c r="C1132" s="129" t="s">
        <v>1794</v>
      </c>
      <c r="D1132" s="255" t="s">
        <v>1521</v>
      </c>
      <c r="E1132" s="251"/>
      <c r="F1132" s="257">
        <v>100</v>
      </c>
      <c r="G1132" s="77"/>
      <c r="H1132" s="77"/>
    </row>
    <row r="1133" spans="1:8" ht="15.6" x14ac:dyDescent="0.3">
      <c r="A1133" s="127">
        <v>1346</v>
      </c>
      <c r="B1133" s="128">
        <v>44013</v>
      </c>
      <c r="C1133" s="129" t="s">
        <v>1716</v>
      </c>
      <c r="D1133" s="255" t="s">
        <v>1516</v>
      </c>
      <c r="E1133" s="251"/>
      <c r="F1133" s="257">
        <v>1000</v>
      </c>
      <c r="G1133" s="77"/>
      <c r="H1133" s="77"/>
    </row>
    <row r="1134" spans="1:8" ht="15.6" x14ac:dyDescent="0.3">
      <c r="A1134" s="127">
        <v>1347</v>
      </c>
      <c r="B1134" s="128">
        <v>44015</v>
      </c>
      <c r="C1134" s="129" t="s">
        <v>1716</v>
      </c>
      <c r="D1134" s="255" t="s">
        <v>1516</v>
      </c>
      <c r="E1134" s="251"/>
      <c r="F1134" s="257">
        <v>1000</v>
      </c>
      <c r="G1134" s="77"/>
      <c r="H1134" s="77"/>
    </row>
    <row r="1135" spans="1:8" ht="15.6" x14ac:dyDescent="0.3">
      <c r="A1135" s="127">
        <v>1348</v>
      </c>
      <c r="B1135" s="128">
        <v>44019</v>
      </c>
      <c r="C1135" s="129" t="s">
        <v>1716</v>
      </c>
      <c r="D1135" s="255" t="s">
        <v>1516</v>
      </c>
      <c r="E1135" s="251"/>
      <c r="F1135" s="257">
        <v>1000</v>
      </c>
      <c r="G1135" s="77"/>
      <c r="H1135" s="77"/>
    </row>
    <row r="1136" spans="1:8" ht="15.6" x14ac:dyDescent="0.3">
      <c r="A1136" s="127">
        <v>1349</v>
      </c>
      <c r="B1136" s="128">
        <v>44021</v>
      </c>
      <c r="C1136" s="129" t="s">
        <v>1802</v>
      </c>
      <c r="D1136" s="255" t="s">
        <v>1516</v>
      </c>
      <c r="E1136" s="251"/>
      <c r="F1136" s="257">
        <v>7950</v>
      </c>
      <c r="G1136" s="77"/>
      <c r="H1136" s="77"/>
    </row>
    <row r="1137" spans="1:8" ht="15.6" x14ac:dyDescent="0.3">
      <c r="A1137" s="127">
        <v>1350</v>
      </c>
      <c r="B1137" s="128">
        <v>44023</v>
      </c>
      <c r="C1137" s="129" t="s">
        <v>1799</v>
      </c>
      <c r="D1137" s="255" t="s">
        <v>1471</v>
      </c>
      <c r="E1137" s="251"/>
      <c r="F1137" s="257">
        <v>3000</v>
      </c>
      <c r="G1137" s="77"/>
      <c r="H1137" s="77"/>
    </row>
    <row r="1138" spans="1:8" ht="15.6" x14ac:dyDescent="0.3">
      <c r="A1138" s="127">
        <v>1351</v>
      </c>
      <c r="B1138" s="128">
        <v>44026</v>
      </c>
      <c r="C1138" s="129" t="s">
        <v>1716</v>
      </c>
      <c r="D1138" s="255" t="s">
        <v>1516</v>
      </c>
      <c r="E1138" s="251"/>
      <c r="F1138" s="257">
        <v>2000</v>
      </c>
      <c r="G1138" s="77"/>
      <c r="H1138" s="77"/>
    </row>
    <row r="1139" spans="1:8" ht="15.6" x14ac:dyDescent="0.3">
      <c r="A1139" s="127">
        <v>1352</v>
      </c>
      <c r="B1139" s="128">
        <v>44031</v>
      </c>
      <c r="C1139" s="129" t="s">
        <v>1803</v>
      </c>
      <c r="D1139" s="255" t="s">
        <v>1520</v>
      </c>
      <c r="E1139" s="152">
        <v>50000</v>
      </c>
      <c r="F1139" s="257"/>
      <c r="G1139" s="77"/>
      <c r="H1139" s="77"/>
    </row>
    <row r="1140" spans="1:8" ht="15.6" x14ac:dyDescent="0.3">
      <c r="A1140" s="127">
        <v>1353</v>
      </c>
      <c r="B1140" s="128">
        <v>44029</v>
      </c>
      <c r="C1140" s="129" t="s">
        <v>1716</v>
      </c>
      <c r="D1140" s="255" t="s">
        <v>1516</v>
      </c>
      <c r="E1140" s="251"/>
      <c r="F1140" s="257">
        <v>1000</v>
      </c>
      <c r="G1140" s="77"/>
      <c r="H1140" s="77"/>
    </row>
    <row r="1141" spans="1:8" ht="15.6" x14ac:dyDescent="0.3">
      <c r="A1141" s="127">
        <v>1354</v>
      </c>
      <c r="B1141" s="128">
        <v>44033</v>
      </c>
      <c r="C1141" s="129" t="s">
        <v>1716</v>
      </c>
      <c r="D1141" s="255" t="s">
        <v>1516</v>
      </c>
      <c r="E1141" s="251"/>
      <c r="F1141" s="257">
        <v>1000</v>
      </c>
      <c r="G1141" s="77"/>
      <c r="H1141" s="77"/>
    </row>
    <row r="1142" spans="1:8" ht="15.6" x14ac:dyDescent="0.3">
      <c r="A1142" s="127">
        <v>1355</v>
      </c>
      <c r="B1142" s="128">
        <v>44033</v>
      </c>
      <c r="C1142" s="129" t="s">
        <v>1804</v>
      </c>
      <c r="D1142" s="255" t="s">
        <v>1517</v>
      </c>
      <c r="E1142" s="251"/>
      <c r="F1142" s="257">
        <v>60000</v>
      </c>
      <c r="G1142" s="77"/>
      <c r="H1142" s="77"/>
    </row>
    <row r="1143" spans="1:8" ht="15.6" x14ac:dyDescent="0.3">
      <c r="A1143" s="127">
        <v>1356</v>
      </c>
      <c r="B1143" s="128">
        <v>44033</v>
      </c>
      <c r="C1143" s="129" t="s">
        <v>1805</v>
      </c>
      <c r="D1143" s="255" t="s">
        <v>1516</v>
      </c>
      <c r="E1143" s="251"/>
      <c r="F1143" s="257">
        <v>2000</v>
      </c>
      <c r="G1143" s="77"/>
      <c r="H1143" s="77"/>
    </row>
    <row r="1144" spans="1:8" ht="15.6" x14ac:dyDescent="0.3">
      <c r="A1144" s="127">
        <v>1357</v>
      </c>
      <c r="B1144" s="128">
        <v>44034</v>
      </c>
      <c r="C1144" s="129" t="s">
        <v>1806</v>
      </c>
      <c r="D1144" s="255" t="s">
        <v>1807</v>
      </c>
      <c r="E1144" s="251"/>
      <c r="F1144" s="257">
        <v>5000</v>
      </c>
      <c r="G1144" s="77"/>
      <c r="H1144" s="77"/>
    </row>
    <row r="1145" spans="1:8" ht="15.6" x14ac:dyDescent="0.3">
      <c r="A1145" s="127">
        <v>1358</v>
      </c>
      <c r="B1145" s="128">
        <v>44034</v>
      </c>
      <c r="C1145" s="129" t="s">
        <v>1808</v>
      </c>
      <c r="D1145" s="255" t="s">
        <v>1516</v>
      </c>
      <c r="E1145" s="251"/>
      <c r="F1145" s="257">
        <v>1800</v>
      </c>
      <c r="G1145" s="77"/>
      <c r="H1145" s="77"/>
    </row>
    <row r="1146" spans="1:8" ht="15.6" x14ac:dyDescent="0.3">
      <c r="A1146" s="127">
        <v>1359</v>
      </c>
      <c r="B1146" s="128">
        <v>44037</v>
      </c>
      <c r="C1146" s="129" t="s">
        <v>1806</v>
      </c>
      <c r="D1146" s="255" t="s">
        <v>1807</v>
      </c>
      <c r="E1146" s="251"/>
      <c r="F1146" s="257">
        <v>5000</v>
      </c>
      <c r="G1146" s="77"/>
      <c r="H1146" s="77"/>
    </row>
    <row r="1147" spans="1:8" ht="15.6" x14ac:dyDescent="0.3">
      <c r="A1147" s="127">
        <v>1360</v>
      </c>
      <c r="B1147" s="128">
        <v>44037</v>
      </c>
      <c r="C1147" s="129" t="s">
        <v>42</v>
      </c>
      <c r="D1147" s="255" t="s">
        <v>1521</v>
      </c>
      <c r="E1147" s="251"/>
      <c r="F1147" s="257">
        <v>100</v>
      </c>
      <c r="G1147" s="77"/>
      <c r="H1147" s="77"/>
    </row>
    <row r="1148" spans="1:8" ht="15.6" x14ac:dyDescent="0.3">
      <c r="A1148" s="127">
        <v>1361</v>
      </c>
      <c r="B1148" s="128">
        <v>44037</v>
      </c>
      <c r="C1148" s="129" t="s">
        <v>1810</v>
      </c>
      <c r="D1148" s="255" t="s">
        <v>1521</v>
      </c>
      <c r="E1148" s="251"/>
      <c r="F1148" s="257">
        <v>450</v>
      </c>
      <c r="G1148" s="77"/>
      <c r="H1148" s="77"/>
    </row>
    <row r="1149" spans="1:8" ht="15.6" x14ac:dyDescent="0.3">
      <c r="A1149" s="127">
        <v>1362</v>
      </c>
      <c r="B1149" s="128">
        <v>44037</v>
      </c>
      <c r="C1149" s="129" t="s">
        <v>1809</v>
      </c>
      <c r="D1149" s="255" t="s">
        <v>1521</v>
      </c>
      <c r="E1149" s="251"/>
      <c r="F1149" s="257">
        <v>40</v>
      </c>
      <c r="G1149" s="77"/>
      <c r="H1149" s="77"/>
    </row>
    <row r="1150" spans="1:8" ht="15.6" x14ac:dyDescent="0.3">
      <c r="A1150" s="127">
        <v>1363</v>
      </c>
      <c r="B1150" s="128">
        <v>44037</v>
      </c>
      <c r="C1150" s="129" t="s">
        <v>1716</v>
      </c>
      <c r="D1150" s="255" t="s">
        <v>1516</v>
      </c>
      <c r="E1150" s="251"/>
      <c r="F1150" s="257">
        <v>1800</v>
      </c>
      <c r="G1150" s="77"/>
      <c r="H1150" s="77"/>
    </row>
    <row r="1151" spans="1:8" ht="15.6" x14ac:dyDescent="0.3">
      <c r="A1151" s="127">
        <v>1364</v>
      </c>
      <c r="B1151" s="128">
        <v>44037</v>
      </c>
      <c r="C1151" s="129" t="s">
        <v>1806</v>
      </c>
      <c r="D1151" s="255" t="s">
        <v>1807</v>
      </c>
      <c r="E1151" s="251"/>
      <c r="F1151" s="257">
        <v>1000</v>
      </c>
      <c r="G1151" s="77"/>
      <c r="H1151" s="77"/>
    </row>
    <row r="1152" spans="1:8" ht="15.6" x14ac:dyDescent="0.3">
      <c r="A1152" s="127">
        <v>1365</v>
      </c>
      <c r="B1152" s="128">
        <v>44040</v>
      </c>
      <c r="C1152" s="129" t="s">
        <v>1803</v>
      </c>
      <c r="D1152" s="255" t="s">
        <v>1520</v>
      </c>
      <c r="E1152" s="152">
        <v>140000</v>
      </c>
      <c r="F1152" s="257"/>
      <c r="G1152" s="77"/>
      <c r="H1152" s="77"/>
    </row>
    <row r="1153" spans="1:8" ht="15.6" x14ac:dyDescent="0.3">
      <c r="A1153" s="127">
        <v>1366</v>
      </c>
      <c r="B1153" s="128">
        <v>44040</v>
      </c>
      <c r="C1153" s="129" t="s">
        <v>1811</v>
      </c>
      <c r="D1153" s="255" t="s">
        <v>1521</v>
      </c>
      <c r="E1153" s="251"/>
      <c r="F1153" s="257">
        <v>1200</v>
      </c>
      <c r="G1153" s="77"/>
      <c r="H1153" s="77"/>
    </row>
    <row r="1154" spans="1:8" ht="15.6" x14ac:dyDescent="0.3">
      <c r="A1154" s="127">
        <v>1367</v>
      </c>
      <c r="B1154" s="128">
        <v>44040</v>
      </c>
      <c r="C1154" s="129" t="s">
        <v>113</v>
      </c>
      <c r="D1154" s="255" t="s">
        <v>1529</v>
      </c>
      <c r="E1154" s="251"/>
      <c r="F1154" s="257">
        <v>30000</v>
      </c>
      <c r="G1154" s="77"/>
      <c r="H1154" s="77"/>
    </row>
    <row r="1155" spans="1:8" ht="15.6" x14ac:dyDescent="0.3">
      <c r="A1155" s="127">
        <v>1368</v>
      </c>
      <c r="B1155" s="128">
        <v>44040</v>
      </c>
      <c r="C1155" s="129" t="s">
        <v>42</v>
      </c>
      <c r="D1155" s="255" t="s">
        <v>1521</v>
      </c>
      <c r="E1155" s="251"/>
      <c r="F1155" s="257">
        <v>100</v>
      </c>
      <c r="G1155" s="77"/>
      <c r="H1155" s="77"/>
    </row>
    <row r="1156" spans="1:8" ht="15.6" x14ac:dyDescent="0.3">
      <c r="A1156" s="127">
        <v>1369</v>
      </c>
      <c r="B1156" s="128">
        <v>44041</v>
      </c>
      <c r="C1156" s="129" t="s">
        <v>1799</v>
      </c>
      <c r="D1156" s="255" t="s">
        <v>1471</v>
      </c>
      <c r="E1156" s="251"/>
      <c r="F1156" s="257">
        <v>10000</v>
      </c>
      <c r="G1156" s="77"/>
      <c r="H1156" s="77"/>
    </row>
    <row r="1157" spans="1:8" ht="15.6" x14ac:dyDescent="0.3">
      <c r="A1157" s="127">
        <v>1370</v>
      </c>
      <c r="B1157" s="128">
        <v>44041</v>
      </c>
      <c r="C1157" s="129" t="s">
        <v>1766</v>
      </c>
      <c r="D1157" s="255" t="s">
        <v>1524</v>
      </c>
      <c r="E1157" s="251"/>
      <c r="F1157" s="257">
        <v>30000</v>
      </c>
      <c r="G1157" s="77"/>
      <c r="H1157" s="77"/>
    </row>
    <row r="1158" spans="1:8" ht="15.6" x14ac:dyDescent="0.3">
      <c r="A1158" s="127">
        <v>1371</v>
      </c>
      <c r="B1158" s="128">
        <v>44041</v>
      </c>
      <c r="C1158" s="129" t="s">
        <v>42</v>
      </c>
      <c r="D1158" s="255" t="s">
        <v>1521</v>
      </c>
      <c r="E1158" s="251"/>
      <c r="F1158" s="257">
        <v>100</v>
      </c>
      <c r="G1158" s="77"/>
      <c r="H1158" s="77"/>
    </row>
    <row r="1159" spans="1:8" ht="15.6" x14ac:dyDescent="0.3">
      <c r="A1159" s="127">
        <v>1372</v>
      </c>
      <c r="B1159" s="128">
        <v>44041</v>
      </c>
      <c r="C1159" s="129" t="s">
        <v>1724</v>
      </c>
      <c r="D1159" s="255" t="s">
        <v>1526</v>
      </c>
      <c r="E1159" s="251"/>
      <c r="F1159" s="257">
        <v>30000</v>
      </c>
      <c r="G1159" s="77"/>
      <c r="H1159" s="77"/>
    </row>
    <row r="1160" spans="1:8" ht="15.6" x14ac:dyDescent="0.3">
      <c r="A1160" s="127">
        <v>1373</v>
      </c>
      <c r="B1160" s="128">
        <v>44041</v>
      </c>
      <c r="C1160" s="129" t="s">
        <v>1812</v>
      </c>
      <c r="D1160" s="255" t="s">
        <v>1516</v>
      </c>
      <c r="E1160" s="251"/>
      <c r="F1160" s="257">
        <v>900</v>
      </c>
      <c r="G1160" s="77"/>
      <c r="H1160" s="77"/>
    </row>
    <row r="1161" spans="1:8" ht="15.6" x14ac:dyDescent="0.3">
      <c r="A1161" s="127">
        <v>1374</v>
      </c>
      <c r="B1161" s="128">
        <v>44041</v>
      </c>
      <c r="C1161" s="129" t="s">
        <v>1806</v>
      </c>
      <c r="D1161" s="255" t="s">
        <v>1807</v>
      </c>
      <c r="E1161" s="251"/>
      <c r="F1161" s="257">
        <v>5000</v>
      </c>
      <c r="G1161" s="77"/>
      <c r="H1161" s="77"/>
    </row>
    <row r="1162" spans="1:8" ht="15.6" x14ac:dyDescent="0.3">
      <c r="A1162" s="127">
        <v>1375</v>
      </c>
      <c r="B1162" s="128">
        <v>44041</v>
      </c>
      <c r="C1162" s="129" t="s">
        <v>1716</v>
      </c>
      <c r="D1162" s="255" t="s">
        <v>1516</v>
      </c>
      <c r="E1162" s="251"/>
      <c r="F1162" s="257">
        <v>11000</v>
      </c>
      <c r="G1162" s="77"/>
      <c r="H1162" s="77"/>
    </row>
    <row r="1163" spans="1:8" ht="15.6" x14ac:dyDescent="0.3">
      <c r="A1163" s="127">
        <v>1376</v>
      </c>
      <c r="B1163" s="128">
        <v>44043</v>
      </c>
      <c r="C1163" s="129" t="s">
        <v>1806</v>
      </c>
      <c r="D1163" s="255" t="s">
        <v>1807</v>
      </c>
      <c r="E1163" s="251"/>
      <c r="F1163" s="257">
        <v>7000</v>
      </c>
      <c r="G1163" s="77"/>
      <c r="H1163" s="77"/>
    </row>
    <row r="1164" spans="1:8" ht="15.6" x14ac:dyDescent="0.3">
      <c r="A1164" s="127">
        <v>1377</v>
      </c>
      <c r="B1164" s="128">
        <v>44043</v>
      </c>
      <c r="C1164" s="129" t="s">
        <v>1809</v>
      </c>
      <c r="D1164" s="255" t="s">
        <v>1521</v>
      </c>
      <c r="E1164" s="251"/>
      <c r="F1164" s="257">
        <v>40</v>
      </c>
      <c r="G1164" s="77"/>
      <c r="H1164" s="77"/>
    </row>
    <row r="1165" spans="1:8" ht="15.6" x14ac:dyDescent="0.3">
      <c r="A1165" s="127">
        <v>1378</v>
      </c>
      <c r="B1165" s="128">
        <v>44053</v>
      </c>
      <c r="C1165" s="129" t="s">
        <v>1715</v>
      </c>
      <c r="D1165" s="255" t="s">
        <v>1533</v>
      </c>
      <c r="E1165" s="251"/>
      <c r="F1165" s="257">
        <v>5000</v>
      </c>
      <c r="G1165" s="77"/>
      <c r="H1165" s="77"/>
    </row>
    <row r="1166" spans="1:8" ht="15.6" x14ac:dyDescent="0.3">
      <c r="A1166" s="127">
        <v>1379</v>
      </c>
      <c r="B1166" s="128">
        <v>44054</v>
      </c>
      <c r="C1166" s="129" t="s">
        <v>1715</v>
      </c>
      <c r="D1166" s="255" t="s">
        <v>1533</v>
      </c>
      <c r="E1166" s="251"/>
      <c r="F1166" s="257">
        <v>1000</v>
      </c>
      <c r="G1166" s="77"/>
      <c r="H1166" s="77"/>
    </row>
    <row r="1167" spans="1:8" ht="15.6" x14ac:dyDescent="0.3">
      <c r="A1167" s="127">
        <v>1380</v>
      </c>
      <c r="B1167" s="128">
        <v>44054</v>
      </c>
      <c r="C1167" s="129" t="s">
        <v>1813</v>
      </c>
      <c r="D1167" s="255" t="s">
        <v>1516</v>
      </c>
      <c r="E1167" s="251"/>
      <c r="F1167" s="257">
        <v>1100</v>
      </c>
      <c r="G1167" s="77"/>
      <c r="H1167" s="77"/>
    </row>
    <row r="1168" spans="1:8" ht="15.6" x14ac:dyDescent="0.3">
      <c r="A1168" s="127">
        <v>1381</v>
      </c>
      <c r="B1168" s="128">
        <v>44054</v>
      </c>
      <c r="C1168" s="129" t="s">
        <v>1803</v>
      </c>
      <c r="D1168" s="255" t="s">
        <v>1520</v>
      </c>
      <c r="E1168" s="152">
        <v>100000</v>
      </c>
      <c r="F1168" s="257"/>
      <c r="G1168" s="77"/>
      <c r="H1168" s="77"/>
    </row>
    <row r="1169" spans="1:8" ht="15.6" x14ac:dyDescent="0.3">
      <c r="A1169" s="127">
        <v>1382</v>
      </c>
      <c r="B1169" s="128">
        <v>44054</v>
      </c>
      <c r="C1169" s="129" t="s">
        <v>1724</v>
      </c>
      <c r="D1169" s="255" t="s">
        <v>1526</v>
      </c>
      <c r="E1169" s="251"/>
      <c r="F1169" s="257">
        <v>20000</v>
      </c>
      <c r="G1169" s="77"/>
      <c r="H1169" s="77"/>
    </row>
    <row r="1170" spans="1:8" ht="15.6" x14ac:dyDescent="0.3">
      <c r="A1170" s="127">
        <v>1383</v>
      </c>
      <c r="B1170" s="128">
        <v>44056</v>
      </c>
      <c r="C1170" s="129" t="s">
        <v>1724</v>
      </c>
      <c r="D1170" s="255" t="s">
        <v>1526</v>
      </c>
      <c r="E1170" s="251"/>
      <c r="F1170" s="257">
        <v>10000</v>
      </c>
      <c r="G1170" s="77"/>
      <c r="H1170" s="77"/>
    </row>
    <row r="1171" spans="1:8" ht="15.6" x14ac:dyDescent="0.3">
      <c r="A1171" s="127">
        <v>1384</v>
      </c>
      <c r="B1171" s="128">
        <v>44056</v>
      </c>
      <c r="C1171" s="129" t="s">
        <v>1715</v>
      </c>
      <c r="D1171" s="255" t="s">
        <v>1533</v>
      </c>
      <c r="E1171" s="251"/>
      <c r="F1171" s="257">
        <v>2000</v>
      </c>
      <c r="G1171" s="77"/>
      <c r="H1171" s="77"/>
    </row>
    <row r="1172" spans="1:8" ht="15.6" x14ac:dyDescent="0.3">
      <c r="A1172" s="127">
        <v>1385</v>
      </c>
      <c r="B1172" s="128">
        <v>44058</v>
      </c>
      <c r="C1172" s="129" t="s">
        <v>1716</v>
      </c>
      <c r="D1172" s="255" t="s">
        <v>1516</v>
      </c>
      <c r="E1172" s="251"/>
      <c r="F1172" s="257">
        <v>1000</v>
      </c>
      <c r="G1172" s="77"/>
      <c r="H1172" s="77"/>
    </row>
    <row r="1173" spans="1:8" ht="15.6" x14ac:dyDescent="0.3">
      <c r="A1173" s="127">
        <v>1386</v>
      </c>
      <c r="B1173" s="128">
        <v>44059</v>
      </c>
      <c r="C1173" s="129" t="s">
        <v>1715</v>
      </c>
      <c r="D1173" s="255" t="s">
        <v>1533</v>
      </c>
      <c r="E1173" s="251"/>
      <c r="F1173" s="257">
        <v>5000</v>
      </c>
      <c r="G1173" s="77"/>
      <c r="H1173" s="77"/>
    </row>
    <row r="1174" spans="1:8" ht="15.6" x14ac:dyDescent="0.3">
      <c r="A1174" s="127">
        <v>1387</v>
      </c>
      <c r="B1174" s="128">
        <v>44059</v>
      </c>
      <c r="C1174" s="129" t="s">
        <v>1814</v>
      </c>
      <c r="D1174" s="255" t="s">
        <v>1516</v>
      </c>
      <c r="E1174" s="251"/>
      <c r="F1174" s="257">
        <v>6500</v>
      </c>
      <c r="G1174" s="77"/>
      <c r="H1174" s="77"/>
    </row>
    <row r="1175" spans="1:8" ht="15.6" x14ac:dyDescent="0.3">
      <c r="A1175" s="127">
        <v>1388</v>
      </c>
      <c r="B1175" s="128">
        <v>44059</v>
      </c>
      <c r="C1175" s="129" t="s">
        <v>1804</v>
      </c>
      <c r="D1175" s="255" t="s">
        <v>1517</v>
      </c>
      <c r="E1175" s="251"/>
      <c r="F1175" s="257">
        <v>60000</v>
      </c>
      <c r="G1175" s="77"/>
      <c r="H1175" s="77"/>
    </row>
    <row r="1176" spans="1:8" ht="15.6" x14ac:dyDescent="0.3">
      <c r="A1176" s="127">
        <v>1389</v>
      </c>
      <c r="B1176" s="128">
        <v>44060</v>
      </c>
      <c r="C1176" s="129" t="s">
        <v>1766</v>
      </c>
      <c r="D1176" s="255" t="s">
        <v>1524</v>
      </c>
      <c r="E1176" s="251"/>
      <c r="F1176" s="257">
        <v>10000</v>
      </c>
      <c r="G1176" s="77"/>
      <c r="H1176" s="77"/>
    </row>
    <row r="1177" spans="1:8" ht="15.6" x14ac:dyDescent="0.3">
      <c r="A1177" s="127">
        <v>1390</v>
      </c>
      <c r="B1177" s="128">
        <v>44062</v>
      </c>
      <c r="C1177" s="129" t="s">
        <v>113</v>
      </c>
      <c r="D1177" s="255" t="s">
        <v>1529</v>
      </c>
      <c r="E1177" s="251"/>
      <c r="F1177" s="257">
        <v>10000</v>
      </c>
      <c r="G1177" s="77"/>
      <c r="H1177" s="77"/>
    </row>
    <row r="1178" spans="1:8" ht="15.6" x14ac:dyDescent="0.3">
      <c r="A1178" s="127">
        <v>1391</v>
      </c>
      <c r="B1178" s="128">
        <v>44064</v>
      </c>
      <c r="C1178" s="129" t="s">
        <v>1716</v>
      </c>
      <c r="D1178" s="255" t="s">
        <v>1516</v>
      </c>
      <c r="E1178" s="251"/>
      <c r="F1178" s="257">
        <v>5000</v>
      </c>
      <c r="G1178" s="77"/>
      <c r="H1178" s="77"/>
    </row>
    <row r="1179" spans="1:8" ht="15.6" x14ac:dyDescent="0.3">
      <c r="A1179" s="127">
        <v>1392</v>
      </c>
      <c r="B1179" s="128">
        <v>44065</v>
      </c>
      <c r="C1179" s="129" t="s">
        <v>1724</v>
      </c>
      <c r="D1179" s="255" t="s">
        <v>1526</v>
      </c>
      <c r="E1179" s="251"/>
      <c r="F1179" s="257">
        <v>10000</v>
      </c>
      <c r="G1179" s="77"/>
      <c r="H1179" s="77"/>
    </row>
    <row r="1180" spans="1:8" ht="15.6" x14ac:dyDescent="0.3">
      <c r="A1180" s="127">
        <v>1393</v>
      </c>
      <c r="B1180" s="128">
        <v>44065</v>
      </c>
      <c r="C1180" s="129" t="s">
        <v>1715</v>
      </c>
      <c r="D1180" s="255" t="s">
        <v>1533</v>
      </c>
      <c r="E1180" s="251"/>
      <c r="F1180" s="257">
        <v>2000</v>
      </c>
      <c r="G1180" s="77"/>
      <c r="H1180" s="77"/>
    </row>
    <row r="1181" spans="1:8" ht="15.6" x14ac:dyDescent="0.3">
      <c r="A1181" s="127">
        <v>1394</v>
      </c>
      <c r="B1181" s="128">
        <v>44066</v>
      </c>
      <c r="C1181" s="129" t="s">
        <v>1715</v>
      </c>
      <c r="D1181" s="255" t="s">
        <v>1533</v>
      </c>
      <c r="E1181" s="251"/>
      <c r="F1181" s="257">
        <v>2000</v>
      </c>
      <c r="G1181" s="77"/>
      <c r="H1181" s="77"/>
    </row>
    <row r="1182" spans="1:8" ht="15.6" x14ac:dyDescent="0.3">
      <c r="A1182" s="127">
        <v>1395</v>
      </c>
      <c r="B1182" s="128">
        <v>44066</v>
      </c>
      <c r="C1182" s="129" t="s">
        <v>215</v>
      </c>
      <c r="D1182" s="255" t="s">
        <v>1521</v>
      </c>
      <c r="E1182" s="251"/>
      <c r="F1182" s="257">
        <v>7000</v>
      </c>
      <c r="G1182" s="77"/>
      <c r="H1182" s="77"/>
    </row>
    <row r="1183" spans="1:8" ht="15.6" x14ac:dyDescent="0.3">
      <c r="A1183" s="127">
        <v>1396</v>
      </c>
      <c r="B1183" s="128">
        <v>44067</v>
      </c>
      <c r="C1183" s="129" t="s">
        <v>1803</v>
      </c>
      <c r="D1183" s="255" t="s">
        <v>1520</v>
      </c>
      <c r="E1183" s="152">
        <v>50000</v>
      </c>
      <c r="F1183" s="257"/>
      <c r="G1183" s="77"/>
      <c r="H1183" s="77"/>
    </row>
    <row r="1184" spans="1:8" ht="15.6" x14ac:dyDescent="0.3">
      <c r="A1184" s="127">
        <v>1397</v>
      </c>
      <c r="B1184" s="128">
        <v>44067</v>
      </c>
      <c r="C1184" s="129" t="s">
        <v>1724</v>
      </c>
      <c r="D1184" s="255" t="s">
        <v>1526</v>
      </c>
      <c r="E1184" s="251"/>
      <c r="F1184" s="257">
        <v>20000</v>
      </c>
      <c r="G1184" s="77"/>
      <c r="H1184" s="77"/>
    </row>
    <row r="1185" spans="1:8" ht="15.6" x14ac:dyDescent="0.3">
      <c r="A1185" s="127">
        <v>1398</v>
      </c>
      <c r="B1185" s="128">
        <v>44068</v>
      </c>
      <c r="C1185" s="129" t="s">
        <v>42</v>
      </c>
      <c r="D1185" s="255" t="s">
        <v>1521</v>
      </c>
      <c r="E1185" s="251"/>
      <c r="F1185" s="257">
        <v>100</v>
      </c>
      <c r="G1185" s="77"/>
      <c r="H1185" s="77"/>
    </row>
    <row r="1186" spans="1:8" ht="15.6" x14ac:dyDescent="0.3">
      <c r="A1186" s="127">
        <v>1399</v>
      </c>
      <c r="B1186" s="128">
        <v>44068</v>
      </c>
      <c r="C1186" s="129" t="s">
        <v>1815</v>
      </c>
      <c r="D1186" s="255" t="s">
        <v>1521</v>
      </c>
      <c r="E1186" s="251"/>
      <c r="F1186" s="257">
        <v>2000</v>
      </c>
      <c r="G1186" s="77"/>
      <c r="H1186" s="77"/>
    </row>
    <row r="1187" spans="1:8" ht="15.6" x14ac:dyDescent="0.3">
      <c r="A1187" s="127">
        <v>1400</v>
      </c>
      <c r="B1187" s="128">
        <v>44069</v>
      </c>
      <c r="C1187" s="129" t="s">
        <v>113</v>
      </c>
      <c r="D1187" s="255" t="s">
        <v>1529</v>
      </c>
      <c r="E1187" s="251"/>
      <c r="F1187" s="257">
        <v>10000</v>
      </c>
      <c r="G1187" s="77"/>
      <c r="H1187" s="77"/>
    </row>
    <row r="1188" spans="1:8" ht="15.6" x14ac:dyDescent="0.3">
      <c r="A1188" s="127">
        <v>1401</v>
      </c>
      <c r="B1188" s="128">
        <v>44072</v>
      </c>
      <c r="C1188" s="129" t="s">
        <v>1716</v>
      </c>
      <c r="D1188" s="129" t="s">
        <v>1516</v>
      </c>
      <c r="E1188" s="251"/>
      <c r="F1188" s="257">
        <v>1000</v>
      </c>
      <c r="G1188" s="77"/>
      <c r="H1188" s="77"/>
    </row>
    <row r="1189" spans="1:8" ht="15.6" x14ac:dyDescent="0.3">
      <c r="A1189" s="127">
        <v>1402</v>
      </c>
      <c r="B1189" s="128">
        <v>44074</v>
      </c>
      <c r="C1189" s="129" t="s">
        <v>1724</v>
      </c>
      <c r="D1189" s="129" t="s">
        <v>1526</v>
      </c>
      <c r="E1189" s="251"/>
      <c r="F1189" s="257">
        <v>10000</v>
      </c>
      <c r="G1189" s="77"/>
      <c r="H1189" s="77"/>
    </row>
    <row r="1190" spans="1:8" ht="15.6" x14ac:dyDescent="0.3">
      <c r="A1190" s="127">
        <v>1403</v>
      </c>
      <c r="B1190" s="128">
        <v>44075</v>
      </c>
      <c r="C1190" s="129" t="s">
        <v>1806</v>
      </c>
      <c r="D1190" s="129" t="s">
        <v>1807</v>
      </c>
      <c r="E1190" s="251"/>
      <c r="F1190" s="257">
        <v>30000</v>
      </c>
      <c r="G1190" s="77"/>
      <c r="H1190" s="77"/>
    </row>
    <row r="1191" spans="1:8" ht="15.6" x14ac:dyDescent="0.3">
      <c r="A1191" s="127">
        <v>1404</v>
      </c>
      <c r="B1191" s="128">
        <v>44075</v>
      </c>
      <c r="C1191" s="129" t="s">
        <v>1766</v>
      </c>
      <c r="D1191" s="129" t="s">
        <v>1524</v>
      </c>
      <c r="E1191" s="251"/>
      <c r="F1191" s="257">
        <v>15000</v>
      </c>
      <c r="G1191" s="77"/>
      <c r="H1191" s="77"/>
    </row>
    <row r="1192" spans="1:8" ht="15.6" x14ac:dyDescent="0.3">
      <c r="A1192" s="127">
        <v>1405</v>
      </c>
      <c r="B1192" s="128">
        <v>44075</v>
      </c>
      <c r="C1192" s="129" t="s">
        <v>1815</v>
      </c>
      <c r="D1192" s="129" t="s">
        <v>1521</v>
      </c>
      <c r="E1192" s="251"/>
      <c r="F1192" s="257">
        <v>2000</v>
      </c>
      <c r="G1192" s="77"/>
      <c r="H1192" s="77"/>
    </row>
    <row r="1193" spans="1:8" ht="15.6" x14ac:dyDescent="0.3">
      <c r="A1193" s="127">
        <v>1406</v>
      </c>
      <c r="B1193" s="128">
        <v>44075</v>
      </c>
      <c r="C1193" s="129" t="s">
        <v>1724</v>
      </c>
      <c r="D1193" s="129" t="s">
        <v>1526</v>
      </c>
      <c r="E1193" s="251"/>
      <c r="F1193" s="257">
        <v>20000</v>
      </c>
      <c r="G1193" s="77"/>
      <c r="H1193" s="77"/>
    </row>
    <row r="1194" spans="1:8" ht="15.6" x14ac:dyDescent="0.3">
      <c r="A1194" s="127">
        <v>1407</v>
      </c>
      <c r="B1194" s="128">
        <v>44075</v>
      </c>
      <c r="C1194" s="129" t="s">
        <v>1803</v>
      </c>
      <c r="D1194" s="129" t="s">
        <v>1520</v>
      </c>
      <c r="E1194" s="152">
        <v>70000</v>
      </c>
      <c r="F1194" s="257"/>
      <c r="G1194" s="77"/>
      <c r="H1194" s="77"/>
    </row>
    <row r="1195" spans="1:8" ht="15.6" x14ac:dyDescent="0.3">
      <c r="A1195" s="127">
        <v>1408</v>
      </c>
      <c r="B1195" s="128">
        <v>44076</v>
      </c>
      <c r="C1195" s="129" t="s">
        <v>1766</v>
      </c>
      <c r="D1195" s="129" t="s">
        <v>1524</v>
      </c>
      <c r="E1195" s="251"/>
      <c r="F1195" s="257">
        <v>1200</v>
      </c>
      <c r="G1195" s="77"/>
      <c r="H1195" s="77"/>
    </row>
    <row r="1196" spans="1:8" ht="15.6" x14ac:dyDescent="0.3">
      <c r="A1196" s="127">
        <v>1409</v>
      </c>
      <c r="B1196" s="128">
        <v>44076</v>
      </c>
      <c r="C1196" s="129" t="s">
        <v>1716</v>
      </c>
      <c r="D1196" s="129" t="s">
        <v>1516</v>
      </c>
      <c r="E1196" s="251"/>
      <c r="F1196" s="257">
        <v>2000</v>
      </c>
      <c r="G1196" s="77"/>
      <c r="H1196" s="77"/>
    </row>
    <row r="1197" spans="1:8" ht="15.6" x14ac:dyDescent="0.3">
      <c r="A1197" s="127">
        <v>1410</v>
      </c>
      <c r="B1197" s="128">
        <v>44076</v>
      </c>
      <c r="C1197" s="129" t="s">
        <v>1715</v>
      </c>
      <c r="D1197" s="129" t="s">
        <v>1533</v>
      </c>
      <c r="E1197" s="251"/>
      <c r="F1197" s="257">
        <v>1000</v>
      </c>
      <c r="G1197" s="77"/>
      <c r="H1197" s="77"/>
    </row>
    <row r="1198" spans="1:8" ht="15.6" x14ac:dyDescent="0.3">
      <c r="A1198" s="127">
        <v>1411</v>
      </c>
      <c r="B1198" s="128">
        <v>44077</v>
      </c>
      <c r="C1198" s="129" t="s">
        <v>1810</v>
      </c>
      <c r="D1198" s="129" t="s">
        <v>1521</v>
      </c>
      <c r="E1198" s="251"/>
      <c r="F1198" s="257">
        <v>200</v>
      </c>
      <c r="G1198" s="77"/>
      <c r="H1198" s="77"/>
    </row>
    <row r="1199" spans="1:8" ht="15.6" x14ac:dyDescent="0.3">
      <c r="A1199" s="127">
        <v>1412</v>
      </c>
      <c r="B1199" s="128">
        <v>44077</v>
      </c>
      <c r="C1199" s="129" t="s">
        <v>1715</v>
      </c>
      <c r="D1199" s="129" t="s">
        <v>1533</v>
      </c>
      <c r="E1199" s="251"/>
      <c r="F1199" s="257">
        <v>2000</v>
      </c>
      <c r="G1199" s="77"/>
      <c r="H1199" s="77"/>
    </row>
    <row r="1200" spans="1:8" ht="15.6" x14ac:dyDescent="0.3">
      <c r="A1200" s="127">
        <v>1413</v>
      </c>
      <c r="B1200" s="128">
        <v>44077</v>
      </c>
      <c r="C1200" s="129" t="s">
        <v>1809</v>
      </c>
      <c r="D1200" s="129" t="s">
        <v>1521</v>
      </c>
      <c r="E1200" s="251"/>
      <c r="F1200" s="257">
        <v>100</v>
      </c>
      <c r="G1200" s="77"/>
      <c r="H1200" s="77"/>
    </row>
    <row r="1201" spans="1:8" ht="15.6" x14ac:dyDescent="0.3">
      <c r="A1201" s="127">
        <v>1414</v>
      </c>
      <c r="B1201" s="128">
        <v>44078</v>
      </c>
      <c r="C1201" s="129" t="s">
        <v>1715</v>
      </c>
      <c r="D1201" s="129" t="s">
        <v>1533</v>
      </c>
      <c r="E1201" s="251"/>
      <c r="F1201" s="257">
        <v>10000</v>
      </c>
      <c r="G1201" s="77"/>
      <c r="H1201" s="77"/>
    </row>
    <row r="1202" spans="1:8" ht="15.6" x14ac:dyDescent="0.3">
      <c r="A1202" s="127">
        <v>1415</v>
      </c>
      <c r="B1202" s="128">
        <v>44078</v>
      </c>
      <c r="C1202" s="129" t="s">
        <v>1814</v>
      </c>
      <c r="D1202" s="129" t="s">
        <v>1516</v>
      </c>
      <c r="E1202" s="251"/>
      <c r="F1202" s="257">
        <v>3600</v>
      </c>
      <c r="G1202" s="77"/>
      <c r="H1202" s="77"/>
    </row>
    <row r="1203" spans="1:8" ht="15.6" x14ac:dyDescent="0.3">
      <c r="A1203" s="127">
        <v>1416</v>
      </c>
      <c r="B1203" s="128">
        <v>44079</v>
      </c>
      <c r="C1203" s="129" t="s">
        <v>1716</v>
      </c>
      <c r="D1203" s="129" t="s">
        <v>1516</v>
      </c>
      <c r="E1203" s="251"/>
      <c r="F1203" s="257">
        <v>2000</v>
      </c>
      <c r="G1203" s="77"/>
      <c r="H1203" s="77"/>
    </row>
    <row r="1204" spans="1:8" ht="15.6" x14ac:dyDescent="0.3">
      <c r="A1204" s="127">
        <v>1417</v>
      </c>
      <c r="B1204" s="128">
        <v>44079</v>
      </c>
      <c r="C1204" s="129" t="s">
        <v>1766</v>
      </c>
      <c r="D1204" s="129" t="s">
        <v>1524</v>
      </c>
      <c r="E1204" s="251"/>
      <c r="F1204" s="257">
        <v>500</v>
      </c>
      <c r="G1204" s="77"/>
      <c r="H1204" s="77"/>
    </row>
    <row r="1205" spans="1:8" ht="15.6" x14ac:dyDescent="0.3">
      <c r="A1205" s="127">
        <v>1418</v>
      </c>
      <c r="B1205" s="128">
        <v>44083</v>
      </c>
      <c r="C1205" s="129" t="s">
        <v>1716</v>
      </c>
      <c r="D1205" s="129" t="s">
        <v>1516</v>
      </c>
      <c r="E1205" s="251"/>
      <c r="F1205" s="257">
        <v>2000</v>
      </c>
      <c r="G1205" s="77"/>
      <c r="H1205" s="77"/>
    </row>
    <row r="1206" spans="1:8" ht="15.6" x14ac:dyDescent="0.3">
      <c r="A1206" s="127">
        <v>1419</v>
      </c>
      <c r="B1206" s="128">
        <v>44083</v>
      </c>
      <c r="C1206" s="129" t="s">
        <v>42</v>
      </c>
      <c r="D1206" s="129" t="s">
        <v>1521</v>
      </c>
      <c r="E1206" s="251"/>
      <c r="F1206" s="257">
        <v>100</v>
      </c>
      <c r="G1206" s="77"/>
      <c r="H1206" s="77"/>
    </row>
    <row r="1207" spans="1:8" ht="15.6" x14ac:dyDescent="0.3">
      <c r="A1207" s="127">
        <v>1420</v>
      </c>
      <c r="B1207" s="128">
        <v>44083</v>
      </c>
      <c r="C1207" s="129" t="s">
        <v>1803</v>
      </c>
      <c r="D1207" s="129" t="s">
        <v>1520</v>
      </c>
      <c r="E1207" s="152">
        <v>150000</v>
      </c>
      <c r="F1207" s="257"/>
    </row>
    <row r="1208" spans="1:8" ht="15.6" x14ac:dyDescent="0.3">
      <c r="A1208" s="127">
        <v>1421</v>
      </c>
      <c r="B1208" s="128">
        <v>44083</v>
      </c>
      <c r="C1208" s="129" t="s">
        <v>1724</v>
      </c>
      <c r="D1208" s="129" t="s">
        <v>1526</v>
      </c>
      <c r="E1208" s="251"/>
      <c r="F1208" s="152">
        <v>-25000</v>
      </c>
    </row>
    <row r="1209" spans="1:8" ht="15.6" x14ac:dyDescent="0.3">
      <c r="A1209" s="127">
        <v>1422</v>
      </c>
      <c r="B1209" s="128">
        <v>44083</v>
      </c>
      <c r="C1209" s="129" t="s">
        <v>1766</v>
      </c>
      <c r="D1209" s="129" t="s">
        <v>1524</v>
      </c>
      <c r="E1209" s="251"/>
      <c r="F1209" s="152">
        <v>-20000</v>
      </c>
    </row>
    <row r="1210" spans="1:8" ht="15.6" x14ac:dyDescent="0.3">
      <c r="A1210" s="127">
        <v>1423</v>
      </c>
      <c r="B1210" s="128">
        <v>44083</v>
      </c>
      <c r="C1210" s="129" t="s">
        <v>1817</v>
      </c>
      <c r="D1210" s="129" t="s">
        <v>1516</v>
      </c>
      <c r="E1210" s="251"/>
      <c r="F1210" s="152">
        <v>-8050</v>
      </c>
    </row>
    <row r="1211" spans="1:8" ht="15.6" x14ac:dyDescent="0.3">
      <c r="A1211" s="127">
        <v>1424</v>
      </c>
      <c r="B1211" s="128">
        <v>44083</v>
      </c>
      <c r="C1211" s="129" t="s">
        <v>1716</v>
      </c>
      <c r="D1211" s="129" t="s">
        <v>1516</v>
      </c>
      <c r="E1211" s="251"/>
      <c r="F1211" s="152">
        <v>-3000</v>
      </c>
    </row>
    <row r="1212" spans="1:8" ht="15.6" x14ac:dyDescent="0.3">
      <c r="A1212" s="127">
        <v>1425</v>
      </c>
      <c r="B1212" s="128">
        <v>44083</v>
      </c>
      <c r="C1212" s="129" t="s">
        <v>1715</v>
      </c>
      <c r="D1212" s="129" t="s">
        <v>1533</v>
      </c>
      <c r="E1212" s="251"/>
      <c r="F1212" s="152">
        <v>-2000</v>
      </c>
    </row>
    <row r="1213" spans="1:8" ht="15.6" x14ac:dyDescent="0.3">
      <c r="A1213" s="127">
        <v>1426</v>
      </c>
      <c r="B1213" s="128">
        <v>44086</v>
      </c>
      <c r="C1213" s="129" t="s">
        <v>1715</v>
      </c>
      <c r="D1213" s="129" t="s">
        <v>1533</v>
      </c>
      <c r="E1213" s="251"/>
      <c r="F1213" s="152">
        <v>-3000</v>
      </c>
    </row>
    <row r="1214" spans="1:8" ht="15.6" x14ac:dyDescent="0.3">
      <c r="A1214" s="127">
        <v>1427</v>
      </c>
      <c r="B1214" s="128">
        <v>44088</v>
      </c>
      <c r="C1214" s="129" t="s">
        <v>113</v>
      </c>
      <c r="D1214" s="129" t="s">
        <v>1529</v>
      </c>
      <c r="E1214" s="251"/>
      <c r="F1214" s="152">
        <v>-2000</v>
      </c>
    </row>
    <row r="1215" spans="1:8" ht="15.6" x14ac:dyDescent="0.3">
      <c r="A1215" s="127">
        <v>1428</v>
      </c>
      <c r="B1215" s="128">
        <v>44088</v>
      </c>
      <c r="C1215" s="129" t="s">
        <v>1803</v>
      </c>
      <c r="D1215" s="129" t="s">
        <v>1520</v>
      </c>
      <c r="E1215" s="152">
        <v>50000</v>
      </c>
      <c r="F1215" s="257"/>
    </row>
    <row r="1216" spans="1:8" ht="15.6" x14ac:dyDescent="0.3">
      <c r="A1216" s="127">
        <v>1429</v>
      </c>
      <c r="B1216" s="128">
        <v>44089</v>
      </c>
      <c r="C1216" s="129" t="s">
        <v>1806</v>
      </c>
      <c r="D1216" s="129" t="s">
        <v>1807</v>
      </c>
      <c r="E1216" s="251"/>
      <c r="F1216" s="152">
        <v>-25000</v>
      </c>
    </row>
    <row r="1217" spans="1:6" ht="15.6" x14ac:dyDescent="0.3">
      <c r="A1217" s="127">
        <v>1430</v>
      </c>
      <c r="B1217" s="128">
        <v>44089</v>
      </c>
      <c r="C1217" s="129" t="s">
        <v>1715</v>
      </c>
      <c r="D1217" s="129" t="s">
        <v>1533</v>
      </c>
      <c r="E1217" s="251"/>
      <c r="F1217" s="152">
        <v>-2000</v>
      </c>
    </row>
    <row r="1218" spans="1:6" ht="15.6" x14ac:dyDescent="0.3">
      <c r="A1218" s="127">
        <v>1431</v>
      </c>
      <c r="B1218" s="128">
        <v>44089</v>
      </c>
      <c r="C1218" s="129" t="s">
        <v>1724</v>
      </c>
      <c r="D1218" s="129" t="s">
        <v>1526</v>
      </c>
      <c r="E1218" s="251"/>
      <c r="F1218" s="152">
        <v>-15000</v>
      </c>
    </row>
    <row r="1219" spans="1:6" ht="15.6" x14ac:dyDescent="0.3">
      <c r="A1219" s="127">
        <v>1432</v>
      </c>
      <c r="B1219" s="128">
        <v>44090</v>
      </c>
      <c r="C1219" s="129" t="s">
        <v>1715</v>
      </c>
      <c r="D1219" s="129" t="s">
        <v>1533</v>
      </c>
      <c r="E1219" s="251"/>
      <c r="F1219" s="152">
        <v>-10000</v>
      </c>
    </row>
    <row r="1220" spans="1:6" ht="15.6" x14ac:dyDescent="0.3">
      <c r="A1220" s="127">
        <v>1433</v>
      </c>
      <c r="B1220" s="128">
        <v>44090</v>
      </c>
      <c r="C1220" s="129" t="s">
        <v>1716</v>
      </c>
      <c r="D1220" s="129" t="s">
        <v>1516</v>
      </c>
      <c r="E1220" s="251"/>
      <c r="F1220" s="152">
        <v>-1000</v>
      </c>
    </row>
    <row r="1221" spans="1:6" ht="15.6" x14ac:dyDescent="0.3">
      <c r="A1221" s="127">
        <v>1434</v>
      </c>
      <c r="B1221" s="128">
        <v>44093</v>
      </c>
      <c r="C1221" s="129" t="s">
        <v>1715</v>
      </c>
      <c r="D1221" s="129" t="s">
        <v>1533</v>
      </c>
      <c r="E1221" s="251"/>
      <c r="F1221" s="152">
        <v>-17000</v>
      </c>
    </row>
    <row r="1222" spans="1:6" ht="15.6" x14ac:dyDescent="0.3">
      <c r="A1222" s="127">
        <v>1435</v>
      </c>
      <c r="B1222" s="128">
        <v>44093</v>
      </c>
      <c r="C1222" s="129" t="s">
        <v>1803</v>
      </c>
      <c r="D1222" s="129" t="s">
        <v>1520</v>
      </c>
      <c r="E1222" s="152">
        <v>125000</v>
      </c>
      <c r="F1222" s="257"/>
    </row>
    <row r="1223" spans="1:6" ht="15.6" x14ac:dyDescent="0.3">
      <c r="A1223" s="127">
        <v>1436</v>
      </c>
      <c r="B1223" s="128">
        <v>44093</v>
      </c>
      <c r="C1223" s="129" t="s">
        <v>1803</v>
      </c>
      <c r="D1223" s="129" t="s">
        <v>1520</v>
      </c>
      <c r="E1223" s="152">
        <v>50000</v>
      </c>
      <c r="F1223" s="257"/>
    </row>
    <row r="1224" spans="1:6" ht="15.6" x14ac:dyDescent="0.3">
      <c r="A1224" s="127">
        <v>1437</v>
      </c>
      <c r="B1224" s="128">
        <v>44093</v>
      </c>
      <c r="C1224" s="129" t="s">
        <v>1766</v>
      </c>
      <c r="D1224" s="129" t="s">
        <v>1524</v>
      </c>
      <c r="E1224" s="251"/>
      <c r="F1224" s="152">
        <v>-50000</v>
      </c>
    </row>
    <row r="1225" spans="1:6" ht="15.6" x14ac:dyDescent="0.3">
      <c r="A1225" s="127">
        <v>1438</v>
      </c>
      <c r="B1225" s="128">
        <v>44093</v>
      </c>
      <c r="C1225" s="129" t="s">
        <v>1724</v>
      </c>
      <c r="D1225" s="129" t="s">
        <v>1526</v>
      </c>
      <c r="E1225" s="251"/>
      <c r="F1225" s="152">
        <v>-35000</v>
      </c>
    </row>
    <row r="1226" spans="1:6" ht="15.6" x14ac:dyDescent="0.3">
      <c r="A1226" s="127">
        <v>1439</v>
      </c>
      <c r="B1226" s="128">
        <v>44093</v>
      </c>
      <c r="C1226" s="129" t="s">
        <v>1818</v>
      </c>
      <c r="D1226" s="129" t="s">
        <v>1516</v>
      </c>
      <c r="E1226" s="251"/>
      <c r="F1226" s="152">
        <v>-1800</v>
      </c>
    </row>
    <row r="1227" spans="1:6" ht="15.6" x14ac:dyDescent="0.3">
      <c r="A1227" s="127">
        <v>1440</v>
      </c>
      <c r="B1227" s="128">
        <v>44095</v>
      </c>
      <c r="C1227" s="129" t="s">
        <v>42</v>
      </c>
      <c r="D1227" s="129" t="s">
        <v>1521</v>
      </c>
      <c r="E1227" s="251"/>
      <c r="F1227" s="152">
        <v>-100</v>
      </c>
    </row>
    <row r="1228" spans="1:6" ht="15.6" x14ac:dyDescent="0.3">
      <c r="A1228" s="127">
        <v>1441</v>
      </c>
      <c r="B1228" s="128">
        <v>44095</v>
      </c>
      <c r="C1228" s="129" t="s">
        <v>1801</v>
      </c>
      <c r="D1228" s="129" t="s">
        <v>1521</v>
      </c>
      <c r="E1228" s="251"/>
      <c r="F1228" s="152">
        <v>-100</v>
      </c>
    </row>
    <row r="1229" spans="1:6" ht="15.6" x14ac:dyDescent="0.3">
      <c r="A1229" s="127">
        <v>1442</v>
      </c>
      <c r="B1229" s="128">
        <v>44097</v>
      </c>
      <c r="C1229" s="129" t="s">
        <v>1715</v>
      </c>
      <c r="D1229" s="129" t="s">
        <v>1533</v>
      </c>
      <c r="E1229" s="251"/>
      <c r="F1229" s="152">
        <v>-3000</v>
      </c>
    </row>
    <row r="1230" spans="1:6" ht="15.6" x14ac:dyDescent="0.3">
      <c r="A1230" s="127">
        <v>1443</v>
      </c>
      <c r="B1230" s="128">
        <v>44098</v>
      </c>
      <c r="C1230" s="129" t="s">
        <v>113</v>
      </c>
      <c r="D1230" s="129" t="s">
        <v>1529</v>
      </c>
      <c r="E1230" s="251"/>
      <c r="F1230" s="152">
        <v>-15000</v>
      </c>
    </row>
    <row r="1231" spans="1:6" ht="15.6" x14ac:dyDescent="0.3">
      <c r="A1231" s="127">
        <v>1444</v>
      </c>
      <c r="B1231" s="128">
        <v>44099</v>
      </c>
      <c r="C1231" s="129" t="s">
        <v>1819</v>
      </c>
      <c r="D1231" s="129" t="s">
        <v>1517</v>
      </c>
      <c r="E1231" s="251"/>
      <c r="F1231" s="152">
        <v>-60000</v>
      </c>
    </row>
    <row r="1232" spans="1:6" ht="15.6" x14ac:dyDescent="0.3">
      <c r="A1232" s="127">
        <v>1445</v>
      </c>
      <c r="B1232" s="128">
        <v>44100</v>
      </c>
      <c r="C1232" s="129" t="s">
        <v>1803</v>
      </c>
      <c r="D1232" s="129" t="s">
        <v>1520</v>
      </c>
      <c r="E1232" s="152">
        <v>50000</v>
      </c>
      <c r="F1232" s="257"/>
    </row>
    <row r="1233" spans="1:6" ht="15.6" x14ac:dyDescent="0.3">
      <c r="A1233" s="127">
        <v>1446</v>
      </c>
      <c r="B1233" s="128">
        <v>44100</v>
      </c>
      <c r="C1233" s="129" t="s">
        <v>1724</v>
      </c>
      <c r="D1233" s="129" t="s">
        <v>1526</v>
      </c>
      <c r="E1233" s="251"/>
      <c r="F1233" s="152">
        <v>-20000</v>
      </c>
    </row>
    <row r="1234" spans="1:6" ht="15.6" x14ac:dyDescent="0.3">
      <c r="A1234" s="127">
        <v>1447</v>
      </c>
      <c r="B1234" s="128">
        <v>44100</v>
      </c>
      <c r="C1234" s="129" t="s">
        <v>1715</v>
      </c>
      <c r="D1234" s="129" t="s">
        <v>1533</v>
      </c>
      <c r="E1234" s="251"/>
      <c r="F1234" s="152">
        <v>-2000</v>
      </c>
    </row>
    <row r="1235" spans="1:6" ht="15.6" x14ac:dyDescent="0.3">
      <c r="A1235" s="127">
        <v>1448</v>
      </c>
      <c r="B1235" s="128">
        <v>44101</v>
      </c>
      <c r="C1235" s="129" t="s">
        <v>1806</v>
      </c>
      <c r="D1235" s="129" t="s">
        <v>1807</v>
      </c>
      <c r="E1235" s="251"/>
      <c r="F1235" s="152">
        <v>-20000</v>
      </c>
    </row>
    <row r="1236" spans="1:6" ht="15.6" x14ac:dyDescent="0.3">
      <c r="A1236" s="127">
        <v>1449</v>
      </c>
      <c r="B1236" s="128">
        <v>44101</v>
      </c>
      <c r="C1236" s="129" t="s">
        <v>1715</v>
      </c>
      <c r="D1236" s="129" t="s">
        <v>1533</v>
      </c>
      <c r="E1236" s="251"/>
      <c r="F1236" s="152">
        <v>-1000</v>
      </c>
    </row>
    <row r="1237" spans="1:6" ht="15.6" x14ac:dyDescent="0.3">
      <c r="A1237" s="127">
        <v>1450</v>
      </c>
      <c r="B1237" s="128">
        <v>44103</v>
      </c>
      <c r="C1237" s="129" t="s">
        <v>1724</v>
      </c>
      <c r="D1237" s="129" t="s">
        <v>1526</v>
      </c>
      <c r="E1237" s="251"/>
      <c r="F1237" s="152">
        <v>-12000</v>
      </c>
    </row>
    <row r="1238" spans="1:6" ht="15.6" x14ac:dyDescent="0.3">
      <c r="A1238" s="127">
        <v>1451</v>
      </c>
      <c r="B1238" s="128">
        <v>44103</v>
      </c>
      <c r="C1238" s="129" t="s">
        <v>1715</v>
      </c>
      <c r="D1238" s="129" t="s">
        <v>1533</v>
      </c>
      <c r="E1238" s="251"/>
      <c r="F1238" s="152">
        <v>-2000</v>
      </c>
    </row>
    <row r="1239" spans="1:6" ht="15.6" x14ac:dyDescent="0.3">
      <c r="A1239" s="127">
        <v>1452</v>
      </c>
      <c r="B1239" s="128">
        <v>44103</v>
      </c>
      <c r="C1239" s="129" t="s">
        <v>1814</v>
      </c>
      <c r="D1239" s="129" t="s">
        <v>1516</v>
      </c>
      <c r="E1239" s="251"/>
      <c r="F1239" s="152">
        <v>-3600</v>
      </c>
    </row>
    <row r="1240" spans="1:6" ht="15.6" x14ac:dyDescent="0.3">
      <c r="A1240" s="127">
        <v>1453</v>
      </c>
      <c r="B1240" s="128">
        <v>44103</v>
      </c>
      <c r="C1240" s="129" t="s">
        <v>1801</v>
      </c>
      <c r="D1240" s="129" t="s">
        <v>1521</v>
      </c>
      <c r="E1240" s="251"/>
      <c r="F1240" s="152">
        <v>-120</v>
      </c>
    </row>
    <row r="1241" spans="1:6" ht="15.6" x14ac:dyDescent="0.3">
      <c r="A1241" s="127">
        <v>1454</v>
      </c>
      <c r="B1241" s="128">
        <v>44103</v>
      </c>
      <c r="C1241" s="129" t="s">
        <v>42</v>
      </c>
      <c r="D1241" s="129" t="s">
        <v>1521</v>
      </c>
      <c r="E1241" s="251"/>
      <c r="F1241" s="152">
        <v>-100</v>
      </c>
    </row>
    <row r="1242" spans="1:6" ht="15.6" x14ac:dyDescent="0.3">
      <c r="A1242" s="127">
        <v>1455</v>
      </c>
      <c r="B1242" s="128">
        <v>44104</v>
      </c>
      <c r="C1242" s="129" t="s">
        <v>1824</v>
      </c>
      <c r="D1242" s="129" t="s">
        <v>1516</v>
      </c>
      <c r="E1242" s="251"/>
      <c r="F1242" s="152">
        <v>-9850</v>
      </c>
    </row>
    <row r="1243" spans="1:6" ht="15.6" x14ac:dyDescent="0.3">
      <c r="A1243" s="127">
        <v>1456</v>
      </c>
      <c r="B1243" s="128">
        <v>44104</v>
      </c>
      <c r="C1243" s="129" t="s">
        <v>1803</v>
      </c>
      <c r="D1243" s="129" t="s">
        <v>1520</v>
      </c>
      <c r="E1243" s="152">
        <v>16000</v>
      </c>
      <c r="F1243" s="257"/>
    </row>
    <row r="1244" spans="1:6" ht="15.6" x14ac:dyDescent="0.3">
      <c r="A1244" s="127">
        <v>1457</v>
      </c>
      <c r="B1244" s="128">
        <v>44104</v>
      </c>
      <c r="C1244" s="129" t="s">
        <v>42</v>
      </c>
      <c r="D1244" s="129" t="s">
        <v>1521</v>
      </c>
      <c r="E1244" s="251"/>
      <c r="F1244" s="152">
        <v>-100</v>
      </c>
    </row>
    <row r="1245" spans="1:6" ht="15.6" x14ac:dyDescent="0.3">
      <c r="A1245" s="127">
        <v>1458</v>
      </c>
      <c r="B1245" s="128">
        <v>44105</v>
      </c>
      <c r="C1245" s="129" t="s">
        <v>1803</v>
      </c>
      <c r="D1245" s="129" t="s">
        <v>1520</v>
      </c>
      <c r="E1245" s="152">
        <v>50000</v>
      </c>
      <c r="F1245" s="257"/>
    </row>
    <row r="1246" spans="1:6" ht="15.6" x14ac:dyDescent="0.3">
      <c r="A1246" s="127">
        <v>1459</v>
      </c>
      <c r="B1246" s="128">
        <v>44105</v>
      </c>
      <c r="C1246" s="129" t="s">
        <v>1724</v>
      </c>
      <c r="D1246" s="129" t="s">
        <v>1526</v>
      </c>
      <c r="E1246" s="251"/>
      <c r="F1246" s="152">
        <v>-10000</v>
      </c>
    </row>
    <row r="1247" spans="1:6" ht="15.6" x14ac:dyDescent="0.3">
      <c r="A1247" s="127">
        <v>1460</v>
      </c>
      <c r="B1247" s="128">
        <v>44106</v>
      </c>
      <c r="C1247" s="129" t="s">
        <v>1715</v>
      </c>
      <c r="D1247" s="129" t="s">
        <v>1533</v>
      </c>
      <c r="E1247" s="251"/>
      <c r="F1247" s="152">
        <v>-2000</v>
      </c>
    </row>
    <row r="1248" spans="1:6" ht="15.6" x14ac:dyDescent="0.3">
      <c r="A1248" s="127">
        <v>1461</v>
      </c>
      <c r="B1248" s="128">
        <v>44109</v>
      </c>
      <c r="C1248" s="129" t="s">
        <v>1715</v>
      </c>
      <c r="D1248" s="129" t="s">
        <v>1533</v>
      </c>
      <c r="E1248" s="251"/>
      <c r="F1248" s="152">
        <v>-2000</v>
      </c>
    </row>
    <row r="1249" spans="1:6" ht="15.6" x14ac:dyDescent="0.3">
      <c r="A1249" s="127">
        <v>1462</v>
      </c>
      <c r="B1249" s="128">
        <v>44109</v>
      </c>
      <c r="C1249" s="129" t="s">
        <v>1724</v>
      </c>
      <c r="D1249" s="129" t="s">
        <v>1526</v>
      </c>
      <c r="E1249" s="251"/>
      <c r="F1249" s="152">
        <v>-5000</v>
      </c>
    </row>
    <row r="1250" spans="1:6" ht="15.6" x14ac:dyDescent="0.3">
      <c r="A1250" s="127">
        <v>1463</v>
      </c>
      <c r="B1250" s="128">
        <v>44111</v>
      </c>
      <c r="C1250" s="129" t="s">
        <v>1715</v>
      </c>
      <c r="D1250" s="129" t="s">
        <v>1533</v>
      </c>
      <c r="E1250" s="251"/>
      <c r="F1250" s="152">
        <v>-22000</v>
      </c>
    </row>
    <row r="1251" spans="1:6" ht="15.6" x14ac:dyDescent="0.3">
      <c r="A1251" s="127">
        <v>1464</v>
      </c>
      <c r="B1251" s="128">
        <v>44113</v>
      </c>
      <c r="C1251" s="129" t="s">
        <v>1724</v>
      </c>
      <c r="D1251" s="129" t="s">
        <v>1526</v>
      </c>
      <c r="E1251" s="251"/>
      <c r="F1251" s="152">
        <v>-10000</v>
      </c>
    </row>
    <row r="1252" spans="1:6" ht="15.6" x14ac:dyDescent="0.3">
      <c r="A1252" s="127">
        <v>1465</v>
      </c>
      <c r="B1252" s="128">
        <v>44114</v>
      </c>
      <c r="C1252" s="129" t="s">
        <v>1715</v>
      </c>
      <c r="D1252" s="129" t="s">
        <v>1533</v>
      </c>
      <c r="E1252" s="251"/>
      <c r="F1252" s="152">
        <v>-6000</v>
      </c>
    </row>
    <row r="1253" spans="1:6" ht="15.6" x14ac:dyDescent="0.3">
      <c r="A1253" s="127">
        <v>1466</v>
      </c>
      <c r="B1253" s="128">
        <v>44114</v>
      </c>
      <c r="C1253" s="129" t="s">
        <v>1820</v>
      </c>
      <c r="D1253" s="129" t="s">
        <v>1521</v>
      </c>
      <c r="E1253" s="251"/>
      <c r="F1253" s="152">
        <v>-1700</v>
      </c>
    </row>
    <row r="1254" spans="1:6" ht="15.6" x14ac:dyDescent="0.3">
      <c r="A1254" s="127">
        <v>1467</v>
      </c>
      <c r="B1254" s="128">
        <v>44115</v>
      </c>
      <c r="C1254" s="129" t="s">
        <v>1803</v>
      </c>
      <c r="D1254" s="129" t="s">
        <v>1520</v>
      </c>
      <c r="E1254" s="152">
        <v>200000</v>
      </c>
      <c r="F1254" s="257"/>
    </row>
    <row r="1255" spans="1:6" ht="15.6" x14ac:dyDescent="0.3">
      <c r="A1255" s="127">
        <v>1468</v>
      </c>
      <c r="B1255" s="128">
        <v>44115</v>
      </c>
      <c r="C1255" s="129" t="s">
        <v>1821</v>
      </c>
      <c r="D1255" s="129" t="s">
        <v>1520</v>
      </c>
      <c r="E1255" s="152">
        <v>60000</v>
      </c>
      <c r="F1255" s="257"/>
    </row>
    <row r="1256" spans="1:6" ht="15.6" x14ac:dyDescent="0.3">
      <c r="A1256" s="127">
        <v>1469</v>
      </c>
      <c r="B1256" s="128">
        <v>44115</v>
      </c>
      <c r="C1256" s="129" t="s">
        <v>1724</v>
      </c>
      <c r="D1256" s="129" t="s">
        <v>1526</v>
      </c>
      <c r="E1256" s="251"/>
      <c r="F1256" s="152">
        <v>-30000</v>
      </c>
    </row>
    <row r="1257" spans="1:6" ht="15.6" x14ac:dyDescent="0.3">
      <c r="A1257" s="127">
        <v>1470</v>
      </c>
      <c r="B1257" s="128">
        <v>44116</v>
      </c>
      <c r="C1257" s="129" t="s">
        <v>1715</v>
      </c>
      <c r="D1257" s="129" t="s">
        <v>1533</v>
      </c>
      <c r="E1257" s="251"/>
      <c r="F1257" s="152">
        <v>-2500</v>
      </c>
    </row>
    <row r="1258" spans="1:6" ht="15.6" x14ac:dyDescent="0.3">
      <c r="A1258" s="127">
        <v>1471</v>
      </c>
      <c r="B1258" s="128">
        <v>44117</v>
      </c>
      <c r="C1258" s="129" t="s">
        <v>1766</v>
      </c>
      <c r="D1258" s="129" t="s">
        <v>1524</v>
      </c>
      <c r="E1258" s="251"/>
      <c r="F1258" s="152">
        <v>-20000</v>
      </c>
    </row>
    <row r="1259" spans="1:6" ht="15.6" x14ac:dyDescent="0.3">
      <c r="A1259" s="127">
        <v>1472</v>
      </c>
      <c r="B1259" s="128">
        <v>44117</v>
      </c>
      <c r="C1259" s="129" t="s">
        <v>1715</v>
      </c>
      <c r="D1259" s="129" t="s">
        <v>1533</v>
      </c>
      <c r="E1259" s="251"/>
      <c r="F1259" s="152">
        <v>-2500</v>
      </c>
    </row>
    <row r="1260" spans="1:6" ht="15.6" x14ac:dyDescent="0.3">
      <c r="A1260" s="127">
        <v>1473</v>
      </c>
      <c r="B1260" s="128">
        <v>44118</v>
      </c>
      <c r="C1260" s="129" t="s">
        <v>1803</v>
      </c>
      <c r="D1260" s="129" t="s">
        <v>1520</v>
      </c>
      <c r="E1260" s="152">
        <v>25000</v>
      </c>
      <c r="F1260" s="257"/>
    </row>
    <row r="1261" spans="1:6" ht="15.6" x14ac:dyDescent="0.3">
      <c r="A1261" s="127">
        <v>1474</v>
      </c>
      <c r="B1261" s="128">
        <v>44118</v>
      </c>
      <c r="C1261" s="129" t="s">
        <v>1724</v>
      </c>
      <c r="D1261" s="129" t="s">
        <v>1526</v>
      </c>
      <c r="E1261" s="251"/>
      <c r="F1261" s="152">
        <v>-25000</v>
      </c>
    </row>
    <row r="1262" spans="1:6" ht="15.6" x14ac:dyDescent="0.3">
      <c r="A1262" s="127">
        <v>1475</v>
      </c>
      <c r="B1262" s="128">
        <v>44118</v>
      </c>
      <c r="C1262" s="129" t="s">
        <v>1715</v>
      </c>
      <c r="D1262" s="129" t="s">
        <v>1533</v>
      </c>
      <c r="E1262" s="251"/>
      <c r="F1262" s="152">
        <v>-2000</v>
      </c>
    </row>
    <row r="1263" spans="1:6" ht="15.6" x14ac:dyDescent="0.3">
      <c r="A1263" s="127">
        <v>1476</v>
      </c>
      <c r="B1263" s="128">
        <v>44119</v>
      </c>
      <c r="C1263" s="129" t="s">
        <v>1715</v>
      </c>
      <c r="D1263" s="129" t="s">
        <v>1533</v>
      </c>
      <c r="E1263" s="251"/>
      <c r="F1263" s="152">
        <v>-2000</v>
      </c>
    </row>
    <row r="1264" spans="1:6" ht="15.6" x14ac:dyDescent="0.3">
      <c r="A1264" s="127">
        <v>1477</v>
      </c>
      <c r="B1264" s="128">
        <v>44119</v>
      </c>
      <c r="C1264" s="129" t="s">
        <v>1797</v>
      </c>
      <c r="D1264" s="129" t="s">
        <v>1520</v>
      </c>
      <c r="E1264" s="152">
        <v>200000</v>
      </c>
      <c r="F1264" s="257"/>
    </row>
    <row r="1265" spans="1:6" ht="15.6" x14ac:dyDescent="0.3">
      <c r="A1265" s="127">
        <v>1478</v>
      </c>
      <c r="B1265" s="128">
        <v>44119</v>
      </c>
      <c r="C1265" s="129" t="s">
        <v>1797</v>
      </c>
      <c r="D1265" s="129" t="s">
        <v>1520</v>
      </c>
      <c r="E1265" s="152">
        <v>100000</v>
      </c>
      <c r="F1265" s="257"/>
    </row>
    <row r="1266" spans="1:6" ht="15.6" x14ac:dyDescent="0.3">
      <c r="A1266" s="127">
        <v>1479</v>
      </c>
      <c r="B1266" s="128">
        <v>44119</v>
      </c>
      <c r="C1266" s="129" t="s">
        <v>1822</v>
      </c>
      <c r="D1266" s="129"/>
      <c r="E1266" s="251"/>
      <c r="F1266" s="152">
        <v>-200000</v>
      </c>
    </row>
    <row r="1267" spans="1:6" ht="15.6" x14ac:dyDescent="0.3">
      <c r="A1267" s="127">
        <v>1480</v>
      </c>
      <c r="B1267" s="128">
        <v>44121</v>
      </c>
      <c r="C1267" s="129" t="s">
        <v>1715</v>
      </c>
      <c r="D1267" s="129" t="s">
        <v>1533</v>
      </c>
      <c r="E1267" s="251"/>
      <c r="F1267" s="152">
        <v>-5000</v>
      </c>
    </row>
    <row r="1268" spans="1:6" ht="15.6" x14ac:dyDescent="0.3">
      <c r="A1268" s="127">
        <v>1481</v>
      </c>
      <c r="B1268" s="128">
        <v>44123</v>
      </c>
      <c r="C1268" s="129" t="s">
        <v>1715</v>
      </c>
      <c r="D1268" s="129" t="s">
        <v>1533</v>
      </c>
      <c r="E1268" s="251"/>
      <c r="F1268" s="152">
        <v>-15000</v>
      </c>
    </row>
    <row r="1269" spans="1:6" ht="15.6" x14ac:dyDescent="0.3">
      <c r="A1269" s="127">
        <v>1482</v>
      </c>
      <c r="B1269" s="128">
        <v>44123</v>
      </c>
      <c r="C1269" s="129" t="s">
        <v>113</v>
      </c>
      <c r="D1269" s="129" t="s">
        <v>1529</v>
      </c>
      <c r="E1269" s="251"/>
      <c r="F1269" s="152">
        <v>-25000</v>
      </c>
    </row>
    <row r="1270" spans="1:6" ht="15.6" x14ac:dyDescent="0.3">
      <c r="A1270" s="127">
        <v>1483</v>
      </c>
      <c r="B1270" s="128">
        <v>44125</v>
      </c>
      <c r="C1270" s="129" t="s">
        <v>1724</v>
      </c>
      <c r="D1270" s="129" t="s">
        <v>1526</v>
      </c>
      <c r="E1270" s="251"/>
      <c r="F1270" s="152">
        <v>-5500</v>
      </c>
    </row>
    <row r="1271" spans="1:6" ht="15.6" x14ac:dyDescent="0.3">
      <c r="A1271" s="127">
        <v>1484</v>
      </c>
      <c r="B1271" s="128">
        <v>44125</v>
      </c>
      <c r="C1271" s="129" t="s">
        <v>1823</v>
      </c>
      <c r="D1271" s="129" t="s">
        <v>1516</v>
      </c>
      <c r="E1271" s="251"/>
      <c r="F1271" s="152">
        <v>-34500</v>
      </c>
    </row>
    <row r="1272" spans="1:6" ht="15.6" x14ac:dyDescent="0.3">
      <c r="A1272" s="127">
        <v>1485</v>
      </c>
      <c r="B1272" s="128">
        <v>44125</v>
      </c>
      <c r="C1272" s="129" t="s">
        <v>1810</v>
      </c>
      <c r="D1272" s="129" t="s">
        <v>1521</v>
      </c>
      <c r="E1272" s="251"/>
      <c r="F1272" s="152">
        <v>-450</v>
      </c>
    </row>
    <row r="1273" spans="1:6" ht="15.6" x14ac:dyDescent="0.3">
      <c r="A1273" s="127">
        <v>1486</v>
      </c>
      <c r="B1273" s="128">
        <v>44125</v>
      </c>
      <c r="C1273" s="129" t="s">
        <v>42</v>
      </c>
      <c r="D1273" s="129" t="s">
        <v>1521</v>
      </c>
      <c r="E1273" s="251"/>
      <c r="F1273" s="152">
        <v>-200</v>
      </c>
    </row>
    <row r="1274" spans="1:6" ht="15.6" x14ac:dyDescent="0.3">
      <c r="A1274" s="127">
        <v>1487</v>
      </c>
      <c r="B1274" s="128">
        <v>44125</v>
      </c>
      <c r="C1274" s="129" t="s">
        <v>1715</v>
      </c>
      <c r="D1274" s="129" t="s">
        <v>1533</v>
      </c>
      <c r="E1274" s="251"/>
      <c r="F1274" s="152">
        <v>-3000</v>
      </c>
    </row>
    <row r="1275" spans="1:6" ht="15.6" x14ac:dyDescent="0.3">
      <c r="A1275" s="127">
        <v>1488</v>
      </c>
      <c r="B1275" s="128">
        <v>44126</v>
      </c>
      <c r="C1275" s="129" t="s">
        <v>1715</v>
      </c>
      <c r="D1275" s="129" t="s">
        <v>1533</v>
      </c>
      <c r="E1275" s="251"/>
      <c r="F1275" s="152">
        <v>-2000</v>
      </c>
    </row>
    <row r="1276" spans="1:6" ht="15.6" x14ac:dyDescent="0.3">
      <c r="A1276" s="127">
        <v>1489</v>
      </c>
      <c r="B1276" s="128">
        <v>44127</v>
      </c>
      <c r="C1276" s="129" t="s">
        <v>1715</v>
      </c>
      <c r="D1276" s="129" t="s">
        <v>1533</v>
      </c>
      <c r="E1276" s="251"/>
      <c r="F1276" s="152">
        <v>-2500</v>
      </c>
    </row>
    <row r="1277" spans="1:6" ht="15.6" x14ac:dyDescent="0.3">
      <c r="A1277" s="127">
        <v>1490</v>
      </c>
      <c r="B1277" s="128">
        <v>44127</v>
      </c>
      <c r="C1277" s="133" t="s">
        <v>1694</v>
      </c>
      <c r="D1277" s="133" t="s">
        <v>1527</v>
      </c>
      <c r="E1277" s="251"/>
      <c r="F1277" s="198">
        <v>-550</v>
      </c>
    </row>
    <row r="1278" spans="1:6" ht="15.6" x14ac:dyDescent="0.3">
      <c r="A1278" s="127">
        <v>1491</v>
      </c>
      <c r="B1278" s="128">
        <v>44129</v>
      </c>
      <c r="C1278" s="129" t="s">
        <v>1715</v>
      </c>
      <c r="D1278" s="129" t="s">
        <v>1533</v>
      </c>
      <c r="E1278" s="251"/>
      <c r="F1278" s="152">
        <v>-4000</v>
      </c>
    </row>
    <row r="1279" spans="1:6" ht="15.6" x14ac:dyDescent="0.3">
      <c r="A1279" s="127">
        <v>1492</v>
      </c>
      <c r="B1279" s="128">
        <v>44130</v>
      </c>
      <c r="C1279" s="129" t="s">
        <v>1715</v>
      </c>
      <c r="D1279" s="129" t="s">
        <v>1533</v>
      </c>
      <c r="E1279" s="251"/>
      <c r="F1279" s="152">
        <v>-2000</v>
      </c>
    </row>
    <row r="1280" spans="1:6" ht="15.6" x14ac:dyDescent="0.3">
      <c r="A1280" s="127">
        <v>1493</v>
      </c>
      <c r="B1280" s="128">
        <v>44130</v>
      </c>
      <c r="C1280" s="129" t="s">
        <v>1826</v>
      </c>
      <c r="D1280" s="129" t="s">
        <v>1521</v>
      </c>
      <c r="E1280" s="251"/>
      <c r="F1280" s="152">
        <v>-100</v>
      </c>
    </row>
    <row r="1281" spans="1:6" ht="15.6" x14ac:dyDescent="0.3">
      <c r="A1281" s="127">
        <v>1494</v>
      </c>
      <c r="B1281" s="128">
        <v>44130</v>
      </c>
      <c r="C1281" s="129" t="s">
        <v>1825</v>
      </c>
      <c r="D1281" s="129" t="s">
        <v>1516</v>
      </c>
      <c r="E1281" s="251"/>
      <c r="F1281" s="152">
        <v>-2000</v>
      </c>
    </row>
    <row r="1282" spans="1:6" ht="15.6" x14ac:dyDescent="0.3">
      <c r="A1282" s="127">
        <v>1495</v>
      </c>
      <c r="B1282" s="128">
        <v>44130</v>
      </c>
      <c r="C1282" s="129" t="s">
        <v>1827</v>
      </c>
      <c r="D1282" s="129" t="s">
        <v>1520</v>
      </c>
      <c r="E1282" s="152">
        <v>50000</v>
      </c>
      <c r="F1282" s="257"/>
    </row>
    <row r="1283" spans="1:6" ht="15.6" x14ac:dyDescent="0.3">
      <c r="A1283" s="127">
        <v>1496</v>
      </c>
      <c r="B1283" s="128">
        <v>44130</v>
      </c>
      <c r="C1283" s="129" t="s">
        <v>1828</v>
      </c>
      <c r="D1283" s="129" t="s">
        <v>1517</v>
      </c>
      <c r="E1283" s="251"/>
      <c r="F1283" s="152">
        <v>-60000</v>
      </c>
    </row>
    <row r="1284" spans="1:6" ht="15.6" x14ac:dyDescent="0.3">
      <c r="A1284" s="127">
        <v>1497</v>
      </c>
      <c r="B1284" s="128">
        <v>44131</v>
      </c>
      <c r="C1284" s="129" t="s">
        <v>1724</v>
      </c>
      <c r="D1284" s="129" t="s">
        <v>1526</v>
      </c>
      <c r="E1284" s="251"/>
      <c r="F1284" s="152">
        <v>-5000</v>
      </c>
    </row>
    <row r="1285" spans="1:6" ht="15.6" x14ac:dyDescent="0.3">
      <c r="A1285" s="127">
        <v>1498</v>
      </c>
      <c r="B1285" s="128">
        <v>44131</v>
      </c>
      <c r="C1285" s="129" t="s">
        <v>1715</v>
      </c>
      <c r="D1285" s="129" t="s">
        <v>1533</v>
      </c>
      <c r="E1285" s="251"/>
      <c r="F1285" s="152">
        <v>-20000</v>
      </c>
    </row>
    <row r="1286" spans="1:6" ht="15.6" x14ac:dyDescent="0.3">
      <c r="A1286" s="127">
        <v>1499</v>
      </c>
      <c r="B1286" s="128">
        <v>44132</v>
      </c>
      <c r="C1286" s="129" t="s">
        <v>1766</v>
      </c>
      <c r="D1286" s="129" t="s">
        <v>1524</v>
      </c>
      <c r="E1286" s="251"/>
      <c r="F1286" s="152">
        <v>-10000</v>
      </c>
    </row>
    <row r="1287" spans="1:6" ht="15.6" x14ac:dyDescent="0.3">
      <c r="A1287" s="127">
        <v>1500</v>
      </c>
      <c r="B1287" s="128">
        <v>44133</v>
      </c>
      <c r="C1287" s="129" t="s">
        <v>1827</v>
      </c>
      <c r="D1287" s="129" t="s">
        <v>1520</v>
      </c>
      <c r="E1287" s="152">
        <v>40000</v>
      </c>
      <c r="F1287" s="257"/>
    </row>
    <row r="1288" spans="1:6" ht="15.6" x14ac:dyDescent="0.3">
      <c r="A1288" s="127">
        <v>1501</v>
      </c>
      <c r="B1288" s="128">
        <v>44133</v>
      </c>
      <c r="C1288" s="129" t="s">
        <v>1724</v>
      </c>
      <c r="D1288" s="129" t="s">
        <v>1526</v>
      </c>
      <c r="E1288" s="251"/>
      <c r="F1288" s="152">
        <v>-20000</v>
      </c>
    </row>
    <row r="1289" spans="1:6" ht="15.6" x14ac:dyDescent="0.3">
      <c r="A1289" s="127">
        <v>1502</v>
      </c>
      <c r="B1289" s="128">
        <v>44133</v>
      </c>
      <c r="C1289" s="129" t="s">
        <v>1829</v>
      </c>
      <c r="D1289" s="129" t="s">
        <v>1521</v>
      </c>
      <c r="E1289" s="251"/>
      <c r="F1289" s="152">
        <v>-150</v>
      </c>
    </row>
    <row r="1290" spans="1:6" ht="15.6" x14ac:dyDescent="0.3">
      <c r="A1290" s="127">
        <v>1503</v>
      </c>
      <c r="B1290" s="128">
        <v>44133</v>
      </c>
      <c r="C1290" s="129" t="s">
        <v>1830</v>
      </c>
      <c r="D1290" s="129" t="s">
        <v>1521</v>
      </c>
      <c r="E1290" s="251"/>
      <c r="F1290" s="152">
        <v>-1500</v>
      </c>
    </row>
    <row r="1291" spans="1:6" ht="15.6" x14ac:dyDescent="0.3">
      <c r="A1291" s="127">
        <v>1504</v>
      </c>
      <c r="B1291" s="128">
        <v>44135</v>
      </c>
      <c r="C1291" s="129" t="s">
        <v>1806</v>
      </c>
      <c r="D1291" s="129" t="s">
        <v>1807</v>
      </c>
      <c r="E1291" s="251"/>
      <c r="F1291" s="152">
        <v>-4600</v>
      </c>
    </row>
    <row r="1292" spans="1:6" ht="15.6" x14ac:dyDescent="0.3">
      <c r="A1292" s="127">
        <v>1505</v>
      </c>
      <c r="B1292" s="128">
        <v>44135</v>
      </c>
      <c r="C1292" s="129" t="s">
        <v>42</v>
      </c>
      <c r="D1292" s="129" t="s">
        <v>1521</v>
      </c>
      <c r="E1292" s="251"/>
      <c r="F1292" s="152">
        <v>-150</v>
      </c>
    </row>
    <row r="1293" spans="1:6" ht="15.6" x14ac:dyDescent="0.3">
      <c r="A1293" s="127">
        <v>1506</v>
      </c>
      <c r="B1293" s="128">
        <v>44136</v>
      </c>
      <c r="C1293" s="129" t="s">
        <v>1831</v>
      </c>
      <c r="D1293" s="129" t="s">
        <v>1516</v>
      </c>
      <c r="E1293" s="251"/>
      <c r="F1293" s="152">
        <v>-4000</v>
      </c>
    </row>
    <row r="1294" spans="1:6" ht="15.6" x14ac:dyDescent="0.3">
      <c r="A1294" s="127">
        <v>1507</v>
      </c>
      <c r="B1294" s="128">
        <v>44137</v>
      </c>
      <c r="C1294" s="129" t="s">
        <v>1715</v>
      </c>
      <c r="D1294" s="129" t="s">
        <v>1533</v>
      </c>
      <c r="E1294" s="251"/>
      <c r="F1294" s="152">
        <v>-2200</v>
      </c>
    </row>
    <row r="1295" spans="1:6" ht="15.6" x14ac:dyDescent="0.3">
      <c r="A1295" s="127">
        <v>1508</v>
      </c>
      <c r="B1295" s="128">
        <v>44137</v>
      </c>
      <c r="C1295" s="129" t="s">
        <v>1797</v>
      </c>
      <c r="D1295" s="129" t="s">
        <v>1520</v>
      </c>
      <c r="E1295" s="152">
        <v>100000</v>
      </c>
      <c r="F1295" s="257"/>
    </row>
    <row r="1296" spans="1:6" ht="15.6" x14ac:dyDescent="0.3">
      <c r="A1296" s="127">
        <v>1509</v>
      </c>
      <c r="B1296" s="128">
        <v>44138</v>
      </c>
      <c r="C1296" s="129" t="s">
        <v>1724</v>
      </c>
      <c r="D1296" s="129" t="s">
        <v>1526</v>
      </c>
      <c r="E1296" s="251"/>
      <c r="F1296" s="152">
        <v>-20000</v>
      </c>
    </row>
    <row r="1297" spans="1:6" ht="15.6" x14ac:dyDescent="0.3">
      <c r="A1297" s="127">
        <v>1510</v>
      </c>
      <c r="B1297" s="128">
        <v>44138</v>
      </c>
      <c r="C1297" s="129" t="s">
        <v>1823</v>
      </c>
      <c r="D1297" s="129" t="s">
        <v>1516</v>
      </c>
      <c r="E1297" s="251"/>
      <c r="F1297" s="152">
        <v>-6500</v>
      </c>
    </row>
    <row r="1298" spans="1:6" ht="15.6" x14ac:dyDescent="0.3">
      <c r="A1298" s="127">
        <v>1511</v>
      </c>
      <c r="B1298" s="128">
        <v>44138</v>
      </c>
      <c r="C1298" s="129" t="s">
        <v>1716</v>
      </c>
      <c r="D1298" s="129" t="s">
        <v>1516</v>
      </c>
      <c r="E1298" s="251"/>
      <c r="F1298" s="152">
        <v>-4000</v>
      </c>
    </row>
    <row r="1299" spans="1:6" ht="15.6" x14ac:dyDescent="0.3">
      <c r="A1299" s="127">
        <v>1512</v>
      </c>
      <c r="B1299" s="128">
        <v>44138</v>
      </c>
      <c r="C1299" s="129" t="s">
        <v>1715</v>
      </c>
      <c r="D1299" s="129" t="s">
        <v>1533</v>
      </c>
      <c r="E1299" s="251"/>
      <c r="F1299" s="152">
        <v>-2000</v>
      </c>
    </row>
    <row r="1300" spans="1:6" ht="15.6" x14ac:dyDescent="0.3">
      <c r="A1300" s="127">
        <v>1513</v>
      </c>
      <c r="B1300" s="128">
        <v>44138</v>
      </c>
      <c r="C1300" s="133" t="s">
        <v>1554</v>
      </c>
      <c r="D1300" s="133" t="s">
        <v>1523</v>
      </c>
      <c r="E1300" s="251"/>
      <c r="F1300" s="198">
        <v>-20000</v>
      </c>
    </row>
    <row r="1301" spans="1:6" ht="15.6" x14ac:dyDescent="0.3">
      <c r="A1301" s="127">
        <v>1514</v>
      </c>
      <c r="B1301" s="128">
        <v>44139</v>
      </c>
      <c r="C1301" s="129" t="s">
        <v>1715</v>
      </c>
      <c r="D1301" s="129" t="s">
        <v>1533</v>
      </c>
      <c r="E1301" s="251"/>
      <c r="F1301" s="152">
        <v>-2000</v>
      </c>
    </row>
    <row r="1302" spans="1:6" ht="15.6" x14ac:dyDescent="0.3">
      <c r="A1302" s="127">
        <v>1515</v>
      </c>
      <c r="B1302" s="128">
        <v>44140</v>
      </c>
      <c r="C1302" s="129" t="s">
        <v>1715</v>
      </c>
      <c r="D1302" s="129" t="s">
        <v>1533</v>
      </c>
      <c r="E1302" s="251"/>
      <c r="F1302" s="152">
        <v>-2000</v>
      </c>
    </row>
    <row r="1303" spans="1:6" ht="15.6" x14ac:dyDescent="0.3">
      <c r="A1303" s="127">
        <v>1516</v>
      </c>
      <c r="B1303" s="128">
        <v>44141</v>
      </c>
      <c r="C1303" s="129" t="s">
        <v>1715</v>
      </c>
      <c r="D1303" s="129" t="s">
        <v>1533</v>
      </c>
      <c r="E1303" s="251"/>
      <c r="F1303" s="152">
        <v>-2500</v>
      </c>
    </row>
    <row r="1304" spans="1:6" ht="15.6" x14ac:dyDescent="0.3">
      <c r="A1304" s="127">
        <v>1517</v>
      </c>
      <c r="B1304" s="128">
        <v>44142</v>
      </c>
      <c r="C1304" s="129" t="s">
        <v>1766</v>
      </c>
      <c r="D1304" s="129" t="s">
        <v>1524</v>
      </c>
      <c r="E1304" s="251"/>
      <c r="F1304" s="152">
        <v>-10000</v>
      </c>
    </row>
    <row r="1305" spans="1:6" ht="15.6" x14ac:dyDescent="0.3">
      <c r="A1305" s="127">
        <v>1518</v>
      </c>
      <c r="B1305" s="128">
        <v>44142</v>
      </c>
      <c r="C1305" s="129" t="s">
        <v>1715</v>
      </c>
      <c r="D1305" s="129" t="s">
        <v>1533</v>
      </c>
      <c r="E1305" s="251"/>
      <c r="F1305" s="152">
        <v>-5000</v>
      </c>
    </row>
    <row r="1306" spans="1:6" ht="15.6" x14ac:dyDescent="0.3">
      <c r="A1306" s="127">
        <v>1519</v>
      </c>
      <c r="B1306" s="128">
        <v>44146</v>
      </c>
      <c r="C1306" s="129" t="s">
        <v>1803</v>
      </c>
      <c r="D1306" s="129" t="s">
        <v>1520</v>
      </c>
      <c r="E1306" s="152">
        <v>20000</v>
      </c>
      <c r="F1306" s="257"/>
    </row>
    <row r="1307" spans="1:6" ht="15.6" x14ac:dyDescent="0.3">
      <c r="A1307" s="127">
        <v>1520</v>
      </c>
      <c r="B1307" s="128">
        <v>44146</v>
      </c>
      <c r="C1307" s="129" t="s">
        <v>1724</v>
      </c>
      <c r="D1307" s="129" t="s">
        <v>1526</v>
      </c>
      <c r="E1307" s="251"/>
      <c r="F1307" s="152">
        <v>-20000</v>
      </c>
    </row>
    <row r="1308" spans="1:6" ht="15.6" x14ac:dyDescent="0.3">
      <c r="A1308" s="127">
        <v>1521</v>
      </c>
      <c r="B1308" s="128">
        <v>44147</v>
      </c>
      <c r="C1308" s="129" t="s">
        <v>1716</v>
      </c>
      <c r="D1308" s="129" t="s">
        <v>1516</v>
      </c>
      <c r="E1308" s="251"/>
      <c r="F1308" s="152">
        <v>-1000</v>
      </c>
    </row>
    <row r="1309" spans="1:6" ht="15.6" x14ac:dyDescent="0.3">
      <c r="A1309" s="127">
        <v>1522</v>
      </c>
      <c r="B1309" s="128">
        <v>44147</v>
      </c>
      <c r="C1309" s="129" t="s">
        <v>1581</v>
      </c>
      <c r="D1309" s="129" t="s">
        <v>1529</v>
      </c>
      <c r="E1309" s="251"/>
      <c r="F1309" s="198">
        <v>-1000</v>
      </c>
    </row>
    <row r="1310" spans="1:6" ht="15.6" x14ac:dyDescent="0.3">
      <c r="A1310" s="127">
        <v>1523</v>
      </c>
      <c r="B1310" s="128">
        <v>44149</v>
      </c>
      <c r="C1310" s="129" t="s">
        <v>1766</v>
      </c>
      <c r="D1310" s="129" t="s">
        <v>1524</v>
      </c>
      <c r="E1310" s="251"/>
      <c r="F1310" s="152">
        <v>-10000</v>
      </c>
    </row>
    <row r="1311" spans="1:6" ht="15.6" x14ac:dyDescent="0.3">
      <c r="A1311" s="127">
        <v>1524</v>
      </c>
      <c r="B1311" s="128">
        <v>44152</v>
      </c>
      <c r="C1311" s="129" t="s">
        <v>1830</v>
      </c>
      <c r="D1311" s="129" t="s">
        <v>1521</v>
      </c>
      <c r="E1311" s="251"/>
      <c r="F1311" s="152">
        <v>-8000</v>
      </c>
    </row>
    <row r="1312" spans="1:6" ht="15.6" x14ac:dyDescent="0.3">
      <c r="A1312" s="127">
        <v>1525</v>
      </c>
      <c r="B1312" s="128">
        <v>44154</v>
      </c>
      <c r="C1312" s="129" t="s">
        <v>1716</v>
      </c>
      <c r="D1312" s="129" t="s">
        <v>1516</v>
      </c>
      <c r="E1312" s="251"/>
      <c r="F1312" s="152">
        <v>-1000</v>
      </c>
    </row>
    <row r="1313" spans="1:6" ht="15.6" x14ac:dyDescent="0.3">
      <c r="A1313" s="127">
        <v>1526</v>
      </c>
      <c r="B1313" s="128">
        <v>44154</v>
      </c>
      <c r="C1313" s="129" t="s">
        <v>1715</v>
      </c>
      <c r="D1313" s="129" t="s">
        <v>1533</v>
      </c>
      <c r="E1313" s="251"/>
      <c r="F1313" s="152">
        <v>-1000</v>
      </c>
    </row>
    <row r="1314" spans="1:6" ht="15.6" x14ac:dyDescent="0.3">
      <c r="A1314" s="127">
        <v>1527</v>
      </c>
      <c r="B1314" s="128">
        <v>44154</v>
      </c>
      <c r="C1314" s="129" t="s">
        <v>1834</v>
      </c>
      <c r="D1314" s="129" t="s">
        <v>1521</v>
      </c>
      <c r="E1314" s="251"/>
      <c r="F1314" s="152">
        <v>-100</v>
      </c>
    </row>
    <row r="1315" spans="1:6" ht="15.6" x14ac:dyDescent="0.3">
      <c r="A1315" s="127">
        <v>1528</v>
      </c>
      <c r="B1315" s="128">
        <v>44156</v>
      </c>
      <c r="C1315" s="129" t="s">
        <v>1715</v>
      </c>
      <c r="D1315" s="129" t="s">
        <v>1533</v>
      </c>
      <c r="E1315" s="251"/>
      <c r="F1315" s="152">
        <v>-1000</v>
      </c>
    </row>
    <row r="1316" spans="1:6" ht="15.6" x14ac:dyDescent="0.3">
      <c r="A1316" s="127">
        <v>1529</v>
      </c>
      <c r="B1316" s="128">
        <v>44156</v>
      </c>
      <c r="C1316" s="129" t="s">
        <v>1803</v>
      </c>
      <c r="D1316" s="129" t="s">
        <v>1520</v>
      </c>
      <c r="E1316" s="152">
        <v>80000</v>
      </c>
      <c r="F1316" s="257"/>
    </row>
    <row r="1317" spans="1:6" ht="15.6" x14ac:dyDescent="0.3">
      <c r="A1317" s="127">
        <v>1530</v>
      </c>
      <c r="B1317" s="128">
        <v>44156</v>
      </c>
      <c r="C1317" s="129" t="s">
        <v>1771</v>
      </c>
      <c r="D1317" s="129" t="s">
        <v>1516</v>
      </c>
      <c r="E1317" s="251"/>
      <c r="F1317" s="152">
        <v>-1000</v>
      </c>
    </row>
    <row r="1318" spans="1:6" ht="15.6" x14ac:dyDescent="0.3">
      <c r="A1318" s="127">
        <v>1531</v>
      </c>
      <c r="B1318" s="128">
        <v>44156</v>
      </c>
      <c r="C1318" s="129" t="s">
        <v>1823</v>
      </c>
      <c r="D1318" s="129" t="s">
        <v>1516</v>
      </c>
      <c r="E1318" s="251"/>
      <c r="F1318" s="152">
        <v>-8100</v>
      </c>
    </row>
    <row r="1319" spans="1:6" ht="15.6" x14ac:dyDescent="0.3">
      <c r="A1319" s="127">
        <v>1532</v>
      </c>
      <c r="B1319" s="128">
        <v>44156</v>
      </c>
      <c r="C1319" s="129" t="s">
        <v>1716</v>
      </c>
      <c r="D1319" s="129" t="s">
        <v>1516</v>
      </c>
      <c r="E1319" s="251"/>
      <c r="F1319" s="152">
        <v>-1000</v>
      </c>
    </row>
    <row r="1320" spans="1:6" ht="15.6" x14ac:dyDescent="0.3">
      <c r="A1320" s="127">
        <v>1533</v>
      </c>
      <c r="B1320" s="128">
        <v>44158</v>
      </c>
      <c r="C1320" s="129" t="s">
        <v>1724</v>
      </c>
      <c r="D1320" s="129" t="s">
        <v>1526</v>
      </c>
      <c r="E1320" s="251"/>
      <c r="F1320" s="152">
        <v>-20000</v>
      </c>
    </row>
    <row r="1321" spans="1:6" ht="15.6" x14ac:dyDescent="0.3">
      <c r="A1321" s="127">
        <v>1534</v>
      </c>
      <c r="B1321" s="128">
        <v>44158</v>
      </c>
      <c r="C1321" s="129" t="s">
        <v>1716</v>
      </c>
      <c r="D1321" s="129" t="s">
        <v>1516</v>
      </c>
      <c r="E1321" s="251"/>
      <c r="F1321" s="152">
        <v>-1000</v>
      </c>
    </row>
    <row r="1322" spans="1:6" ht="15.6" x14ac:dyDescent="0.3">
      <c r="A1322" s="127">
        <v>1535</v>
      </c>
      <c r="B1322" s="128">
        <v>44158</v>
      </c>
      <c r="C1322" s="129" t="s">
        <v>1715</v>
      </c>
      <c r="D1322" s="129" t="s">
        <v>1533</v>
      </c>
      <c r="E1322" s="251"/>
      <c r="F1322" s="152">
        <v>-2000</v>
      </c>
    </row>
    <row r="1323" spans="1:6" ht="15.6" x14ac:dyDescent="0.3">
      <c r="A1323" s="127">
        <v>1536</v>
      </c>
      <c r="B1323" s="128">
        <v>44158</v>
      </c>
      <c r="C1323" s="129" t="s">
        <v>42</v>
      </c>
      <c r="D1323" s="129" t="s">
        <v>1521</v>
      </c>
      <c r="E1323" s="251"/>
      <c r="F1323" s="152">
        <v>-100</v>
      </c>
    </row>
    <row r="1324" spans="1:6" ht="15.6" x14ac:dyDescent="0.3">
      <c r="A1324" s="127">
        <v>1537</v>
      </c>
      <c r="B1324" s="128">
        <v>44159</v>
      </c>
      <c r="C1324" s="129" t="s">
        <v>1715</v>
      </c>
      <c r="D1324" s="129" t="s">
        <v>1533</v>
      </c>
      <c r="E1324" s="251"/>
      <c r="F1324" s="152">
        <v>-3000</v>
      </c>
    </row>
    <row r="1325" spans="1:6" ht="15.6" x14ac:dyDescent="0.3">
      <c r="A1325" s="127">
        <v>1538</v>
      </c>
      <c r="B1325" s="128">
        <v>44160</v>
      </c>
      <c r="C1325" s="129" t="s">
        <v>1836</v>
      </c>
      <c r="D1325" s="129" t="s">
        <v>1517</v>
      </c>
      <c r="E1325" s="251"/>
      <c r="F1325" s="152">
        <v>-60000</v>
      </c>
    </row>
    <row r="1326" spans="1:6" ht="15.6" x14ac:dyDescent="0.3">
      <c r="A1326" s="127">
        <v>1539</v>
      </c>
      <c r="B1326" s="128">
        <v>44161</v>
      </c>
      <c r="C1326" s="129" t="s">
        <v>1803</v>
      </c>
      <c r="D1326" s="129" t="s">
        <v>1520</v>
      </c>
      <c r="E1326" s="152">
        <v>20000</v>
      </c>
      <c r="F1326" s="257"/>
    </row>
    <row r="1327" spans="1:6" ht="15.6" x14ac:dyDescent="0.3">
      <c r="A1327" s="127">
        <v>1540</v>
      </c>
      <c r="B1327" s="128">
        <v>44161</v>
      </c>
      <c r="C1327" s="129" t="s">
        <v>1724</v>
      </c>
      <c r="D1327" s="129" t="s">
        <v>1526</v>
      </c>
      <c r="E1327" s="251"/>
      <c r="F1327" s="152">
        <v>-20000</v>
      </c>
    </row>
    <row r="1328" spans="1:6" ht="15.6" x14ac:dyDescent="0.3">
      <c r="A1328" s="127">
        <v>1541</v>
      </c>
      <c r="B1328" s="128">
        <v>44163</v>
      </c>
      <c r="C1328" s="129" t="s">
        <v>1715</v>
      </c>
      <c r="D1328" s="129" t="s">
        <v>1533</v>
      </c>
      <c r="E1328" s="251"/>
      <c r="F1328" s="152">
        <v>-2000</v>
      </c>
    </row>
    <row r="1329" spans="1:6" ht="15.6" x14ac:dyDescent="0.3">
      <c r="A1329" s="127">
        <v>1542</v>
      </c>
      <c r="B1329" s="128">
        <v>44164</v>
      </c>
      <c r="C1329" s="129" t="s">
        <v>1715</v>
      </c>
      <c r="D1329" s="129" t="s">
        <v>1533</v>
      </c>
      <c r="E1329" s="251"/>
      <c r="F1329" s="152">
        <v>-1000</v>
      </c>
    </row>
    <row r="1330" spans="1:6" ht="15.6" x14ac:dyDescent="0.3">
      <c r="A1330" s="127">
        <v>1543</v>
      </c>
      <c r="B1330" s="128">
        <v>44165</v>
      </c>
      <c r="C1330" s="129" t="s">
        <v>1803</v>
      </c>
      <c r="D1330" s="129" t="s">
        <v>1520</v>
      </c>
      <c r="E1330" s="152">
        <v>80000</v>
      </c>
      <c r="F1330" s="257"/>
    </row>
    <row r="1331" spans="1:6" ht="15.6" x14ac:dyDescent="0.3">
      <c r="A1331" s="127">
        <v>1544</v>
      </c>
      <c r="B1331" s="128">
        <v>44165</v>
      </c>
      <c r="C1331" s="129" t="s">
        <v>1715</v>
      </c>
      <c r="D1331" s="129" t="s">
        <v>1533</v>
      </c>
      <c r="E1331" s="251"/>
      <c r="F1331" s="152">
        <v>-10000</v>
      </c>
    </row>
    <row r="1332" spans="1:6" ht="15.6" x14ac:dyDescent="0.3">
      <c r="A1332" s="127">
        <v>1545</v>
      </c>
      <c r="B1332" s="128">
        <v>44165</v>
      </c>
      <c r="C1332" s="129" t="s">
        <v>1581</v>
      </c>
      <c r="D1332" s="129" t="s">
        <v>1529</v>
      </c>
      <c r="E1332" s="251"/>
      <c r="F1332" s="198">
        <v>-20000</v>
      </c>
    </row>
    <row r="1333" spans="1:6" ht="15.6" x14ac:dyDescent="0.3">
      <c r="A1333" s="127">
        <v>1546</v>
      </c>
      <c r="B1333" s="128">
        <v>44165</v>
      </c>
      <c r="C1333" s="129" t="s">
        <v>1766</v>
      </c>
      <c r="D1333" s="129" t="s">
        <v>1524</v>
      </c>
      <c r="E1333" s="251"/>
      <c r="F1333" s="152">
        <v>-20000</v>
      </c>
    </row>
    <row r="1334" spans="1:6" ht="15.6" x14ac:dyDescent="0.3">
      <c r="A1334" s="127">
        <v>1547</v>
      </c>
      <c r="B1334" s="128">
        <v>44166</v>
      </c>
      <c r="C1334" s="129" t="s">
        <v>1724</v>
      </c>
      <c r="D1334" s="129" t="s">
        <v>1526</v>
      </c>
      <c r="E1334" s="251"/>
      <c r="F1334" s="152">
        <v>-10000</v>
      </c>
    </row>
    <row r="1335" spans="1:6" ht="15.6" x14ac:dyDescent="0.3">
      <c r="A1335" s="127">
        <v>1548</v>
      </c>
      <c r="B1335" s="128">
        <v>44168</v>
      </c>
      <c r="C1335" s="129" t="s">
        <v>1715</v>
      </c>
      <c r="D1335" s="129" t="s">
        <v>1533</v>
      </c>
      <c r="E1335" s="251"/>
      <c r="F1335" s="152">
        <v>-2000</v>
      </c>
    </row>
    <row r="1336" spans="1:6" ht="15.6" x14ac:dyDescent="0.3">
      <c r="A1336" s="127">
        <v>1549</v>
      </c>
      <c r="B1336" s="128">
        <v>44171</v>
      </c>
      <c r="C1336" s="129" t="s">
        <v>1803</v>
      </c>
      <c r="D1336" s="129" t="s">
        <v>1520</v>
      </c>
      <c r="E1336" s="152">
        <v>20000</v>
      </c>
      <c r="F1336" s="257"/>
    </row>
    <row r="1337" spans="1:6" ht="15.6" x14ac:dyDescent="0.3">
      <c r="A1337" s="127">
        <v>1550</v>
      </c>
      <c r="B1337" s="128">
        <v>44171</v>
      </c>
      <c r="C1337" s="129" t="s">
        <v>1715</v>
      </c>
      <c r="D1337" s="129" t="s">
        <v>1533</v>
      </c>
      <c r="E1337" s="251"/>
      <c r="F1337" s="152">
        <v>-3000</v>
      </c>
    </row>
    <row r="1338" spans="1:6" ht="15.6" x14ac:dyDescent="0.3">
      <c r="A1338" s="127">
        <v>1551</v>
      </c>
      <c r="B1338" s="128">
        <v>44171</v>
      </c>
      <c r="C1338" s="129" t="s">
        <v>1837</v>
      </c>
      <c r="D1338" s="129" t="s">
        <v>1516</v>
      </c>
      <c r="E1338" s="251"/>
      <c r="F1338" s="152">
        <v>-15000</v>
      </c>
    </row>
    <row r="1339" spans="1:6" ht="15.6" x14ac:dyDescent="0.3">
      <c r="A1339" s="127">
        <v>1552</v>
      </c>
      <c r="B1339" s="128">
        <v>44174</v>
      </c>
      <c r="C1339" s="129" t="s">
        <v>1716</v>
      </c>
      <c r="D1339" s="129" t="s">
        <v>1516</v>
      </c>
      <c r="E1339" s="251"/>
      <c r="F1339" s="152">
        <v>-2000</v>
      </c>
    </row>
    <row r="1340" spans="1:6" ht="15.6" x14ac:dyDescent="0.3">
      <c r="A1340" s="127">
        <v>1553</v>
      </c>
      <c r="B1340" s="128">
        <v>44178</v>
      </c>
      <c r="C1340" s="129" t="s">
        <v>1803</v>
      </c>
      <c r="D1340" s="129" t="s">
        <v>1520</v>
      </c>
      <c r="E1340" s="152">
        <v>80000</v>
      </c>
      <c r="F1340" s="257"/>
    </row>
    <row r="1341" spans="1:6" ht="15.6" x14ac:dyDescent="0.3">
      <c r="A1341" s="127">
        <v>1554</v>
      </c>
      <c r="B1341" s="128">
        <v>44178</v>
      </c>
      <c r="C1341" s="129" t="s">
        <v>1716</v>
      </c>
      <c r="D1341" s="129" t="s">
        <v>1516</v>
      </c>
      <c r="E1341" s="251"/>
      <c r="F1341" s="152">
        <v>-2000</v>
      </c>
    </row>
    <row r="1342" spans="1:6" ht="15.6" x14ac:dyDescent="0.3">
      <c r="A1342" s="127">
        <v>1555</v>
      </c>
      <c r="B1342" s="128">
        <v>44178</v>
      </c>
      <c r="C1342" s="129" t="s">
        <v>1715</v>
      </c>
      <c r="D1342" s="129" t="s">
        <v>1533</v>
      </c>
      <c r="E1342" s="251"/>
      <c r="F1342" s="152">
        <v>-5000</v>
      </c>
    </row>
    <row r="1343" spans="1:6" ht="15.6" x14ac:dyDescent="0.3">
      <c r="A1343" s="127">
        <v>1556</v>
      </c>
      <c r="B1343" s="128">
        <v>44181</v>
      </c>
      <c r="C1343" s="129" t="s">
        <v>1715</v>
      </c>
      <c r="D1343" s="129" t="s">
        <v>1533</v>
      </c>
      <c r="E1343" s="251"/>
      <c r="F1343" s="152">
        <v>-2000</v>
      </c>
    </row>
    <row r="1344" spans="1:6" ht="15.6" x14ac:dyDescent="0.3">
      <c r="A1344" s="127">
        <v>1557</v>
      </c>
      <c r="B1344" s="128">
        <v>44183</v>
      </c>
      <c r="C1344" s="129" t="s">
        <v>1715</v>
      </c>
      <c r="D1344" s="129" t="s">
        <v>1533</v>
      </c>
      <c r="E1344" s="251"/>
      <c r="F1344" s="152">
        <v>-1000</v>
      </c>
    </row>
    <row r="1345" spans="1:6" ht="15.6" x14ac:dyDescent="0.3">
      <c r="A1345" s="127">
        <v>1558</v>
      </c>
      <c r="B1345" s="128">
        <v>44185</v>
      </c>
      <c r="C1345" s="129" t="s">
        <v>1715</v>
      </c>
      <c r="D1345" s="129" t="s">
        <v>1533</v>
      </c>
      <c r="E1345" s="251"/>
      <c r="F1345" s="152">
        <v>-2000</v>
      </c>
    </row>
    <row r="1346" spans="1:6" ht="15.6" x14ac:dyDescent="0.3">
      <c r="A1346" s="127">
        <v>1559</v>
      </c>
      <c r="B1346" s="128">
        <v>44185</v>
      </c>
      <c r="C1346" s="129" t="s">
        <v>1716</v>
      </c>
      <c r="D1346" s="129" t="s">
        <v>1516</v>
      </c>
      <c r="E1346" s="251"/>
      <c r="F1346" s="152">
        <v>-5000</v>
      </c>
    </row>
    <row r="1347" spans="1:6" ht="15.6" x14ac:dyDescent="0.3">
      <c r="A1347" s="127">
        <v>1560</v>
      </c>
      <c r="B1347" s="128">
        <v>44186</v>
      </c>
      <c r="C1347" s="129" t="s">
        <v>1835</v>
      </c>
      <c r="D1347" s="129" t="s">
        <v>1517</v>
      </c>
      <c r="E1347" s="251"/>
      <c r="F1347" s="152">
        <v>-60000</v>
      </c>
    </row>
    <row r="1348" spans="1:6" ht="15.6" x14ac:dyDescent="0.3">
      <c r="A1348" s="127">
        <v>1561</v>
      </c>
      <c r="B1348" s="128">
        <v>44187</v>
      </c>
      <c r="C1348" s="129" t="s">
        <v>1803</v>
      </c>
      <c r="D1348" s="129" t="s">
        <v>1520</v>
      </c>
      <c r="E1348" s="152">
        <v>70000</v>
      </c>
      <c r="F1348" s="257"/>
    </row>
    <row r="1349" spans="1:6" ht="15.6" x14ac:dyDescent="0.3">
      <c r="A1349" s="127">
        <v>1562</v>
      </c>
      <c r="B1349" s="128">
        <v>44187</v>
      </c>
      <c r="C1349" s="129" t="s">
        <v>1724</v>
      </c>
      <c r="D1349" s="129" t="s">
        <v>1526</v>
      </c>
      <c r="E1349" s="251"/>
      <c r="F1349" s="152">
        <v>-70000</v>
      </c>
    </row>
    <row r="1350" spans="1:6" ht="15.6" x14ac:dyDescent="0.3">
      <c r="A1350" s="127">
        <v>1563</v>
      </c>
      <c r="B1350" s="128">
        <v>44192</v>
      </c>
      <c r="C1350" s="129" t="s">
        <v>1803</v>
      </c>
      <c r="D1350" s="129" t="s">
        <v>1520</v>
      </c>
      <c r="E1350" s="152">
        <v>10000</v>
      </c>
      <c r="F1350" s="257"/>
    </row>
    <row r="1351" spans="1:6" ht="15.6" x14ac:dyDescent="0.3">
      <c r="A1351" s="127">
        <v>1564</v>
      </c>
      <c r="B1351" s="128">
        <v>44192</v>
      </c>
      <c r="C1351" s="129" t="s">
        <v>1715</v>
      </c>
      <c r="D1351" s="129" t="s">
        <v>1533</v>
      </c>
      <c r="E1351" s="251"/>
      <c r="F1351" s="152">
        <v>-10000</v>
      </c>
    </row>
    <row r="1352" spans="1:6" ht="15.6" x14ac:dyDescent="0.3">
      <c r="A1352" s="127">
        <v>1565</v>
      </c>
      <c r="B1352" s="128">
        <v>44195</v>
      </c>
      <c r="C1352" s="129" t="s">
        <v>1803</v>
      </c>
      <c r="D1352" s="129" t="s">
        <v>1520</v>
      </c>
      <c r="E1352" s="152">
        <v>100000</v>
      </c>
      <c r="F1352" s="257"/>
    </row>
    <row r="1353" spans="1:6" ht="15.6" x14ac:dyDescent="0.3">
      <c r="A1353" s="127">
        <v>1566</v>
      </c>
      <c r="B1353" s="128">
        <v>44195</v>
      </c>
      <c r="C1353" s="129" t="s">
        <v>1715</v>
      </c>
      <c r="D1353" s="129" t="s">
        <v>1533</v>
      </c>
      <c r="E1353" s="251"/>
      <c r="F1353" s="152">
        <v>-10000</v>
      </c>
    </row>
    <row r="1354" spans="1:6" ht="15.6" x14ac:dyDescent="0.3">
      <c r="A1354" s="127">
        <v>1567</v>
      </c>
      <c r="B1354" s="128">
        <v>44196</v>
      </c>
      <c r="C1354" s="133" t="s">
        <v>1839</v>
      </c>
      <c r="D1354" s="133" t="s">
        <v>1523</v>
      </c>
      <c r="E1354" s="251"/>
      <c r="F1354" s="198">
        <v>-20000</v>
      </c>
    </row>
    <row r="1355" spans="1:6" ht="15.6" x14ac:dyDescent="0.3">
      <c r="A1355" s="127">
        <v>1568</v>
      </c>
      <c r="B1355" s="128">
        <v>44196</v>
      </c>
      <c r="C1355" s="133" t="s">
        <v>1554</v>
      </c>
      <c r="D1355" s="133" t="s">
        <v>1523</v>
      </c>
      <c r="E1355" s="251"/>
      <c r="F1355" s="198">
        <v>-30000</v>
      </c>
    </row>
    <row r="1356" spans="1:6" ht="15.6" x14ac:dyDescent="0.3">
      <c r="A1356" s="127">
        <v>1569</v>
      </c>
      <c r="B1356" s="128">
        <v>44198</v>
      </c>
      <c r="C1356" s="129" t="s">
        <v>1724</v>
      </c>
      <c r="D1356" s="129" t="s">
        <v>1526</v>
      </c>
      <c r="E1356" s="251"/>
      <c r="F1356" s="152">
        <v>-30000</v>
      </c>
    </row>
    <row r="1357" spans="1:6" ht="15.6" x14ac:dyDescent="0.3">
      <c r="A1357" s="127">
        <v>1570</v>
      </c>
      <c r="B1357" s="128">
        <v>44199</v>
      </c>
      <c r="C1357" s="129" t="s">
        <v>1838</v>
      </c>
      <c r="D1357" s="129" t="s">
        <v>1516</v>
      </c>
      <c r="E1357" s="251"/>
      <c r="F1357" s="152">
        <v>-13000</v>
      </c>
    </row>
    <row r="1358" spans="1:6" ht="15.6" x14ac:dyDescent="0.3">
      <c r="A1358" s="127">
        <v>1571</v>
      </c>
      <c r="B1358" s="128">
        <v>44203</v>
      </c>
      <c r="C1358" s="129" t="s">
        <v>1581</v>
      </c>
      <c r="D1358" s="129" t="s">
        <v>1529</v>
      </c>
      <c r="E1358" s="251"/>
      <c r="F1358" s="198">
        <v>-15000</v>
      </c>
    </row>
    <row r="1360" spans="1:6" x14ac:dyDescent="0.3">
      <c r="D1360" s="258" t="s">
        <v>1840</v>
      </c>
      <c r="E1360" s="258">
        <f>SUM(E4:E1358)</f>
        <v>16210000</v>
      </c>
      <c r="F1360" s="258">
        <f>SUM(F4:F1358)</f>
        <v>13702585</v>
      </c>
    </row>
    <row r="1361" spans="4:5" x14ac:dyDescent="0.3">
      <c r="D1361" s="258" t="s">
        <v>1745</v>
      </c>
      <c r="E1361" s="116">
        <f>E1360-F1360</f>
        <v>2507415</v>
      </c>
    </row>
  </sheetData>
  <autoFilter ref="A3:F1102"/>
  <sortState ref="A4:F982">
    <sortCondition ref="B4:B982"/>
  </sortState>
  <customSheetViews>
    <customSheetView guid="{80F19098-3ACC-4F0A-B214-68DF3421AAAA}" showPageBreaks="1" showAutoFilter="1" view="pageBreakPreview" topLeftCell="A917">
      <selection activeCell="F940" sqref="F940"/>
      <pageMargins left="0.7" right="0.7" top="0.75" bottom="0.75" header="0.3" footer="0.3"/>
      <pageSetup paperSize="9" orientation="portrait" horizontalDpi="300" verticalDpi="300" r:id="rId1"/>
      <autoFilter ref="A3:F938"/>
    </customSheetView>
  </customSheetViews>
  <conditionalFormatting sqref="G1058:G1075 E1080 E1085 E1094 E1099 E1109 E1122 E1139 E1152">
    <cfRule type="cellIs" dxfId="1042" priority="367" operator="greaterThan">
      <formula>0</formula>
    </cfRule>
  </conditionalFormatting>
  <conditionalFormatting sqref="G1058:G1075 E1080 E1085 E1094 E1099 E1109 E1122 E1139 E1152">
    <cfRule type="cellIs" dxfId="1041" priority="366" operator="greaterThan">
      <formula>0</formula>
    </cfRule>
  </conditionalFormatting>
  <conditionalFormatting sqref="E1168">
    <cfRule type="cellIs" dxfId="1040" priority="353" operator="greaterThan">
      <formula>0</formula>
    </cfRule>
  </conditionalFormatting>
  <conditionalFormatting sqref="E1168">
    <cfRule type="cellIs" dxfId="1039" priority="352" operator="greaterThan">
      <formula>0</formula>
    </cfRule>
  </conditionalFormatting>
  <conditionalFormatting sqref="E1183">
    <cfRule type="cellIs" dxfId="1038" priority="323" operator="greaterThan">
      <formula>0</formula>
    </cfRule>
  </conditionalFormatting>
  <conditionalFormatting sqref="E1183">
    <cfRule type="cellIs" dxfId="1037" priority="322" operator="greaterThan">
      <formula>0</formula>
    </cfRule>
  </conditionalFormatting>
  <conditionalFormatting sqref="E1194">
    <cfRule type="cellIs" dxfId="1036" priority="301" operator="greaterThan">
      <formula>0</formula>
    </cfRule>
  </conditionalFormatting>
  <conditionalFormatting sqref="E1194">
    <cfRule type="cellIs" dxfId="1035" priority="300" operator="greaterThan">
      <formula>0</formula>
    </cfRule>
  </conditionalFormatting>
  <conditionalFormatting sqref="F1209 F1249 F1266">
    <cfRule type="cellIs" dxfId="1034" priority="275" operator="greaterThan">
      <formula>0</formula>
    </cfRule>
  </conditionalFormatting>
  <conditionalFormatting sqref="F1209 F1249 F1266">
    <cfRule type="cellIs" dxfId="1033" priority="274" operator="greaterThan">
      <formula>0</formula>
    </cfRule>
  </conditionalFormatting>
  <conditionalFormatting sqref="E1207">
    <cfRule type="cellIs" dxfId="1032" priority="273" operator="greaterThan">
      <formula>0</formula>
    </cfRule>
  </conditionalFormatting>
  <conditionalFormatting sqref="E1207">
    <cfRule type="cellIs" dxfId="1031" priority="272" operator="greaterThan">
      <formula>0</formula>
    </cfRule>
  </conditionalFormatting>
  <conditionalFormatting sqref="F1208">
    <cfRule type="cellIs" dxfId="1030" priority="271" operator="greaterThan">
      <formula>0</formula>
    </cfRule>
  </conditionalFormatting>
  <conditionalFormatting sqref="F1208">
    <cfRule type="cellIs" dxfId="1029" priority="270" operator="greaterThan">
      <formula>0</formula>
    </cfRule>
  </conditionalFormatting>
  <conditionalFormatting sqref="F1210">
    <cfRule type="cellIs" dxfId="1028" priority="269" operator="greaterThan">
      <formula>0</formula>
    </cfRule>
  </conditionalFormatting>
  <conditionalFormatting sqref="F1210">
    <cfRule type="cellIs" dxfId="1027" priority="268" operator="greaterThan">
      <formula>0</formula>
    </cfRule>
  </conditionalFormatting>
  <conditionalFormatting sqref="F1211">
    <cfRule type="cellIs" dxfId="1026" priority="267" operator="greaterThan">
      <formula>0</formula>
    </cfRule>
  </conditionalFormatting>
  <conditionalFormatting sqref="F1211">
    <cfRule type="cellIs" dxfId="1025" priority="266" operator="greaterThan">
      <formula>0</formula>
    </cfRule>
  </conditionalFormatting>
  <conditionalFormatting sqref="F1212">
    <cfRule type="cellIs" dxfId="1024" priority="265" operator="greaterThan">
      <formula>0</formula>
    </cfRule>
  </conditionalFormatting>
  <conditionalFormatting sqref="F1212">
    <cfRule type="cellIs" dxfId="1023" priority="264" operator="greaterThan">
      <formula>0</formula>
    </cfRule>
  </conditionalFormatting>
  <conditionalFormatting sqref="F1213">
    <cfRule type="cellIs" dxfId="1022" priority="263" operator="greaterThan">
      <formula>0</formula>
    </cfRule>
  </conditionalFormatting>
  <conditionalFormatting sqref="F1213">
    <cfRule type="cellIs" dxfId="1021" priority="262" operator="greaterThan">
      <formula>0</formula>
    </cfRule>
  </conditionalFormatting>
  <conditionalFormatting sqref="F1214">
    <cfRule type="cellIs" dxfId="1020" priority="261" operator="greaterThan">
      <formula>0</formula>
    </cfRule>
  </conditionalFormatting>
  <conditionalFormatting sqref="F1214">
    <cfRule type="cellIs" dxfId="1019" priority="260" operator="greaterThan">
      <formula>0</formula>
    </cfRule>
  </conditionalFormatting>
  <conditionalFormatting sqref="E1215">
    <cfRule type="cellIs" dxfId="1018" priority="259" operator="greaterThan">
      <formula>0</formula>
    </cfRule>
  </conditionalFormatting>
  <conditionalFormatting sqref="E1215">
    <cfRule type="cellIs" dxfId="1017" priority="258" operator="greaterThan">
      <formula>0</formula>
    </cfRule>
  </conditionalFormatting>
  <conditionalFormatting sqref="F1216">
    <cfRule type="cellIs" dxfId="1016" priority="257" operator="greaterThan">
      <formula>0</formula>
    </cfRule>
  </conditionalFormatting>
  <conditionalFormatting sqref="F1216">
    <cfRule type="cellIs" dxfId="1015" priority="256" operator="greaterThan">
      <formula>0</formula>
    </cfRule>
  </conditionalFormatting>
  <conditionalFormatting sqref="F1217">
    <cfRule type="cellIs" dxfId="1014" priority="255" operator="greaterThan">
      <formula>0</formula>
    </cfRule>
  </conditionalFormatting>
  <conditionalFormatting sqref="F1217">
    <cfRule type="cellIs" dxfId="1013" priority="254" operator="greaterThan">
      <formula>0</formula>
    </cfRule>
  </conditionalFormatting>
  <conditionalFormatting sqref="F1218">
    <cfRule type="cellIs" dxfId="1012" priority="253" operator="greaterThan">
      <formula>0</formula>
    </cfRule>
  </conditionalFormatting>
  <conditionalFormatting sqref="F1218">
    <cfRule type="cellIs" dxfId="1011" priority="252" operator="greaterThan">
      <formula>0</formula>
    </cfRule>
  </conditionalFormatting>
  <conditionalFormatting sqref="F1219">
    <cfRule type="cellIs" dxfId="1010" priority="251" operator="greaterThan">
      <formula>0</formula>
    </cfRule>
  </conditionalFormatting>
  <conditionalFormatting sqref="F1219">
    <cfRule type="cellIs" dxfId="1009" priority="250" operator="greaterThan">
      <formula>0</formula>
    </cfRule>
  </conditionalFormatting>
  <conditionalFormatting sqref="F1220">
    <cfRule type="cellIs" dxfId="1008" priority="249" operator="greaterThan">
      <formula>0</formula>
    </cfRule>
  </conditionalFormatting>
  <conditionalFormatting sqref="F1220">
    <cfRule type="cellIs" dxfId="1007" priority="248" operator="greaterThan">
      <formula>0</formula>
    </cfRule>
  </conditionalFormatting>
  <conditionalFormatting sqref="F1242">
    <cfRule type="cellIs" dxfId="1006" priority="200" operator="greaterThan">
      <formula>0</formula>
    </cfRule>
  </conditionalFormatting>
  <conditionalFormatting sqref="F1221">
    <cfRule type="cellIs" dxfId="1005" priority="247" operator="greaterThan">
      <formula>0</formula>
    </cfRule>
  </conditionalFormatting>
  <conditionalFormatting sqref="F1221">
    <cfRule type="cellIs" dxfId="1004" priority="246" operator="greaterThan">
      <formula>0</formula>
    </cfRule>
  </conditionalFormatting>
  <conditionalFormatting sqref="E1222">
    <cfRule type="cellIs" dxfId="1003" priority="245" operator="greaterThan">
      <formula>0</formula>
    </cfRule>
  </conditionalFormatting>
  <conditionalFormatting sqref="E1222">
    <cfRule type="cellIs" dxfId="1002" priority="244" operator="greaterThan">
      <formula>0</formula>
    </cfRule>
  </conditionalFormatting>
  <conditionalFormatting sqref="E1223">
    <cfRule type="cellIs" dxfId="1001" priority="243" operator="greaterThan">
      <formula>0</formula>
    </cfRule>
  </conditionalFormatting>
  <conditionalFormatting sqref="E1223">
    <cfRule type="cellIs" dxfId="1000" priority="242" operator="greaterThan">
      <formula>0</formula>
    </cfRule>
  </conditionalFormatting>
  <conditionalFormatting sqref="F1224">
    <cfRule type="cellIs" dxfId="999" priority="241" operator="greaterThan">
      <formula>0</formula>
    </cfRule>
  </conditionalFormatting>
  <conditionalFormatting sqref="F1224">
    <cfRule type="cellIs" dxfId="998" priority="240" operator="greaterThan">
      <formula>0</formula>
    </cfRule>
  </conditionalFormatting>
  <conditionalFormatting sqref="F1225">
    <cfRule type="cellIs" dxfId="997" priority="239" operator="greaterThan">
      <formula>0</formula>
    </cfRule>
  </conditionalFormatting>
  <conditionalFormatting sqref="F1225">
    <cfRule type="cellIs" dxfId="996" priority="238" operator="greaterThan">
      <formula>0</formula>
    </cfRule>
  </conditionalFormatting>
  <conditionalFormatting sqref="F1226">
    <cfRule type="cellIs" dxfId="995" priority="237" operator="greaterThan">
      <formula>0</formula>
    </cfRule>
  </conditionalFormatting>
  <conditionalFormatting sqref="F1226">
    <cfRule type="cellIs" dxfId="994" priority="236" operator="greaterThan">
      <formula>0</formula>
    </cfRule>
  </conditionalFormatting>
  <conditionalFormatting sqref="F1227">
    <cfRule type="cellIs" dxfId="993" priority="235" operator="greaterThan">
      <formula>0</formula>
    </cfRule>
  </conditionalFormatting>
  <conditionalFormatting sqref="F1227">
    <cfRule type="cellIs" dxfId="992" priority="234" operator="greaterThan">
      <formula>0</formula>
    </cfRule>
  </conditionalFormatting>
  <conditionalFormatting sqref="F1241">
    <cfRule type="cellIs" dxfId="991" priority="203" operator="greaterThan">
      <formula>0</formula>
    </cfRule>
  </conditionalFormatting>
  <conditionalFormatting sqref="F1241">
    <cfRule type="cellIs" dxfId="990" priority="202" operator="greaterThan">
      <formula>0</formula>
    </cfRule>
  </conditionalFormatting>
  <conditionalFormatting sqref="F1228">
    <cfRule type="cellIs" dxfId="989" priority="233" operator="greaterThan">
      <formula>0</formula>
    </cfRule>
  </conditionalFormatting>
  <conditionalFormatting sqref="F1228">
    <cfRule type="cellIs" dxfId="988" priority="232" operator="greaterThan">
      <formula>0</formula>
    </cfRule>
  </conditionalFormatting>
  <conditionalFormatting sqref="F1229">
    <cfRule type="cellIs" dxfId="987" priority="231" operator="greaterThan">
      <formula>0</formula>
    </cfRule>
  </conditionalFormatting>
  <conditionalFormatting sqref="F1229">
    <cfRule type="cellIs" dxfId="986" priority="230" operator="greaterThan">
      <formula>0</formula>
    </cfRule>
  </conditionalFormatting>
  <conditionalFormatting sqref="F1230">
    <cfRule type="cellIs" dxfId="985" priority="229" operator="greaterThan">
      <formula>0</formula>
    </cfRule>
  </conditionalFormatting>
  <conditionalFormatting sqref="F1230">
    <cfRule type="cellIs" dxfId="984" priority="228" operator="greaterThan">
      <formula>0</formula>
    </cfRule>
  </conditionalFormatting>
  <conditionalFormatting sqref="F1231">
    <cfRule type="cellIs" dxfId="983" priority="227" operator="greaterThan">
      <formula>0</formula>
    </cfRule>
  </conditionalFormatting>
  <conditionalFormatting sqref="F1231">
    <cfRule type="cellIs" dxfId="982" priority="226" operator="greaterThan">
      <formula>0</formula>
    </cfRule>
  </conditionalFormatting>
  <conditionalFormatting sqref="E1232">
    <cfRule type="cellIs" dxfId="981" priority="225" operator="greaterThan">
      <formula>0</formula>
    </cfRule>
  </conditionalFormatting>
  <conditionalFormatting sqref="E1232">
    <cfRule type="cellIs" dxfId="980" priority="224" operator="greaterThan">
      <formula>0</formula>
    </cfRule>
  </conditionalFormatting>
  <conditionalFormatting sqref="E1243">
    <cfRule type="cellIs" dxfId="979" priority="223" operator="greaterThan">
      <formula>0</formula>
    </cfRule>
  </conditionalFormatting>
  <conditionalFormatting sqref="E1243">
    <cfRule type="cellIs" dxfId="978" priority="222" operator="greaterThan">
      <formula>0</formula>
    </cfRule>
  </conditionalFormatting>
  <conditionalFormatting sqref="E1245">
    <cfRule type="cellIs" dxfId="977" priority="221" operator="greaterThan">
      <formula>0</formula>
    </cfRule>
  </conditionalFormatting>
  <conditionalFormatting sqref="E1245">
    <cfRule type="cellIs" dxfId="976" priority="220" operator="greaterThan">
      <formula>0</formula>
    </cfRule>
  </conditionalFormatting>
  <conditionalFormatting sqref="F1233">
    <cfRule type="cellIs" dxfId="975" priority="219" operator="greaterThan">
      <formula>0</formula>
    </cfRule>
  </conditionalFormatting>
  <conditionalFormatting sqref="F1233">
    <cfRule type="cellIs" dxfId="974" priority="218" operator="greaterThan">
      <formula>0</formula>
    </cfRule>
  </conditionalFormatting>
  <conditionalFormatting sqref="F1234">
    <cfRule type="cellIs" dxfId="973" priority="217" operator="greaterThan">
      <formula>0</formula>
    </cfRule>
  </conditionalFormatting>
  <conditionalFormatting sqref="F1234">
    <cfRule type="cellIs" dxfId="972" priority="216" operator="greaterThan">
      <formula>0</formula>
    </cfRule>
  </conditionalFormatting>
  <conditionalFormatting sqref="F1235">
    <cfRule type="cellIs" dxfId="971" priority="215" operator="greaterThan">
      <formula>0</formula>
    </cfRule>
  </conditionalFormatting>
  <conditionalFormatting sqref="F1235">
    <cfRule type="cellIs" dxfId="970" priority="214" operator="greaterThan">
      <formula>0</formula>
    </cfRule>
  </conditionalFormatting>
  <conditionalFormatting sqref="F1236">
    <cfRule type="cellIs" dxfId="969" priority="213" operator="greaterThan">
      <formula>0</formula>
    </cfRule>
  </conditionalFormatting>
  <conditionalFormatting sqref="F1236">
    <cfRule type="cellIs" dxfId="968" priority="212" operator="greaterThan">
      <formula>0</formula>
    </cfRule>
  </conditionalFormatting>
  <conditionalFormatting sqref="F1237">
    <cfRule type="cellIs" dxfId="967" priority="211" operator="greaterThan">
      <formula>0</formula>
    </cfRule>
  </conditionalFormatting>
  <conditionalFormatting sqref="F1237">
    <cfRule type="cellIs" dxfId="966" priority="210" operator="greaterThan">
      <formula>0</formula>
    </cfRule>
  </conditionalFormatting>
  <conditionalFormatting sqref="F1238">
    <cfRule type="cellIs" dxfId="965" priority="209" operator="greaterThan">
      <formula>0</formula>
    </cfRule>
  </conditionalFormatting>
  <conditionalFormatting sqref="F1238">
    <cfRule type="cellIs" dxfId="964" priority="208" operator="greaterThan">
      <formula>0</formula>
    </cfRule>
  </conditionalFormatting>
  <conditionalFormatting sqref="F1239">
    <cfRule type="cellIs" dxfId="963" priority="207" operator="greaterThan">
      <formula>0</formula>
    </cfRule>
  </conditionalFormatting>
  <conditionalFormatting sqref="F1239">
    <cfRule type="cellIs" dxfId="962" priority="206" operator="greaterThan">
      <formula>0</formula>
    </cfRule>
  </conditionalFormatting>
  <conditionalFormatting sqref="F1240">
    <cfRule type="cellIs" dxfId="961" priority="205" operator="greaterThan">
      <formula>0</formula>
    </cfRule>
  </conditionalFormatting>
  <conditionalFormatting sqref="F1240">
    <cfRule type="cellIs" dxfId="960" priority="204" operator="greaterThan">
      <formula>0</formula>
    </cfRule>
  </conditionalFormatting>
  <conditionalFormatting sqref="F1242">
    <cfRule type="cellIs" dxfId="959" priority="201" operator="greaterThan">
      <formula>0</formula>
    </cfRule>
  </conditionalFormatting>
  <conditionalFormatting sqref="F1244">
    <cfRule type="cellIs" dxfId="958" priority="199" operator="greaterThan">
      <formula>0</formula>
    </cfRule>
  </conditionalFormatting>
  <conditionalFormatting sqref="F1244">
    <cfRule type="cellIs" dxfId="957" priority="198" operator="greaterThan">
      <formula>0</formula>
    </cfRule>
  </conditionalFormatting>
  <conditionalFormatting sqref="F1246">
    <cfRule type="cellIs" dxfId="956" priority="197" operator="greaterThan">
      <formula>0</formula>
    </cfRule>
  </conditionalFormatting>
  <conditionalFormatting sqref="F1246">
    <cfRule type="cellIs" dxfId="955" priority="196" operator="greaterThan">
      <formula>0</formula>
    </cfRule>
  </conditionalFormatting>
  <conditionalFormatting sqref="F1247">
    <cfRule type="cellIs" dxfId="954" priority="195" operator="greaterThan">
      <formula>0</formula>
    </cfRule>
  </conditionalFormatting>
  <conditionalFormatting sqref="F1247">
    <cfRule type="cellIs" dxfId="953" priority="194" operator="greaterThan">
      <formula>0</formula>
    </cfRule>
  </conditionalFormatting>
  <conditionalFormatting sqref="F1248">
    <cfRule type="cellIs" dxfId="952" priority="193" operator="greaterThan">
      <formula>0</formula>
    </cfRule>
  </conditionalFormatting>
  <conditionalFormatting sqref="F1248">
    <cfRule type="cellIs" dxfId="951" priority="192" operator="greaterThan">
      <formula>0</formula>
    </cfRule>
  </conditionalFormatting>
  <conditionalFormatting sqref="F1250">
    <cfRule type="cellIs" dxfId="950" priority="191" operator="greaterThan">
      <formula>0</formula>
    </cfRule>
  </conditionalFormatting>
  <conditionalFormatting sqref="F1250">
    <cfRule type="cellIs" dxfId="949" priority="190" operator="greaterThan">
      <formula>0</formula>
    </cfRule>
  </conditionalFormatting>
  <conditionalFormatting sqref="F1252">
    <cfRule type="cellIs" dxfId="948" priority="186" operator="greaterThan">
      <formula>0</formula>
    </cfRule>
  </conditionalFormatting>
  <conditionalFormatting sqref="F1251">
    <cfRule type="cellIs" dxfId="947" priority="189" operator="greaterThan">
      <formula>0</formula>
    </cfRule>
  </conditionalFormatting>
  <conditionalFormatting sqref="F1251">
    <cfRule type="cellIs" dxfId="946" priority="188" operator="greaterThan">
      <formula>0</formula>
    </cfRule>
  </conditionalFormatting>
  <conditionalFormatting sqref="F1252">
    <cfRule type="cellIs" dxfId="945" priority="187" operator="greaterThan">
      <formula>0</formula>
    </cfRule>
  </conditionalFormatting>
  <conditionalFormatting sqref="F1253">
    <cfRule type="cellIs" dxfId="944" priority="185" operator="greaterThan">
      <formula>0</formula>
    </cfRule>
  </conditionalFormatting>
  <conditionalFormatting sqref="F1253">
    <cfRule type="cellIs" dxfId="943" priority="184" operator="greaterThan">
      <formula>0</formula>
    </cfRule>
  </conditionalFormatting>
  <conditionalFormatting sqref="E1254:E1255">
    <cfRule type="cellIs" dxfId="942" priority="183" operator="greaterThan">
      <formula>0</formula>
    </cfRule>
  </conditionalFormatting>
  <conditionalFormatting sqref="E1254:E1255">
    <cfRule type="cellIs" dxfId="941" priority="182" operator="greaterThan">
      <formula>0</formula>
    </cfRule>
  </conditionalFormatting>
  <conditionalFormatting sqref="F1257">
    <cfRule type="cellIs" dxfId="940" priority="178" operator="greaterThan">
      <formula>0</formula>
    </cfRule>
  </conditionalFormatting>
  <conditionalFormatting sqref="F1256">
    <cfRule type="cellIs" dxfId="939" priority="181" operator="greaterThan">
      <formula>0</formula>
    </cfRule>
  </conditionalFormatting>
  <conditionalFormatting sqref="F1256">
    <cfRule type="cellIs" dxfId="938" priority="180" operator="greaterThan">
      <formula>0</formula>
    </cfRule>
  </conditionalFormatting>
  <conditionalFormatting sqref="F1257">
    <cfRule type="cellIs" dxfId="937" priority="179" operator="greaterThan">
      <formula>0</formula>
    </cfRule>
  </conditionalFormatting>
  <conditionalFormatting sqref="F1258">
    <cfRule type="cellIs" dxfId="936" priority="177" operator="greaterThan">
      <formula>0</formula>
    </cfRule>
  </conditionalFormatting>
  <conditionalFormatting sqref="F1258">
    <cfRule type="cellIs" dxfId="935" priority="176" operator="greaterThan">
      <formula>0</formula>
    </cfRule>
  </conditionalFormatting>
  <conditionalFormatting sqref="F1259">
    <cfRule type="cellIs" dxfId="934" priority="174" operator="greaterThan">
      <formula>0</formula>
    </cfRule>
  </conditionalFormatting>
  <conditionalFormatting sqref="F1259">
    <cfRule type="cellIs" dxfId="933" priority="175" operator="greaterThan">
      <formula>0</formula>
    </cfRule>
  </conditionalFormatting>
  <conditionalFormatting sqref="E1260">
    <cfRule type="cellIs" dxfId="932" priority="173" operator="greaterThan">
      <formula>0</formula>
    </cfRule>
  </conditionalFormatting>
  <conditionalFormatting sqref="E1260">
    <cfRule type="cellIs" dxfId="931" priority="172" operator="greaterThan">
      <formula>0</formula>
    </cfRule>
  </conditionalFormatting>
  <conditionalFormatting sqref="E1264:E1265">
    <cfRule type="cellIs" dxfId="930" priority="171" operator="greaterThan">
      <formula>0</formula>
    </cfRule>
  </conditionalFormatting>
  <conditionalFormatting sqref="E1264:E1265">
    <cfRule type="cellIs" dxfId="929" priority="170" operator="greaterThan">
      <formula>0</formula>
    </cfRule>
  </conditionalFormatting>
  <conditionalFormatting sqref="F1261">
    <cfRule type="cellIs" dxfId="928" priority="169" operator="greaterThan">
      <formula>0</formula>
    </cfRule>
  </conditionalFormatting>
  <conditionalFormatting sqref="F1261">
    <cfRule type="cellIs" dxfId="927" priority="168" operator="greaterThan">
      <formula>0</formula>
    </cfRule>
  </conditionalFormatting>
  <conditionalFormatting sqref="F1262:F1263">
    <cfRule type="cellIs" dxfId="926" priority="166" operator="greaterThan">
      <formula>0</formula>
    </cfRule>
  </conditionalFormatting>
  <conditionalFormatting sqref="F1262:F1263">
    <cfRule type="cellIs" dxfId="925" priority="167" operator="greaterThan">
      <formula>0</formula>
    </cfRule>
  </conditionalFormatting>
  <conditionalFormatting sqref="F1267:F1268">
    <cfRule type="cellIs" dxfId="924" priority="164" operator="greaterThan">
      <formula>0</formula>
    </cfRule>
  </conditionalFormatting>
  <conditionalFormatting sqref="F1267:F1268">
    <cfRule type="cellIs" dxfId="923" priority="165" operator="greaterThan">
      <formula>0</formula>
    </cfRule>
  </conditionalFormatting>
  <conditionalFormatting sqref="F1270">
    <cfRule type="cellIs" dxfId="922" priority="163" operator="greaterThan">
      <formula>0</formula>
    </cfRule>
  </conditionalFormatting>
  <conditionalFormatting sqref="F1270">
    <cfRule type="cellIs" dxfId="921" priority="162" operator="greaterThan">
      <formula>0</formula>
    </cfRule>
  </conditionalFormatting>
  <conditionalFormatting sqref="F1269">
    <cfRule type="cellIs" dxfId="920" priority="161" operator="greaterThan">
      <formula>0</formula>
    </cfRule>
  </conditionalFormatting>
  <conditionalFormatting sqref="F1269">
    <cfRule type="cellIs" dxfId="919" priority="160" operator="greaterThan">
      <formula>0</formula>
    </cfRule>
  </conditionalFormatting>
  <conditionalFormatting sqref="F1272">
    <cfRule type="cellIs" dxfId="918" priority="159" operator="greaterThan">
      <formula>0</formula>
    </cfRule>
  </conditionalFormatting>
  <conditionalFormatting sqref="F1272">
    <cfRule type="cellIs" dxfId="917" priority="158" operator="greaterThan">
      <formula>0</formula>
    </cfRule>
  </conditionalFormatting>
  <conditionalFormatting sqref="F1271">
    <cfRule type="cellIs" dxfId="916" priority="156" operator="greaterThan">
      <formula>0</formula>
    </cfRule>
  </conditionalFormatting>
  <conditionalFormatting sqref="F1271">
    <cfRule type="cellIs" dxfId="915" priority="157" operator="greaterThan">
      <formula>0</formula>
    </cfRule>
  </conditionalFormatting>
  <conditionalFormatting sqref="F1273">
    <cfRule type="cellIs" dxfId="914" priority="155" operator="greaterThan">
      <formula>0</formula>
    </cfRule>
  </conditionalFormatting>
  <conditionalFormatting sqref="F1273">
    <cfRule type="cellIs" dxfId="913" priority="154" operator="greaterThan">
      <formula>0</formula>
    </cfRule>
  </conditionalFormatting>
  <conditionalFormatting sqref="F1274:F1275">
    <cfRule type="cellIs" dxfId="912" priority="152" operator="greaterThan">
      <formula>0</formula>
    </cfRule>
  </conditionalFormatting>
  <conditionalFormatting sqref="F1274:F1275">
    <cfRule type="cellIs" dxfId="911" priority="153" operator="greaterThan">
      <formula>0</formula>
    </cfRule>
  </conditionalFormatting>
  <conditionalFormatting sqref="F1276">
    <cfRule type="cellIs" dxfId="910" priority="150" operator="greaterThan">
      <formula>0</formula>
    </cfRule>
  </conditionalFormatting>
  <conditionalFormatting sqref="F1276">
    <cfRule type="cellIs" dxfId="909" priority="151" operator="greaterThan">
      <formula>0</formula>
    </cfRule>
  </conditionalFormatting>
  <conditionalFormatting sqref="F1277">
    <cfRule type="cellIs" dxfId="908" priority="149" operator="greaterThan">
      <formula>0</formula>
    </cfRule>
  </conditionalFormatting>
  <conditionalFormatting sqref="F1278:F1279">
    <cfRule type="cellIs" dxfId="907" priority="147" operator="greaterThan">
      <formula>0</formula>
    </cfRule>
  </conditionalFormatting>
  <conditionalFormatting sqref="F1278:F1279">
    <cfRule type="cellIs" dxfId="906" priority="148" operator="greaterThan">
      <formula>0</formula>
    </cfRule>
  </conditionalFormatting>
  <conditionalFormatting sqref="F1280">
    <cfRule type="cellIs" dxfId="905" priority="146" operator="greaterThan">
      <formula>0</formula>
    </cfRule>
  </conditionalFormatting>
  <conditionalFormatting sqref="F1280">
    <cfRule type="cellIs" dxfId="904" priority="145" operator="greaterThan">
      <formula>0</formula>
    </cfRule>
  </conditionalFormatting>
  <conditionalFormatting sqref="F1281">
    <cfRule type="cellIs" dxfId="903" priority="144" operator="greaterThan">
      <formula>0</formula>
    </cfRule>
  </conditionalFormatting>
  <conditionalFormatting sqref="F1281">
    <cfRule type="cellIs" dxfId="902" priority="143" operator="greaterThan">
      <formula>0</formula>
    </cfRule>
  </conditionalFormatting>
  <conditionalFormatting sqref="E1282">
    <cfRule type="cellIs" dxfId="901" priority="142" operator="greaterThan">
      <formula>0</formula>
    </cfRule>
  </conditionalFormatting>
  <conditionalFormatting sqref="E1282">
    <cfRule type="cellIs" dxfId="900" priority="141" operator="greaterThan">
      <formula>0</formula>
    </cfRule>
  </conditionalFormatting>
  <conditionalFormatting sqref="F1283">
    <cfRule type="cellIs" dxfId="899" priority="140" operator="greaterThan">
      <formula>0</formula>
    </cfRule>
  </conditionalFormatting>
  <conditionalFormatting sqref="F1283">
    <cfRule type="cellIs" dxfId="898" priority="139" operator="greaterThan">
      <formula>0</formula>
    </cfRule>
  </conditionalFormatting>
  <conditionalFormatting sqref="F1284">
    <cfRule type="cellIs" dxfId="897" priority="138" operator="greaterThan">
      <formula>0</formula>
    </cfRule>
  </conditionalFormatting>
  <conditionalFormatting sqref="F1284">
    <cfRule type="cellIs" dxfId="896" priority="137" operator="greaterThan">
      <formula>0</formula>
    </cfRule>
  </conditionalFormatting>
  <conditionalFormatting sqref="F1297">
    <cfRule type="cellIs" dxfId="895" priority="113" operator="greaterThan">
      <formula>0</formula>
    </cfRule>
  </conditionalFormatting>
  <conditionalFormatting sqref="F1297">
    <cfRule type="cellIs" dxfId="894" priority="112" operator="greaterThan">
      <formula>0</formula>
    </cfRule>
  </conditionalFormatting>
  <conditionalFormatting sqref="F1286">
    <cfRule type="cellIs" dxfId="893" priority="136" operator="greaterThan">
      <formula>0</formula>
    </cfRule>
  </conditionalFormatting>
  <conditionalFormatting sqref="F1286">
    <cfRule type="cellIs" dxfId="892" priority="135" operator="greaterThan">
      <formula>0</formula>
    </cfRule>
  </conditionalFormatting>
  <conditionalFormatting sqref="F1285">
    <cfRule type="cellIs" dxfId="891" priority="133" operator="greaterThan">
      <formula>0</formula>
    </cfRule>
  </conditionalFormatting>
  <conditionalFormatting sqref="F1285">
    <cfRule type="cellIs" dxfId="890" priority="134" operator="greaterThan">
      <formula>0</formula>
    </cfRule>
  </conditionalFormatting>
  <conditionalFormatting sqref="F1289">
    <cfRule type="cellIs" dxfId="889" priority="132" operator="greaterThan">
      <formula>0</formula>
    </cfRule>
  </conditionalFormatting>
  <conditionalFormatting sqref="F1289">
    <cfRule type="cellIs" dxfId="888" priority="131" operator="greaterThan">
      <formula>0</formula>
    </cfRule>
  </conditionalFormatting>
  <conditionalFormatting sqref="F1290">
    <cfRule type="cellIs" dxfId="887" priority="130" operator="greaterThan">
      <formula>0</formula>
    </cfRule>
  </conditionalFormatting>
  <conditionalFormatting sqref="F1290">
    <cfRule type="cellIs" dxfId="886" priority="129" operator="greaterThan">
      <formula>0</formula>
    </cfRule>
  </conditionalFormatting>
  <conditionalFormatting sqref="F1291">
    <cfRule type="cellIs" dxfId="885" priority="128" operator="greaterThan">
      <formula>0</formula>
    </cfRule>
  </conditionalFormatting>
  <conditionalFormatting sqref="F1291">
    <cfRule type="cellIs" dxfId="884" priority="127" operator="greaterThan">
      <formula>0</formula>
    </cfRule>
  </conditionalFormatting>
  <conditionalFormatting sqref="F1292">
    <cfRule type="cellIs" dxfId="883" priority="126" operator="greaterThan">
      <formula>0</formula>
    </cfRule>
  </conditionalFormatting>
  <conditionalFormatting sqref="F1292">
    <cfRule type="cellIs" dxfId="882" priority="125" operator="greaterThan">
      <formula>0</formula>
    </cfRule>
  </conditionalFormatting>
  <conditionalFormatting sqref="F1293">
    <cfRule type="cellIs" dxfId="881" priority="123" operator="greaterThan">
      <formula>0</formula>
    </cfRule>
  </conditionalFormatting>
  <conditionalFormatting sqref="F1293">
    <cfRule type="cellIs" dxfId="880" priority="124" operator="greaterThan">
      <formula>0</formula>
    </cfRule>
  </conditionalFormatting>
  <conditionalFormatting sqref="F1294">
    <cfRule type="cellIs" dxfId="879" priority="121" operator="greaterThan">
      <formula>0</formula>
    </cfRule>
  </conditionalFormatting>
  <conditionalFormatting sqref="F1294">
    <cfRule type="cellIs" dxfId="878" priority="122" operator="greaterThan">
      <formula>0</formula>
    </cfRule>
  </conditionalFormatting>
  <conditionalFormatting sqref="E1295">
    <cfRule type="cellIs" dxfId="877" priority="120" operator="greaterThan">
      <formula>0</formula>
    </cfRule>
  </conditionalFormatting>
  <conditionalFormatting sqref="E1295">
    <cfRule type="cellIs" dxfId="876" priority="119" operator="greaterThan">
      <formula>0</formula>
    </cfRule>
  </conditionalFormatting>
  <conditionalFormatting sqref="F1296">
    <cfRule type="cellIs" dxfId="875" priority="118" operator="greaterThan">
      <formula>0</formula>
    </cfRule>
  </conditionalFormatting>
  <conditionalFormatting sqref="F1296">
    <cfRule type="cellIs" dxfId="874" priority="117" operator="greaterThan">
      <formula>0</formula>
    </cfRule>
  </conditionalFormatting>
  <conditionalFormatting sqref="F1299">
    <cfRule type="cellIs" dxfId="873" priority="115" operator="greaterThan">
      <formula>0</formula>
    </cfRule>
  </conditionalFormatting>
  <conditionalFormatting sqref="F1299">
    <cfRule type="cellIs" dxfId="872" priority="116" operator="greaterThan">
      <formula>0</formula>
    </cfRule>
  </conditionalFormatting>
  <conditionalFormatting sqref="F1300">
    <cfRule type="cellIs" dxfId="871" priority="114" operator="greaterThan">
      <formula>0</formula>
    </cfRule>
  </conditionalFormatting>
  <conditionalFormatting sqref="F1298">
    <cfRule type="cellIs" dxfId="870" priority="110" operator="greaterThan">
      <formula>0</formula>
    </cfRule>
  </conditionalFormatting>
  <conditionalFormatting sqref="F1298">
    <cfRule type="cellIs" dxfId="869" priority="111" operator="greaterThan">
      <formula>0</formula>
    </cfRule>
  </conditionalFormatting>
  <conditionalFormatting sqref="E1287">
    <cfRule type="cellIs" dxfId="868" priority="109" operator="greaterThan">
      <formula>0</formula>
    </cfRule>
  </conditionalFormatting>
  <conditionalFormatting sqref="E1287">
    <cfRule type="cellIs" dxfId="867" priority="108" operator="greaterThan">
      <formula>0</formula>
    </cfRule>
  </conditionalFormatting>
  <conditionalFormatting sqref="F1288">
    <cfRule type="cellIs" dxfId="866" priority="107" operator="greaterThan">
      <formula>0</formula>
    </cfRule>
  </conditionalFormatting>
  <conditionalFormatting sqref="F1288">
    <cfRule type="cellIs" dxfId="865" priority="106" operator="greaterThan">
      <formula>0</formula>
    </cfRule>
  </conditionalFormatting>
  <conditionalFormatting sqref="F1301:F1303">
    <cfRule type="cellIs" dxfId="864" priority="104" operator="greaterThan">
      <formula>0</formula>
    </cfRule>
  </conditionalFormatting>
  <conditionalFormatting sqref="F1301:F1303">
    <cfRule type="cellIs" dxfId="863" priority="105" operator="greaterThan">
      <formula>0</formula>
    </cfRule>
  </conditionalFormatting>
  <conditionalFormatting sqref="F1305">
    <cfRule type="cellIs" dxfId="862" priority="102" operator="greaterThan">
      <formula>0</formula>
    </cfRule>
  </conditionalFormatting>
  <conditionalFormatting sqref="F1305">
    <cfRule type="cellIs" dxfId="861" priority="103" operator="greaterThan">
      <formula>0</formula>
    </cfRule>
  </conditionalFormatting>
  <conditionalFormatting sqref="F1313">
    <cfRule type="cellIs" dxfId="860" priority="100" operator="greaterThan">
      <formula>0</formula>
    </cfRule>
  </conditionalFormatting>
  <conditionalFormatting sqref="F1313">
    <cfRule type="cellIs" dxfId="859" priority="101" operator="greaterThan">
      <formula>0</formula>
    </cfRule>
  </conditionalFormatting>
  <conditionalFormatting sqref="F1315">
    <cfRule type="cellIs" dxfId="858" priority="98" operator="greaterThan">
      <formula>0</formula>
    </cfRule>
  </conditionalFormatting>
  <conditionalFormatting sqref="F1315">
    <cfRule type="cellIs" dxfId="857" priority="99" operator="greaterThan">
      <formula>0</formula>
    </cfRule>
  </conditionalFormatting>
  <conditionalFormatting sqref="F1322">
    <cfRule type="cellIs" dxfId="856" priority="96" operator="greaterThan">
      <formula>0</formula>
    </cfRule>
  </conditionalFormatting>
  <conditionalFormatting sqref="F1322">
    <cfRule type="cellIs" dxfId="855" priority="97" operator="greaterThan">
      <formula>0</formula>
    </cfRule>
  </conditionalFormatting>
  <conditionalFormatting sqref="F1324">
    <cfRule type="cellIs" dxfId="854" priority="94" operator="greaterThan">
      <formula>0</formula>
    </cfRule>
  </conditionalFormatting>
  <conditionalFormatting sqref="F1324">
    <cfRule type="cellIs" dxfId="853" priority="95" operator="greaterThan">
      <formula>0</formula>
    </cfRule>
  </conditionalFormatting>
  <conditionalFormatting sqref="F1304">
    <cfRule type="cellIs" dxfId="852" priority="93" operator="greaterThan">
      <formula>0</formula>
    </cfRule>
  </conditionalFormatting>
  <conditionalFormatting sqref="F1304">
    <cfRule type="cellIs" dxfId="851" priority="92" operator="greaterThan">
      <formula>0</formula>
    </cfRule>
  </conditionalFormatting>
  <conditionalFormatting sqref="F1310">
    <cfRule type="cellIs" dxfId="850" priority="91" operator="greaterThan">
      <formula>0</formula>
    </cfRule>
  </conditionalFormatting>
  <conditionalFormatting sqref="F1310">
    <cfRule type="cellIs" dxfId="849" priority="90" operator="greaterThan">
      <formula>0</formula>
    </cfRule>
  </conditionalFormatting>
  <conditionalFormatting sqref="F1307">
    <cfRule type="cellIs" dxfId="848" priority="89" operator="greaterThan">
      <formula>0</formula>
    </cfRule>
  </conditionalFormatting>
  <conditionalFormatting sqref="F1307">
    <cfRule type="cellIs" dxfId="847" priority="88" operator="greaterThan">
      <formula>0</formula>
    </cfRule>
  </conditionalFormatting>
  <conditionalFormatting sqref="F1320">
    <cfRule type="cellIs" dxfId="846" priority="87" operator="greaterThan">
      <formula>0</formula>
    </cfRule>
  </conditionalFormatting>
  <conditionalFormatting sqref="F1320">
    <cfRule type="cellIs" dxfId="845" priority="86" operator="greaterThan">
      <formula>0</formula>
    </cfRule>
  </conditionalFormatting>
  <conditionalFormatting sqref="F1308">
    <cfRule type="cellIs" dxfId="844" priority="84" operator="greaterThan">
      <formula>0</formula>
    </cfRule>
  </conditionalFormatting>
  <conditionalFormatting sqref="F1308">
    <cfRule type="cellIs" dxfId="843" priority="85" operator="greaterThan">
      <formula>0</formula>
    </cfRule>
  </conditionalFormatting>
  <conditionalFormatting sqref="F1312">
    <cfRule type="cellIs" dxfId="842" priority="82" operator="greaterThan">
      <formula>0</formula>
    </cfRule>
  </conditionalFormatting>
  <conditionalFormatting sqref="F1312">
    <cfRule type="cellIs" dxfId="841" priority="83" operator="greaterThan">
      <formula>0</formula>
    </cfRule>
  </conditionalFormatting>
  <conditionalFormatting sqref="F1319">
    <cfRule type="cellIs" dxfId="840" priority="80" operator="greaterThan">
      <formula>0</formula>
    </cfRule>
  </conditionalFormatting>
  <conditionalFormatting sqref="F1319">
    <cfRule type="cellIs" dxfId="839" priority="81" operator="greaterThan">
      <formula>0</formula>
    </cfRule>
  </conditionalFormatting>
  <conditionalFormatting sqref="F1321">
    <cfRule type="cellIs" dxfId="838" priority="78" operator="greaterThan">
      <formula>0</formula>
    </cfRule>
  </conditionalFormatting>
  <conditionalFormatting sqref="F1321">
    <cfRule type="cellIs" dxfId="837" priority="79" operator="greaterThan">
      <formula>0</formula>
    </cfRule>
  </conditionalFormatting>
  <conditionalFormatting sqref="F1309">
    <cfRule type="cellIs" dxfId="836" priority="77" operator="greaterThan">
      <formula>0</formula>
    </cfRule>
  </conditionalFormatting>
  <conditionalFormatting sqref="E1306">
    <cfRule type="cellIs" dxfId="835" priority="76" operator="greaterThan">
      <formula>0</formula>
    </cfRule>
  </conditionalFormatting>
  <conditionalFormatting sqref="E1306">
    <cfRule type="cellIs" dxfId="834" priority="75" operator="greaterThan">
      <formula>0</formula>
    </cfRule>
  </conditionalFormatting>
  <conditionalFormatting sqref="E1316">
    <cfRule type="cellIs" dxfId="833" priority="74" operator="greaterThan">
      <formula>0</formula>
    </cfRule>
  </conditionalFormatting>
  <conditionalFormatting sqref="E1316">
    <cfRule type="cellIs" dxfId="832" priority="73" operator="greaterThan">
      <formula>0</formula>
    </cfRule>
  </conditionalFormatting>
  <conditionalFormatting sqref="F1318">
    <cfRule type="cellIs" dxfId="831" priority="72" operator="greaterThan">
      <formula>0</formula>
    </cfRule>
  </conditionalFormatting>
  <conditionalFormatting sqref="F1318">
    <cfRule type="cellIs" dxfId="830" priority="71" operator="greaterThan">
      <formula>0</formula>
    </cfRule>
  </conditionalFormatting>
  <conditionalFormatting sqref="F1317">
    <cfRule type="cellIs" dxfId="829" priority="70" operator="greaterThan">
      <formula>0</formula>
    </cfRule>
  </conditionalFormatting>
  <conditionalFormatting sqref="F1317">
    <cfRule type="cellIs" dxfId="828" priority="69" operator="greaterThan">
      <formula>0</formula>
    </cfRule>
  </conditionalFormatting>
  <conditionalFormatting sqref="F1323">
    <cfRule type="cellIs" dxfId="827" priority="68" operator="greaterThan">
      <formula>0</formula>
    </cfRule>
  </conditionalFormatting>
  <conditionalFormatting sqref="F1323">
    <cfRule type="cellIs" dxfId="826" priority="67" operator="greaterThan">
      <formula>0</formula>
    </cfRule>
  </conditionalFormatting>
  <conditionalFormatting sqref="F1311">
    <cfRule type="cellIs" dxfId="825" priority="66" operator="greaterThan">
      <formula>0</formula>
    </cfRule>
  </conditionalFormatting>
  <conditionalFormatting sqref="F1311">
    <cfRule type="cellIs" dxfId="824" priority="65" operator="greaterThan">
      <formula>0</formula>
    </cfRule>
  </conditionalFormatting>
  <conditionalFormatting sqref="F1314">
    <cfRule type="cellIs" dxfId="823" priority="64" operator="greaterThan">
      <formula>0</formula>
    </cfRule>
  </conditionalFormatting>
  <conditionalFormatting sqref="F1314">
    <cfRule type="cellIs" dxfId="822" priority="63" operator="greaterThan">
      <formula>0</formula>
    </cfRule>
  </conditionalFormatting>
  <conditionalFormatting sqref="F1325">
    <cfRule type="cellIs" dxfId="821" priority="62" operator="greaterThan">
      <formula>0</formula>
    </cfRule>
  </conditionalFormatting>
  <conditionalFormatting sqref="F1325">
    <cfRule type="cellIs" dxfId="820" priority="61" operator="greaterThan">
      <formula>0</formula>
    </cfRule>
  </conditionalFormatting>
  <conditionalFormatting sqref="E1326">
    <cfRule type="cellIs" dxfId="819" priority="60" operator="greaterThan">
      <formula>0</formula>
    </cfRule>
  </conditionalFormatting>
  <conditionalFormatting sqref="E1326">
    <cfRule type="cellIs" dxfId="818" priority="59" operator="greaterThan">
      <formula>0</formula>
    </cfRule>
  </conditionalFormatting>
  <conditionalFormatting sqref="E1330">
    <cfRule type="cellIs" dxfId="817" priority="58" operator="greaterThan">
      <formula>0</formula>
    </cfRule>
  </conditionalFormatting>
  <conditionalFormatting sqref="E1330">
    <cfRule type="cellIs" dxfId="816" priority="57" operator="greaterThan">
      <formula>0</formula>
    </cfRule>
  </conditionalFormatting>
  <conditionalFormatting sqref="E1336">
    <cfRule type="cellIs" dxfId="815" priority="56" operator="greaterThan">
      <formula>0</formula>
    </cfRule>
  </conditionalFormatting>
  <conditionalFormatting sqref="E1336">
    <cfRule type="cellIs" dxfId="814" priority="55" operator="greaterThan">
      <formula>0</formula>
    </cfRule>
  </conditionalFormatting>
  <conditionalFormatting sqref="E1340">
    <cfRule type="cellIs" dxfId="813" priority="54" operator="greaterThan">
      <formula>0</formula>
    </cfRule>
  </conditionalFormatting>
  <conditionalFormatting sqref="E1340">
    <cfRule type="cellIs" dxfId="812" priority="53" operator="greaterThan">
      <formula>0</formula>
    </cfRule>
  </conditionalFormatting>
  <conditionalFormatting sqref="E1348">
    <cfRule type="cellIs" dxfId="811" priority="52" operator="greaterThan">
      <formula>0</formula>
    </cfRule>
  </conditionalFormatting>
  <conditionalFormatting sqref="E1348">
    <cfRule type="cellIs" dxfId="810" priority="51" operator="greaterThan">
      <formula>0</formula>
    </cfRule>
  </conditionalFormatting>
  <conditionalFormatting sqref="F1327">
    <cfRule type="cellIs" dxfId="809" priority="50" operator="greaterThan">
      <formula>0</formula>
    </cfRule>
  </conditionalFormatting>
  <conditionalFormatting sqref="F1327">
    <cfRule type="cellIs" dxfId="808" priority="49" operator="greaterThan">
      <formula>0</formula>
    </cfRule>
  </conditionalFormatting>
  <conditionalFormatting sqref="F1334">
    <cfRule type="cellIs" dxfId="807" priority="48" operator="greaterThan">
      <formula>0</formula>
    </cfRule>
  </conditionalFormatting>
  <conditionalFormatting sqref="F1334">
    <cfRule type="cellIs" dxfId="806" priority="47" operator="greaterThan">
      <formula>0</formula>
    </cfRule>
  </conditionalFormatting>
  <conditionalFormatting sqref="F1349">
    <cfRule type="cellIs" dxfId="805" priority="46" operator="greaterThan">
      <formula>0</formula>
    </cfRule>
  </conditionalFormatting>
  <conditionalFormatting sqref="F1349">
    <cfRule type="cellIs" dxfId="804" priority="45" operator="greaterThan">
      <formula>0</formula>
    </cfRule>
  </conditionalFormatting>
  <conditionalFormatting sqref="F1328">
    <cfRule type="cellIs" dxfId="803" priority="43" operator="greaterThan">
      <formula>0</formula>
    </cfRule>
  </conditionalFormatting>
  <conditionalFormatting sqref="F1328">
    <cfRule type="cellIs" dxfId="802" priority="44" operator="greaterThan">
      <formula>0</formula>
    </cfRule>
  </conditionalFormatting>
  <conditionalFormatting sqref="F1329">
    <cfRule type="cellIs" dxfId="801" priority="41" operator="greaterThan">
      <formula>0</formula>
    </cfRule>
  </conditionalFormatting>
  <conditionalFormatting sqref="F1329">
    <cfRule type="cellIs" dxfId="800" priority="42" operator="greaterThan">
      <formula>0</formula>
    </cfRule>
  </conditionalFormatting>
  <conditionalFormatting sqref="F1331">
    <cfRule type="cellIs" dxfId="799" priority="39" operator="greaterThan">
      <formula>0</formula>
    </cfRule>
  </conditionalFormatting>
  <conditionalFormatting sqref="F1331">
    <cfRule type="cellIs" dxfId="798" priority="40" operator="greaterThan">
      <formula>0</formula>
    </cfRule>
  </conditionalFormatting>
  <conditionalFormatting sqref="F1335">
    <cfRule type="cellIs" dxfId="797" priority="37" operator="greaterThan">
      <formula>0</formula>
    </cfRule>
  </conditionalFormatting>
  <conditionalFormatting sqref="F1335">
    <cfRule type="cellIs" dxfId="796" priority="38" operator="greaterThan">
      <formula>0</formula>
    </cfRule>
  </conditionalFormatting>
  <conditionalFormatting sqref="F1337">
    <cfRule type="cellIs" dxfId="795" priority="35" operator="greaterThan">
      <formula>0</formula>
    </cfRule>
  </conditionalFormatting>
  <conditionalFormatting sqref="F1337">
    <cfRule type="cellIs" dxfId="794" priority="36" operator="greaterThan">
      <formula>0</formula>
    </cfRule>
  </conditionalFormatting>
  <conditionalFormatting sqref="F1342">
    <cfRule type="cellIs" dxfId="793" priority="33" operator="greaterThan">
      <formula>0</formula>
    </cfRule>
  </conditionalFormatting>
  <conditionalFormatting sqref="F1342">
    <cfRule type="cellIs" dxfId="792" priority="34" operator="greaterThan">
      <formula>0</formula>
    </cfRule>
  </conditionalFormatting>
  <conditionalFormatting sqref="F1343:F1344">
    <cfRule type="cellIs" dxfId="791" priority="31" operator="greaterThan">
      <formula>0</formula>
    </cfRule>
  </conditionalFormatting>
  <conditionalFormatting sqref="F1343:F1344">
    <cfRule type="cellIs" dxfId="790" priority="32" operator="greaterThan">
      <formula>0</formula>
    </cfRule>
  </conditionalFormatting>
  <conditionalFormatting sqref="F1345">
    <cfRule type="cellIs" dxfId="789" priority="29" operator="greaterThan">
      <formula>0</formula>
    </cfRule>
  </conditionalFormatting>
  <conditionalFormatting sqref="F1345">
    <cfRule type="cellIs" dxfId="788" priority="30" operator="greaterThan">
      <formula>0</formula>
    </cfRule>
  </conditionalFormatting>
  <conditionalFormatting sqref="F1333">
    <cfRule type="cellIs" dxfId="787" priority="28" operator="greaterThan">
      <formula>0</formula>
    </cfRule>
  </conditionalFormatting>
  <conditionalFormatting sqref="F1333">
    <cfRule type="cellIs" dxfId="786" priority="27" operator="greaterThan">
      <formula>0</formula>
    </cfRule>
  </conditionalFormatting>
  <conditionalFormatting sqref="F1332">
    <cfRule type="cellIs" dxfId="785" priority="26" operator="greaterThan">
      <formula>0</formula>
    </cfRule>
  </conditionalFormatting>
  <conditionalFormatting sqref="F1339">
    <cfRule type="cellIs" dxfId="784" priority="24" operator="greaterThan">
      <formula>0</formula>
    </cfRule>
  </conditionalFormatting>
  <conditionalFormatting sqref="F1339">
    <cfRule type="cellIs" dxfId="783" priority="25" operator="greaterThan">
      <formula>0</formula>
    </cfRule>
  </conditionalFormatting>
  <conditionalFormatting sqref="F1341">
    <cfRule type="cellIs" dxfId="782" priority="22" operator="greaterThan">
      <formula>0</formula>
    </cfRule>
  </conditionalFormatting>
  <conditionalFormatting sqref="F1341">
    <cfRule type="cellIs" dxfId="781" priority="23" operator="greaterThan">
      <formula>0</formula>
    </cfRule>
  </conditionalFormatting>
  <conditionalFormatting sqref="F1346">
    <cfRule type="cellIs" dxfId="780" priority="20" operator="greaterThan">
      <formula>0</formula>
    </cfRule>
  </conditionalFormatting>
  <conditionalFormatting sqref="F1346">
    <cfRule type="cellIs" dxfId="779" priority="21" operator="greaterThan">
      <formula>0</formula>
    </cfRule>
  </conditionalFormatting>
  <conditionalFormatting sqref="F1347">
    <cfRule type="cellIs" dxfId="778" priority="19" operator="greaterThan">
      <formula>0</formula>
    </cfRule>
  </conditionalFormatting>
  <conditionalFormatting sqref="F1347">
    <cfRule type="cellIs" dxfId="777" priority="18" operator="greaterThan">
      <formula>0</formula>
    </cfRule>
  </conditionalFormatting>
  <conditionalFormatting sqref="F1338">
    <cfRule type="cellIs" dxfId="776" priority="16" operator="greaterThan">
      <formula>0</formula>
    </cfRule>
  </conditionalFormatting>
  <conditionalFormatting sqref="F1338">
    <cfRule type="cellIs" dxfId="775" priority="17" operator="greaterThan">
      <formula>0</formula>
    </cfRule>
  </conditionalFormatting>
  <conditionalFormatting sqref="E1350">
    <cfRule type="cellIs" dxfId="774" priority="15" operator="greaterThan">
      <formula>0</formula>
    </cfRule>
  </conditionalFormatting>
  <conditionalFormatting sqref="E1350">
    <cfRule type="cellIs" dxfId="773" priority="14" operator="greaterThan">
      <formula>0</formula>
    </cfRule>
  </conditionalFormatting>
  <conditionalFormatting sqref="E1352">
    <cfRule type="cellIs" dxfId="772" priority="13" operator="greaterThan">
      <formula>0</formula>
    </cfRule>
  </conditionalFormatting>
  <conditionalFormatting sqref="E1352">
    <cfRule type="cellIs" dxfId="771" priority="12" operator="greaterThan">
      <formula>0</formula>
    </cfRule>
  </conditionalFormatting>
  <conditionalFormatting sqref="F1351">
    <cfRule type="cellIs" dxfId="770" priority="10" operator="greaterThan">
      <formula>0</formula>
    </cfRule>
  </conditionalFormatting>
  <conditionalFormatting sqref="F1351">
    <cfRule type="cellIs" dxfId="769" priority="11" operator="greaterThan">
      <formula>0</formula>
    </cfRule>
  </conditionalFormatting>
  <conditionalFormatting sqref="F1353">
    <cfRule type="cellIs" dxfId="768" priority="8" operator="greaterThan">
      <formula>0</formula>
    </cfRule>
  </conditionalFormatting>
  <conditionalFormatting sqref="F1353">
    <cfRule type="cellIs" dxfId="767" priority="9" operator="greaterThan">
      <formula>0</formula>
    </cfRule>
  </conditionalFormatting>
  <conditionalFormatting sqref="F1357">
    <cfRule type="cellIs" dxfId="766" priority="6" operator="greaterThan">
      <formula>0</formula>
    </cfRule>
  </conditionalFormatting>
  <conditionalFormatting sqref="F1357">
    <cfRule type="cellIs" dxfId="765" priority="7" operator="greaterThan">
      <formula>0</formula>
    </cfRule>
  </conditionalFormatting>
  <conditionalFormatting sqref="F1358">
    <cfRule type="cellIs" dxfId="764" priority="5" operator="greaterThan">
      <formula>0</formula>
    </cfRule>
  </conditionalFormatting>
  <conditionalFormatting sqref="F1356">
    <cfRule type="cellIs" dxfId="763" priority="4" operator="greaterThan">
      <formula>0</formula>
    </cfRule>
  </conditionalFormatting>
  <conditionalFormatting sqref="F1356">
    <cfRule type="cellIs" dxfId="762" priority="3" operator="greaterThan">
      <formula>0</formula>
    </cfRule>
  </conditionalFormatting>
  <conditionalFormatting sqref="F1355">
    <cfRule type="cellIs" dxfId="761" priority="2" operator="greaterThan">
      <formula>0</formula>
    </cfRule>
  </conditionalFormatting>
  <conditionalFormatting sqref="F1354">
    <cfRule type="cellIs" dxfId="760" priority="1" operator="greaterThan">
      <formula>0</formula>
    </cfRule>
  </conditionalFormatting>
  <printOptions horizontalCentered="1"/>
  <pageMargins left="0.7" right="0.37" top="0.75" bottom="0.63" header="0.3" footer="0.3"/>
  <pageSetup paperSize="9" orientation="portrait" horizontalDpi="300" verticalDpi="300" r:id="rId2"/>
  <headerFooter>
    <oddFooter>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24"/>
  <sheetViews>
    <sheetView view="pageBreakPreview" topLeftCell="A127" zoomScaleNormal="100" zoomScaleSheetLayoutView="100" workbookViewId="0">
      <selection activeCell="E221" sqref="E221"/>
    </sheetView>
  </sheetViews>
  <sheetFormatPr defaultColWidth="9.109375" defaultRowHeight="14.4" x14ac:dyDescent="0.3"/>
  <cols>
    <col min="1" max="1" width="8.88671875" style="119" customWidth="1"/>
    <col min="2" max="2" width="13.109375" style="136" customWidth="1"/>
    <col min="3" max="3" width="29.88671875" style="119" customWidth="1"/>
    <col min="4" max="4" width="16.33203125" style="137" customWidth="1"/>
    <col min="5" max="6" width="11.6640625" style="137" customWidth="1"/>
    <col min="7" max="7" width="9.109375" style="118"/>
    <col min="8" max="16384" width="9.109375" style="119"/>
  </cols>
  <sheetData>
    <row r="1" spans="1:6" ht="18" x14ac:dyDescent="0.35">
      <c r="A1" s="135" t="s">
        <v>0</v>
      </c>
    </row>
    <row r="2" spans="1:6" ht="18" x14ac:dyDescent="0.35">
      <c r="A2" s="135" t="s">
        <v>1534</v>
      </c>
      <c r="B2" s="138"/>
      <c r="C2" s="122"/>
      <c r="D2" s="139"/>
    </row>
    <row r="3" spans="1:6" ht="31.2" x14ac:dyDescent="0.3">
      <c r="A3" s="123" t="s">
        <v>1750</v>
      </c>
      <c r="B3" s="124" t="s">
        <v>2</v>
      </c>
      <c r="C3" s="123" t="s">
        <v>3</v>
      </c>
      <c r="D3" s="125" t="s">
        <v>267</v>
      </c>
      <c r="E3" s="140" t="s">
        <v>1148</v>
      </c>
      <c r="F3" s="140" t="s">
        <v>1455</v>
      </c>
    </row>
    <row r="4" spans="1:6" ht="15.6" hidden="1" x14ac:dyDescent="0.3">
      <c r="A4" s="127">
        <v>1</v>
      </c>
      <c r="B4" s="128">
        <v>43160</v>
      </c>
      <c r="C4" s="129" t="s">
        <v>8</v>
      </c>
      <c r="D4" s="129" t="s">
        <v>1516</v>
      </c>
      <c r="E4" s="141"/>
      <c r="F4" s="141"/>
    </row>
    <row r="5" spans="1:6" ht="15.6" hidden="1" x14ac:dyDescent="0.3">
      <c r="A5" s="127">
        <v>2</v>
      </c>
      <c r="B5" s="128">
        <v>43160</v>
      </c>
      <c r="C5" s="129" t="s">
        <v>1140</v>
      </c>
      <c r="D5" s="129" t="s">
        <v>1516</v>
      </c>
      <c r="E5" s="141"/>
      <c r="F5" s="141"/>
    </row>
    <row r="6" spans="1:6" ht="15.6" hidden="1" x14ac:dyDescent="0.3">
      <c r="A6" s="127">
        <v>3</v>
      </c>
      <c r="B6" s="128">
        <v>43160</v>
      </c>
      <c r="C6" s="129" t="s">
        <v>11</v>
      </c>
      <c r="D6" s="129" t="s">
        <v>1516</v>
      </c>
      <c r="E6" s="141"/>
      <c r="F6" s="141"/>
    </row>
    <row r="7" spans="1:6" ht="15.6" hidden="1" x14ac:dyDescent="0.3">
      <c r="A7" s="127">
        <v>4</v>
      </c>
      <c r="B7" s="128">
        <v>43160</v>
      </c>
      <c r="C7" s="129" t="s">
        <v>1143</v>
      </c>
      <c r="D7" s="129" t="s">
        <v>1517</v>
      </c>
      <c r="E7" s="141"/>
      <c r="F7" s="141"/>
    </row>
    <row r="8" spans="1:6" ht="15.6" x14ac:dyDescent="0.3">
      <c r="A8" s="127">
        <v>5</v>
      </c>
      <c r="B8" s="128">
        <v>43160</v>
      </c>
      <c r="C8" s="129" t="s">
        <v>1737</v>
      </c>
      <c r="D8" s="129" t="s">
        <v>1516</v>
      </c>
      <c r="E8" s="141"/>
      <c r="F8" s="141">
        <v>43050</v>
      </c>
    </row>
    <row r="9" spans="1:6" ht="15.6" x14ac:dyDescent="0.3">
      <c r="A9" s="127">
        <v>7</v>
      </c>
      <c r="B9" s="128">
        <v>43180</v>
      </c>
      <c r="C9" s="129" t="s">
        <v>1147</v>
      </c>
      <c r="D9" s="129" t="s">
        <v>1535</v>
      </c>
      <c r="E9" s="141">
        <v>134700</v>
      </c>
      <c r="F9" s="141"/>
    </row>
    <row r="10" spans="1:6" ht="15.6" x14ac:dyDescent="0.3">
      <c r="A10" s="127">
        <v>8</v>
      </c>
      <c r="B10" s="131">
        <v>43189</v>
      </c>
      <c r="C10" s="132" t="s">
        <v>1740</v>
      </c>
      <c r="D10" s="132" t="s">
        <v>1471</v>
      </c>
      <c r="E10" s="141"/>
      <c r="F10" s="141">
        <v>200000</v>
      </c>
    </row>
    <row r="11" spans="1:6" ht="15.6" x14ac:dyDescent="0.3">
      <c r="A11" s="127">
        <v>9</v>
      </c>
      <c r="B11" s="128">
        <v>43191</v>
      </c>
      <c r="C11" s="129" t="s">
        <v>1150</v>
      </c>
      <c r="D11" s="129" t="s">
        <v>1519</v>
      </c>
      <c r="E11" s="141"/>
      <c r="F11" s="141">
        <v>100000</v>
      </c>
    </row>
    <row r="12" spans="1:6" ht="15.6" x14ac:dyDescent="0.3">
      <c r="A12" s="127">
        <v>10</v>
      </c>
      <c r="B12" s="128">
        <v>43191</v>
      </c>
      <c r="C12" s="129" t="s">
        <v>1152</v>
      </c>
      <c r="D12" s="129" t="s">
        <v>1519</v>
      </c>
      <c r="E12" s="141"/>
      <c r="F12" s="141">
        <v>54800</v>
      </c>
    </row>
    <row r="13" spans="1:6" ht="15.6" x14ac:dyDescent="0.3">
      <c r="A13" s="127">
        <v>11</v>
      </c>
      <c r="B13" s="128">
        <v>43191</v>
      </c>
      <c r="C13" s="129" t="s">
        <v>1154</v>
      </c>
      <c r="D13" s="129" t="s">
        <v>1519</v>
      </c>
      <c r="E13" s="141"/>
      <c r="F13" s="141">
        <v>8000</v>
      </c>
    </row>
    <row r="14" spans="1:6" ht="15.6" x14ac:dyDescent="0.3">
      <c r="A14" s="127">
        <v>12</v>
      </c>
      <c r="B14" s="128">
        <v>43191</v>
      </c>
      <c r="C14" s="129" t="s">
        <v>1154</v>
      </c>
      <c r="D14" s="129" t="s">
        <v>1519</v>
      </c>
      <c r="E14" s="141"/>
      <c r="F14" s="141">
        <v>1500</v>
      </c>
    </row>
    <row r="15" spans="1:6" ht="15.6" x14ac:dyDescent="0.3">
      <c r="A15" s="127">
        <v>13</v>
      </c>
      <c r="B15" s="128">
        <v>43191</v>
      </c>
      <c r="C15" s="129" t="s">
        <v>1154</v>
      </c>
      <c r="D15" s="129" t="s">
        <v>1519</v>
      </c>
      <c r="E15" s="141"/>
      <c r="F15" s="141">
        <v>2500</v>
      </c>
    </row>
    <row r="16" spans="1:6" ht="15.6" x14ac:dyDescent="0.3">
      <c r="A16" s="127">
        <v>14</v>
      </c>
      <c r="B16" s="128">
        <v>43191</v>
      </c>
      <c r="C16" s="132" t="s">
        <v>1501</v>
      </c>
      <c r="D16" s="132" t="s">
        <v>1519</v>
      </c>
      <c r="E16" s="141"/>
      <c r="F16" s="141">
        <v>22000</v>
      </c>
    </row>
    <row r="17" spans="1:6" ht="15.6" x14ac:dyDescent="0.3">
      <c r="A17" s="127">
        <v>15</v>
      </c>
      <c r="B17" s="128">
        <v>43191</v>
      </c>
      <c r="C17" s="129" t="s">
        <v>1161</v>
      </c>
      <c r="D17" s="129" t="s">
        <v>1521</v>
      </c>
      <c r="E17" s="141"/>
      <c r="F17" s="141">
        <v>2500</v>
      </c>
    </row>
    <row r="18" spans="1:6" ht="15.6" x14ac:dyDescent="0.3">
      <c r="A18" s="127">
        <v>16</v>
      </c>
      <c r="B18" s="128">
        <v>43191</v>
      </c>
      <c r="C18" s="129" t="s">
        <v>1163</v>
      </c>
      <c r="D18" s="129" t="s">
        <v>1521</v>
      </c>
      <c r="E18" s="141"/>
      <c r="F18" s="141">
        <v>200</v>
      </c>
    </row>
    <row r="19" spans="1:6" ht="15.6" x14ac:dyDescent="0.3">
      <c r="A19" s="127">
        <v>17</v>
      </c>
      <c r="B19" s="128">
        <v>43191</v>
      </c>
      <c r="C19" s="129" t="s">
        <v>1165</v>
      </c>
      <c r="D19" s="129" t="s">
        <v>1521</v>
      </c>
      <c r="E19" s="141"/>
      <c r="F19" s="141">
        <v>4500</v>
      </c>
    </row>
    <row r="20" spans="1:6" ht="15.6" x14ac:dyDescent="0.3">
      <c r="A20" s="127">
        <v>18</v>
      </c>
      <c r="B20" s="128">
        <v>43191</v>
      </c>
      <c r="C20" s="129" t="s">
        <v>1167</v>
      </c>
      <c r="D20" s="129" t="s">
        <v>1521</v>
      </c>
      <c r="E20" s="141"/>
      <c r="F20" s="141">
        <v>500</v>
      </c>
    </row>
    <row r="21" spans="1:6" ht="15.6" x14ac:dyDescent="0.3">
      <c r="A21" s="127">
        <v>19</v>
      </c>
      <c r="B21" s="128">
        <v>43191</v>
      </c>
      <c r="C21" s="129" t="s">
        <v>1169</v>
      </c>
      <c r="D21" s="129" t="s">
        <v>1521</v>
      </c>
      <c r="E21" s="141"/>
      <c r="F21" s="141">
        <v>500</v>
      </c>
    </row>
    <row r="22" spans="1:6" ht="15.6" x14ac:dyDescent="0.3">
      <c r="A22" s="127">
        <v>20</v>
      </c>
      <c r="B22" s="128">
        <v>43191</v>
      </c>
      <c r="C22" s="129" t="s">
        <v>1171</v>
      </c>
      <c r="D22" s="129" t="s">
        <v>1521</v>
      </c>
      <c r="E22" s="141"/>
      <c r="F22" s="141">
        <v>3380</v>
      </c>
    </row>
    <row r="23" spans="1:6" ht="15.6" x14ac:dyDescent="0.3">
      <c r="A23" s="127">
        <v>21</v>
      </c>
      <c r="B23" s="128">
        <v>43191</v>
      </c>
      <c r="C23" s="129" t="s">
        <v>1173</v>
      </c>
      <c r="D23" s="129" t="s">
        <v>1521</v>
      </c>
      <c r="E23" s="141"/>
      <c r="F23" s="141">
        <v>200</v>
      </c>
    </row>
    <row r="24" spans="1:6" ht="15.6" x14ac:dyDescent="0.3">
      <c r="A24" s="127">
        <v>22</v>
      </c>
      <c r="B24" s="128">
        <v>43191</v>
      </c>
      <c r="C24" s="129" t="s">
        <v>1175</v>
      </c>
      <c r="D24" s="129" t="s">
        <v>1521</v>
      </c>
      <c r="E24" s="141"/>
      <c r="F24" s="141">
        <v>2200</v>
      </c>
    </row>
    <row r="25" spans="1:6" ht="15.6" x14ac:dyDescent="0.3">
      <c r="A25" s="127">
        <v>23</v>
      </c>
      <c r="B25" s="128">
        <v>43191</v>
      </c>
      <c r="C25" s="129" t="s">
        <v>1163</v>
      </c>
      <c r="D25" s="129" t="s">
        <v>1521</v>
      </c>
      <c r="E25" s="141"/>
      <c r="F25" s="141">
        <v>300</v>
      </c>
    </row>
    <row r="26" spans="1:6" ht="15.6" x14ac:dyDescent="0.3">
      <c r="A26" s="127">
        <v>24</v>
      </c>
      <c r="B26" s="128">
        <v>43191</v>
      </c>
      <c r="C26" s="129" t="s">
        <v>1178</v>
      </c>
      <c r="D26" s="129" t="s">
        <v>1521</v>
      </c>
      <c r="E26" s="141"/>
      <c r="F26" s="141">
        <v>1210</v>
      </c>
    </row>
    <row r="27" spans="1:6" ht="15.6" x14ac:dyDescent="0.3">
      <c r="A27" s="127">
        <v>25</v>
      </c>
      <c r="B27" s="128">
        <v>43191</v>
      </c>
      <c r="C27" s="129" t="s">
        <v>139</v>
      </c>
      <c r="D27" s="129" t="s">
        <v>1521</v>
      </c>
      <c r="E27" s="141"/>
      <c r="F27" s="141">
        <v>300</v>
      </c>
    </row>
    <row r="28" spans="1:6" ht="15.6" x14ac:dyDescent="0.3">
      <c r="A28" s="127">
        <v>26</v>
      </c>
      <c r="B28" s="128">
        <v>43191</v>
      </c>
      <c r="C28" s="129" t="s">
        <v>1181</v>
      </c>
      <c r="D28" s="129" t="s">
        <v>1521</v>
      </c>
      <c r="E28" s="141"/>
      <c r="F28" s="141">
        <v>85</v>
      </c>
    </row>
    <row r="29" spans="1:6" ht="15.6" x14ac:dyDescent="0.3">
      <c r="A29" s="127">
        <v>27</v>
      </c>
      <c r="B29" s="128">
        <v>43191</v>
      </c>
      <c r="C29" s="129" t="s">
        <v>1183</v>
      </c>
      <c r="D29" s="129" t="s">
        <v>1521</v>
      </c>
      <c r="E29" s="141"/>
      <c r="F29" s="141">
        <v>30</v>
      </c>
    </row>
    <row r="30" spans="1:6" ht="15.6" x14ac:dyDescent="0.3">
      <c r="A30" s="127">
        <v>28</v>
      </c>
      <c r="B30" s="128">
        <v>43191</v>
      </c>
      <c r="C30" s="129" t="s">
        <v>1185</v>
      </c>
      <c r="D30" s="129" t="s">
        <v>1521</v>
      </c>
      <c r="E30" s="141"/>
      <c r="F30" s="141">
        <v>450</v>
      </c>
    </row>
    <row r="31" spans="1:6" ht="15.6" x14ac:dyDescent="0.3">
      <c r="A31" s="127">
        <v>29</v>
      </c>
      <c r="B31" s="128">
        <v>43191</v>
      </c>
      <c r="C31" s="129" t="s">
        <v>62</v>
      </c>
      <c r="D31" s="129" t="s">
        <v>1521</v>
      </c>
      <c r="E31" s="141"/>
      <c r="F31" s="141">
        <v>300</v>
      </c>
    </row>
    <row r="32" spans="1:6" ht="15.6" x14ac:dyDescent="0.3">
      <c r="A32" s="127">
        <v>30</v>
      </c>
      <c r="B32" s="128">
        <v>43191</v>
      </c>
      <c r="C32" s="129" t="s">
        <v>1188</v>
      </c>
      <c r="D32" s="129" t="s">
        <v>1521</v>
      </c>
      <c r="E32" s="141"/>
      <c r="F32" s="141">
        <v>600</v>
      </c>
    </row>
    <row r="33" spans="1:6" ht="15.6" x14ac:dyDescent="0.3">
      <c r="A33" s="127">
        <v>31</v>
      </c>
      <c r="B33" s="128">
        <v>43191</v>
      </c>
      <c r="C33" s="129" t="s">
        <v>1190</v>
      </c>
      <c r="D33" s="129" t="s">
        <v>1521</v>
      </c>
      <c r="E33" s="141"/>
      <c r="F33" s="141">
        <v>340</v>
      </c>
    </row>
    <row r="34" spans="1:6" ht="15.6" x14ac:dyDescent="0.3">
      <c r="A34" s="127">
        <v>32</v>
      </c>
      <c r="B34" s="128">
        <v>43191</v>
      </c>
      <c r="C34" s="129" t="s">
        <v>1192</v>
      </c>
      <c r="D34" s="129" t="s">
        <v>1521</v>
      </c>
      <c r="E34" s="141"/>
      <c r="F34" s="141">
        <v>60</v>
      </c>
    </row>
    <row r="35" spans="1:6" ht="15.6" x14ac:dyDescent="0.3">
      <c r="A35" s="127">
        <v>33</v>
      </c>
      <c r="B35" s="128">
        <v>43191</v>
      </c>
      <c r="C35" s="129" t="s">
        <v>1194</v>
      </c>
      <c r="D35" s="129" t="s">
        <v>1521</v>
      </c>
      <c r="E35" s="141"/>
      <c r="F35" s="141">
        <v>510</v>
      </c>
    </row>
    <row r="36" spans="1:6" ht="15.6" x14ac:dyDescent="0.3">
      <c r="A36" s="127">
        <v>34</v>
      </c>
      <c r="B36" s="128">
        <v>43191</v>
      </c>
      <c r="C36" s="129" t="s">
        <v>1196</v>
      </c>
      <c r="D36" s="129" t="s">
        <v>1521</v>
      </c>
      <c r="E36" s="141"/>
      <c r="F36" s="141">
        <v>340</v>
      </c>
    </row>
    <row r="37" spans="1:6" ht="15.6" x14ac:dyDescent="0.3">
      <c r="A37" s="127">
        <v>35</v>
      </c>
      <c r="B37" s="128">
        <v>43191</v>
      </c>
      <c r="C37" s="129" t="s">
        <v>1198</v>
      </c>
      <c r="D37" s="129" t="s">
        <v>1521</v>
      </c>
      <c r="E37" s="141"/>
      <c r="F37" s="141">
        <v>330</v>
      </c>
    </row>
    <row r="38" spans="1:6" ht="15.6" hidden="1" x14ac:dyDescent="0.3">
      <c r="A38" s="127">
        <v>36</v>
      </c>
      <c r="B38" s="128">
        <v>43191</v>
      </c>
      <c r="C38" s="129" t="s">
        <v>1140</v>
      </c>
      <c r="D38" s="129" t="s">
        <v>1516</v>
      </c>
      <c r="E38" s="141"/>
      <c r="F38" s="141"/>
    </row>
    <row r="39" spans="1:6" ht="15.6" hidden="1" x14ac:dyDescent="0.3">
      <c r="A39" s="127">
        <v>37</v>
      </c>
      <c r="B39" s="128">
        <v>43191</v>
      </c>
      <c r="C39" s="129" t="s">
        <v>1727</v>
      </c>
      <c r="D39" s="129" t="s">
        <v>1516</v>
      </c>
      <c r="E39" s="141"/>
      <c r="F39" s="141"/>
    </row>
    <row r="40" spans="1:6" ht="15.6" hidden="1" x14ac:dyDescent="0.3">
      <c r="A40" s="127">
        <v>38</v>
      </c>
      <c r="B40" s="128">
        <v>43191</v>
      </c>
      <c r="C40" s="129" t="s">
        <v>8</v>
      </c>
      <c r="D40" s="129" t="s">
        <v>1516</v>
      </c>
      <c r="E40" s="141"/>
      <c r="F40" s="141"/>
    </row>
    <row r="41" spans="1:6" ht="15.6" hidden="1" x14ac:dyDescent="0.3">
      <c r="A41" s="127">
        <v>39</v>
      </c>
      <c r="B41" s="128">
        <v>43191</v>
      </c>
      <c r="C41" s="129" t="s">
        <v>11</v>
      </c>
      <c r="D41" s="129" t="s">
        <v>1516</v>
      </c>
      <c r="E41" s="141"/>
      <c r="F41" s="141"/>
    </row>
    <row r="42" spans="1:6" ht="15.6" hidden="1" x14ac:dyDescent="0.3">
      <c r="A42" s="127">
        <v>40</v>
      </c>
      <c r="B42" s="128">
        <v>43191</v>
      </c>
      <c r="C42" s="129" t="s">
        <v>1205</v>
      </c>
      <c r="D42" s="129" t="s">
        <v>1516</v>
      </c>
      <c r="E42" s="141"/>
      <c r="F42" s="141"/>
    </row>
    <row r="43" spans="1:6" ht="15.6" hidden="1" x14ac:dyDescent="0.3">
      <c r="A43" s="127">
        <v>41</v>
      </c>
      <c r="B43" s="128">
        <v>43191</v>
      </c>
      <c r="C43" s="129" t="s">
        <v>9</v>
      </c>
      <c r="D43" s="129" t="s">
        <v>1516</v>
      </c>
      <c r="E43" s="141"/>
      <c r="F43" s="141"/>
    </row>
    <row r="44" spans="1:6" ht="15.6" hidden="1" x14ac:dyDescent="0.3">
      <c r="A44" s="127">
        <v>42</v>
      </c>
      <c r="B44" s="128">
        <v>43191</v>
      </c>
      <c r="C44" s="129" t="s">
        <v>1208</v>
      </c>
      <c r="D44" s="129" t="s">
        <v>1516</v>
      </c>
      <c r="E44" s="141"/>
      <c r="F44" s="141"/>
    </row>
    <row r="45" spans="1:6" ht="15.6" hidden="1" x14ac:dyDescent="0.3">
      <c r="A45" s="127">
        <v>43</v>
      </c>
      <c r="B45" s="128">
        <v>43191</v>
      </c>
      <c r="C45" s="129" t="s">
        <v>1210</v>
      </c>
      <c r="D45" s="129" t="s">
        <v>1516</v>
      </c>
      <c r="E45" s="141"/>
      <c r="F45" s="141"/>
    </row>
    <row r="46" spans="1:6" ht="15.6" hidden="1" x14ac:dyDescent="0.3">
      <c r="A46" s="127">
        <v>44</v>
      </c>
      <c r="B46" s="128">
        <v>43191</v>
      </c>
      <c r="C46" s="129" t="s">
        <v>1212</v>
      </c>
      <c r="D46" s="129" t="s">
        <v>1516</v>
      </c>
      <c r="E46" s="141"/>
      <c r="F46" s="141"/>
    </row>
    <row r="47" spans="1:6" ht="15.6" hidden="1" x14ac:dyDescent="0.3">
      <c r="A47" s="127">
        <v>45</v>
      </c>
      <c r="B47" s="128">
        <v>43191</v>
      </c>
      <c r="C47" s="129" t="s">
        <v>12</v>
      </c>
      <c r="D47" s="129" t="s">
        <v>1516</v>
      </c>
      <c r="E47" s="141"/>
      <c r="F47" s="141"/>
    </row>
    <row r="48" spans="1:6" ht="15.6" hidden="1" x14ac:dyDescent="0.3">
      <c r="A48" s="127">
        <v>46</v>
      </c>
      <c r="B48" s="128">
        <v>43191</v>
      </c>
      <c r="C48" s="129" t="s">
        <v>1215</v>
      </c>
      <c r="D48" s="129" t="s">
        <v>1516</v>
      </c>
      <c r="E48" s="141"/>
      <c r="F48" s="141"/>
    </row>
    <row r="49" spans="1:6" ht="15.6" hidden="1" x14ac:dyDescent="0.3">
      <c r="A49" s="127">
        <v>47</v>
      </c>
      <c r="B49" s="128">
        <v>43191</v>
      </c>
      <c r="C49" s="129" t="s">
        <v>1143</v>
      </c>
      <c r="D49" s="129" t="s">
        <v>1517</v>
      </c>
      <c r="E49" s="141"/>
      <c r="F49" s="141"/>
    </row>
    <row r="50" spans="1:6" ht="15.6" hidden="1" x14ac:dyDescent="0.3">
      <c r="A50" s="127">
        <v>48</v>
      </c>
      <c r="B50" s="128">
        <v>43191</v>
      </c>
      <c r="C50" s="129" t="s">
        <v>7</v>
      </c>
      <c r="D50" s="129" t="s">
        <v>1516</v>
      </c>
      <c r="E50" s="141"/>
      <c r="F50" s="141"/>
    </row>
    <row r="51" spans="1:6" ht="15.6" x14ac:dyDescent="0.3">
      <c r="A51" s="127">
        <v>49</v>
      </c>
      <c r="B51" s="128">
        <v>43191</v>
      </c>
      <c r="C51" s="129" t="s">
        <v>1219</v>
      </c>
      <c r="D51" s="129" t="s">
        <v>1516</v>
      </c>
      <c r="E51" s="141"/>
      <c r="F51" s="141">
        <v>135649</v>
      </c>
    </row>
    <row r="52" spans="1:6" ht="15.6" x14ac:dyDescent="0.3">
      <c r="A52" s="127">
        <v>50</v>
      </c>
      <c r="B52" s="131">
        <v>43191</v>
      </c>
      <c r="C52" s="132" t="s">
        <v>1510</v>
      </c>
      <c r="D52" s="132" t="s">
        <v>1530</v>
      </c>
      <c r="E52" s="141"/>
      <c r="F52" s="141">
        <v>22000</v>
      </c>
    </row>
    <row r="53" spans="1:6" ht="15.6" x14ac:dyDescent="0.3">
      <c r="A53" s="127">
        <v>51</v>
      </c>
      <c r="B53" s="131">
        <v>43196</v>
      </c>
      <c r="C53" s="132" t="s">
        <v>1505</v>
      </c>
      <c r="D53" s="132" t="s">
        <v>1471</v>
      </c>
      <c r="E53" s="141"/>
      <c r="F53" s="141">
        <v>400000</v>
      </c>
    </row>
    <row r="54" spans="1:6" ht="15.6" x14ac:dyDescent="0.3">
      <c r="A54" s="127">
        <v>52</v>
      </c>
      <c r="B54" s="131">
        <v>43196</v>
      </c>
      <c r="C54" s="132" t="s">
        <v>1697</v>
      </c>
      <c r="D54" s="132" t="s">
        <v>1522</v>
      </c>
      <c r="E54" s="168"/>
      <c r="F54" s="141">
        <v>100000</v>
      </c>
    </row>
    <row r="55" spans="1:6" ht="15.6" x14ac:dyDescent="0.3">
      <c r="A55" s="127">
        <v>54</v>
      </c>
      <c r="B55" s="128">
        <v>43201</v>
      </c>
      <c r="C55" s="129" t="s">
        <v>1221</v>
      </c>
      <c r="D55" s="129" t="s">
        <v>1520</v>
      </c>
      <c r="E55" s="141">
        <v>500000</v>
      </c>
      <c r="F55" s="141"/>
    </row>
    <row r="56" spans="1:6" ht="15.6" x14ac:dyDescent="0.3">
      <c r="A56" s="127">
        <v>55</v>
      </c>
      <c r="B56" s="128">
        <v>43204</v>
      </c>
      <c r="C56" s="129" t="s">
        <v>1223</v>
      </c>
      <c r="D56" s="129" t="s">
        <v>1520</v>
      </c>
      <c r="E56" s="141">
        <v>250000</v>
      </c>
      <c r="F56" s="141"/>
    </row>
    <row r="57" spans="1:6" ht="15.6" x14ac:dyDescent="0.3">
      <c r="A57" s="127">
        <v>56</v>
      </c>
      <c r="B57" s="128">
        <v>43204</v>
      </c>
      <c r="C57" s="129" t="s">
        <v>1225</v>
      </c>
      <c r="D57" s="129" t="s">
        <v>1521</v>
      </c>
      <c r="E57" s="141"/>
      <c r="F57" s="141">
        <v>2000</v>
      </c>
    </row>
    <row r="58" spans="1:6" ht="15.6" x14ac:dyDescent="0.3">
      <c r="A58" s="127">
        <v>57</v>
      </c>
      <c r="B58" s="131">
        <v>43204</v>
      </c>
      <c r="C58" s="132" t="s">
        <v>1473</v>
      </c>
      <c r="D58" s="132" t="s">
        <v>1471</v>
      </c>
      <c r="E58" s="141"/>
      <c r="F58" s="141">
        <v>150000</v>
      </c>
    </row>
    <row r="59" spans="1:6" ht="15.6" x14ac:dyDescent="0.3">
      <c r="A59" s="127">
        <v>58</v>
      </c>
      <c r="B59" s="131">
        <v>43204</v>
      </c>
      <c r="C59" s="132" t="s">
        <v>1490</v>
      </c>
      <c r="D59" s="132" t="s">
        <v>1523</v>
      </c>
      <c r="E59" s="168"/>
      <c r="F59" s="141">
        <v>23000</v>
      </c>
    </row>
    <row r="60" spans="1:6" ht="15.6" x14ac:dyDescent="0.3">
      <c r="A60" s="127">
        <v>59</v>
      </c>
      <c r="B60" s="131">
        <v>43204</v>
      </c>
      <c r="C60" s="132" t="s">
        <v>1503</v>
      </c>
      <c r="D60" s="132" t="s">
        <v>1530</v>
      </c>
      <c r="E60" s="141"/>
      <c r="F60" s="141">
        <v>120000</v>
      </c>
    </row>
    <row r="61" spans="1:6" ht="15.6" x14ac:dyDescent="0.3">
      <c r="A61" s="127">
        <v>60</v>
      </c>
      <c r="B61" s="131">
        <v>43206</v>
      </c>
      <c r="C61" s="132" t="s">
        <v>1495</v>
      </c>
      <c r="D61" s="132" t="s">
        <v>1522</v>
      </c>
      <c r="E61" s="168"/>
      <c r="F61" s="141">
        <v>100000</v>
      </c>
    </row>
    <row r="62" spans="1:6" ht="15.6" x14ac:dyDescent="0.3">
      <c r="A62" s="127">
        <v>61</v>
      </c>
      <c r="B62" s="128">
        <v>43208</v>
      </c>
      <c r="C62" s="129" t="s">
        <v>1227</v>
      </c>
      <c r="D62" s="129" t="s">
        <v>1520</v>
      </c>
      <c r="E62" s="141">
        <v>400000</v>
      </c>
      <c r="F62" s="141"/>
    </row>
    <row r="63" spans="1:6" ht="15.6" x14ac:dyDescent="0.3">
      <c r="A63" s="127">
        <v>62</v>
      </c>
      <c r="B63" s="131">
        <v>43208</v>
      </c>
      <c r="C63" s="132" t="s">
        <v>1474</v>
      </c>
      <c r="D63" s="132" t="s">
        <v>1471</v>
      </c>
      <c r="E63" s="141"/>
      <c r="F63" s="141">
        <v>150000</v>
      </c>
    </row>
    <row r="64" spans="1:6" ht="15.6" x14ac:dyDescent="0.3">
      <c r="A64" s="127">
        <v>63</v>
      </c>
      <c r="B64" s="131">
        <v>43208</v>
      </c>
      <c r="C64" s="132" t="s">
        <v>1506</v>
      </c>
      <c r="D64" s="132" t="s">
        <v>1471</v>
      </c>
      <c r="E64" s="141"/>
      <c r="F64" s="141">
        <v>150000</v>
      </c>
    </row>
    <row r="65" spans="1:6" ht="15.6" x14ac:dyDescent="0.3">
      <c r="A65" s="127">
        <v>64</v>
      </c>
      <c r="B65" s="131">
        <v>43208</v>
      </c>
      <c r="C65" s="129" t="s">
        <v>1476</v>
      </c>
      <c r="D65" s="129" t="s">
        <v>1471</v>
      </c>
      <c r="E65" s="141"/>
      <c r="F65" s="141">
        <v>50000</v>
      </c>
    </row>
    <row r="66" spans="1:6" ht="15.6" x14ac:dyDescent="0.3">
      <c r="A66" s="127">
        <v>65</v>
      </c>
      <c r="B66" s="128">
        <v>43209</v>
      </c>
      <c r="C66" s="129" t="s">
        <v>1229</v>
      </c>
      <c r="D66" s="129" t="s">
        <v>1520</v>
      </c>
      <c r="E66" s="141">
        <v>500000</v>
      </c>
      <c r="F66" s="141"/>
    </row>
    <row r="67" spans="1:6" ht="15.6" x14ac:dyDescent="0.3">
      <c r="A67" s="127">
        <v>66</v>
      </c>
      <c r="B67" s="131">
        <v>43209</v>
      </c>
      <c r="C67" s="132" t="s">
        <v>1490</v>
      </c>
      <c r="D67" s="132" t="s">
        <v>1523</v>
      </c>
      <c r="E67" s="168"/>
      <c r="F67" s="141">
        <v>200000</v>
      </c>
    </row>
    <row r="68" spans="1:6" ht="15.6" x14ac:dyDescent="0.3">
      <c r="A68" s="127">
        <v>67</v>
      </c>
      <c r="B68" s="131">
        <v>43210</v>
      </c>
      <c r="C68" s="132" t="s">
        <v>1491</v>
      </c>
      <c r="D68" s="132" t="s">
        <v>1523</v>
      </c>
      <c r="E68" s="168"/>
      <c r="F68" s="141">
        <v>300000</v>
      </c>
    </row>
    <row r="69" spans="1:6" ht="15.6" x14ac:dyDescent="0.3">
      <c r="A69" s="127">
        <v>68</v>
      </c>
      <c r="B69" s="131">
        <v>43210</v>
      </c>
      <c r="C69" s="132" t="s">
        <v>1496</v>
      </c>
      <c r="D69" s="132" t="s">
        <v>1522</v>
      </c>
      <c r="E69" s="168"/>
      <c r="F69" s="141">
        <v>50000</v>
      </c>
    </row>
    <row r="70" spans="1:6" ht="15.6" x14ac:dyDescent="0.3">
      <c r="A70" s="127">
        <v>69</v>
      </c>
      <c r="B70" s="128">
        <v>43213</v>
      </c>
      <c r="C70" s="129" t="s">
        <v>1231</v>
      </c>
      <c r="D70" s="129" t="s">
        <v>1520</v>
      </c>
      <c r="E70" s="141">
        <v>300000</v>
      </c>
      <c r="F70" s="141"/>
    </row>
    <row r="71" spans="1:6" ht="15.6" x14ac:dyDescent="0.3">
      <c r="A71" s="127">
        <v>70</v>
      </c>
      <c r="B71" s="131">
        <v>43213</v>
      </c>
      <c r="C71" s="132" t="s">
        <v>1492</v>
      </c>
      <c r="D71" s="132" t="s">
        <v>1523</v>
      </c>
      <c r="E71" s="168"/>
      <c r="F71" s="141">
        <v>200000</v>
      </c>
    </row>
    <row r="72" spans="1:6" ht="15.6" x14ac:dyDescent="0.3">
      <c r="A72" s="127">
        <v>71</v>
      </c>
      <c r="B72" s="131">
        <v>43213</v>
      </c>
      <c r="C72" s="132" t="s">
        <v>1511</v>
      </c>
      <c r="D72" s="132" t="s">
        <v>1530</v>
      </c>
      <c r="E72" s="141"/>
      <c r="F72" s="141">
        <v>35000</v>
      </c>
    </row>
    <row r="73" spans="1:6" ht="15.6" x14ac:dyDescent="0.3">
      <c r="A73" s="127">
        <v>72</v>
      </c>
      <c r="B73" s="131">
        <v>43216</v>
      </c>
      <c r="C73" s="132" t="s">
        <v>1475</v>
      </c>
      <c r="D73" s="132" t="s">
        <v>1471</v>
      </c>
      <c r="E73" s="141"/>
      <c r="F73" s="141">
        <v>50000</v>
      </c>
    </row>
    <row r="74" spans="1:6" ht="15.6" x14ac:dyDescent="0.3">
      <c r="A74" s="127">
        <v>73</v>
      </c>
      <c r="B74" s="131">
        <v>43216</v>
      </c>
      <c r="C74" s="129" t="s">
        <v>1472</v>
      </c>
      <c r="D74" s="129" t="s">
        <v>1471</v>
      </c>
      <c r="E74" s="141"/>
      <c r="F74" s="141">
        <v>150000</v>
      </c>
    </row>
    <row r="75" spans="1:6" ht="15.6" x14ac:dyDescent="0.3">
      <c r="A75" s="127">
        <v>74</v>
      </c>
      <c r="B75" s="128">
        <v>43219</v>
      </c>
      <c r="C75" s="129" t="s">
        <v>1233</v>
      </c>
      <c r="D75" s="129" t="s">
        <v>1520</v>
      </c>
      <c r="E75" s="141">
        <v>300000</v>
      </c>
      <c r="F75" s="141"/>
    </row>
    <row r="76" spans="1:6" ht="15.6" x14ac:dyDescent="0.3">
      <c r="A76" s="127">
        <v>75</v>
      </c>
      <c r="B76" s="131">
        <v>43220</v>
      </c>
      <c r="C76" s="132" t="s">
        <v>1477</v>
      </c>
      <c r="D76" s="132" t="s">
        <v>1471</v>
      </c>
      <c r="E76" s="141"/>
      <c r="F76" s="141">
        <v>150000</v>
      </c>
    </row>
    <row r="77" spans="1:6" ht="15.6" x14ac:dyDescent="0.3">
      <c r="A77" s="127">
        <v>76</v>
      </c>
      <c r="B77" s="131">
        <v>43220</v>
      </c>
      <c r="C77" s="132" t="s">
        <v>1497</v>
      </c>
      <c r="D77" s="132" t="s">
        <v>1522</v>
      </c>
      <c r="E77" s="168"/>
      <c r="F77" s="141">
        <v>50000</v>
      </c>
    </row>
    <row r="78" spans="1:6" ht="15.6" x14ac:dyDescent="0.3">
      <c r="A78" s="127">
        <v>77</v>
      </c>
      <c r="B78" s="128">
        <v>43221</v>
      </c>
      <c r="C78" s="129" t="s">
        <v>1235</v>
      </c>
      <c r="D78" s="129" t="s">
        <v>1521</v>
      </c>
      <c r="E78" s="141"/>
      <c r="F78" s="141">
        <v>8000</v>
      </c>
    </row>
    <row r="79" spans="1:6" ht="15.6" x14ac:dyDescent="0.3">
      <c r="A79" s="127">
        <v>78</v>
      </c>
      <c r="B79" s="128">
        <v>43221</v>
      </c>
      <c r="C79" s="129" t="s">
        <v>1237</v>
      </c>
      <c r="D79" s="129" t="s">
        <v>1521</v>
      </c>
      <c r="E79" s="141"/>
      <c r="F79" s="141">
        <v>5500</v>
      </c>
    </row>
    <row r="80" spans="1:6" ht="15.6" hidden="1" x14ac:dyDescent="0.3">
      <c r="A80" s="127">
        <v>79</v>
      </c>
      <c r="B80" s="128">
        <v>43221</v>
      </c>
      <c r="C80" s="129" t="s">
        <v>1239</v>
      </c>
      <c r="D80" s="129" t="s">
        <v>1516</v>
      </c>
      <c r="E80" s="141"/>
      <c r="F80" s="141"/>
    </row>
    <row r="81" spans="1:6" ht="15.6" x14ac:dyDescent="0.3">
      <c r="A81" s="127">
        <v>80</v>
      </c>
      <c r="B81" s="128">
        <v>43221</v>
      </c>
      <c r="C81" s="129" t="s">
        <v>1163</v>
      </c>
      <c r="D81" s="129" t="s">
        <v>1521</v>
      </c>
      <c r="E81" s="141"/>
      <c r="F81" s="141">
        <v>1000</v>
      </c>
    </row>
    <row r="82" spans="1:6" ht="15.6" x14ac:dyDescent="0.3">
      <c r="A82" s="127">
        <v>81</v>
      </c>
      <c r="B82" s="128">
        <v>43221</v>
      </c>
      <c r="C82" s="129" t="s">
        <v>1163</v>
      </c>
      <c r="D82" s="129" t="s">
        <v>1521</v>
      </c>
      <c r="E82" s="141"/>
      <c r="F82" s="141">
        <v>300</v>
      </c>
    </row>
    <row r="83" spans="1:6" ht="15.6" x14ac:dyDescent="0.3">
      <c r="A83" s="127">
        <v>82</v>
      </c>
      <c r="B83" s="128">
        <v>43221</v>
      </c>
      <c r="C83" s="129" t="s">
        <v>1163</v>
      </c>
      <c r="D83" s="129" t="s">
        <v>1521</v>
      </c>
      <c r="E83" s="141"/>
      <c r="F83" s="141">
        <v>100</v>
      </c>
    </row>
    <row r="84" spans="1:6" ht="15.6" x14ac:dyDescent="0.3">
      <c r="A84" s="127">
        <v>83</v>
      </c>
      <c r="B84" s="128">
        <v>43221</v>
      </c>
      <c r="C84" s="129" t="s">
        <v>1244</v>
      </c>
      <c r="D84" s="129" t="s">
        <v>1521</v>
      </c>
      <c r="E84" s="141"/>
      <c r="F84" s="141">
        <v>300</v>
      </c>
    </row>
    <row r="85" spans="1:6" ht="15.6" x14ac:dyDescent="0.3">
      <c r="A85" s="127">
        <v>84</v>
      </c>
      <c r="B85" s="128">
        <v>43221</v>
      </c>
      <c r="C85" s="129" t="s">
        <v>1246</v>
      </c>
      <c r="D85" s="129" t="s">
        <v>1521</v>
      </c>
      <c r="E85" s="141"/>
      <c r="F85" s="141">
        <v>5000</v>
      </c>
    </row>
    <row r="86" spans="1:6" ht="15.6" x14ac:dyDescent="0.3">
      <c r="A86" s="127">
        <v>85</v>
      </c>
      <c r="B86" s="128">
        <v>43221</v>
      </c>
      <c r="C86" s="129" t="s">
        <v>1248</v>
      </c>
      <c r="D86" s="129" t="s">
        <v>1521</v>
      </c>
      <c r="E86" s="141"/>
      <c r="F86" s="141">
        <v>5500</v>
      </c>
    </row>
    <row r="87" spans="1:6" ht="15.6" x14ac:dyDescent="0.3">
      <c r="A87" s="127">
        <v>86</v>
      </c>
      <c r="B87" s="128">
        <v>43221</v>
      </c>
      <c r="C87" s="129" t="s">
        <v>1250</v>
      </c>
      <c r="D87" s="129" t="s">
        <v>1521</v>
      </c>
      <c r="E87" s="141"/>
      <c r="F87" s="141">
        <v>9000</v>
      </c>
    </row>
    <row r="88" spans="1:6" ht="15.6" x14ac:dyDescent="0.3">
      <c r="A88" s="127">
        <v>87</v>
      </c>
      <c r="B88" s="128">
        <v>43221</v>
      </c>
      <c r="C88" s="129" t="s">
        <v>1252</v>
      </c>
      <c r="D88" s="129" t="s">
        <v>1521</v>
      </c>
      <c r="E88" s="141"/>
      <c r="F88" s="141">
        <v>340</v>
      </c>
    </row>
    <row r="89" spans="1:6" ht="15.6" hidden="1" x14ac:dyDescent="0.3">
      <c r="A89" s="127">
        <v>88</v>
      </c>
      <c r="B89" s="128">
        <v>43221</v>
      </c>
      <c r="C89" s="129" t="s">
        <v>7</v>
      </c>
      <c r="D89" s="129" t="s">
        <v>1516</v>
      </c>
      <c r="E89" s="141"/>
      <c r="F89" s="141"/>
    </row>
    <row r="90" spans="1:6" ht="15.6" hidden="1" x14ac:dyDescent="0.3">
      <c r="A90" s="127">
        <v>89</v>
      </c>
      <c r="B90" s="128">
        <v>43221</v>
      </c>
      <c r="C90" s="129" t="s">
        <v>9</v>
      </c>
      <c r="D90" s="129" t="s">
        <v>1516</v>
      </c>
      <c r="E90" s="141"/>
      <c r="F90" s="141"/>
    </row>
    <row r="91" spans="1:6" ht="15.6" hidden="1" x14ac:dyDescent="0.3">
      <c r="A91" s="127">
        <v>90</v>
      </c>
      <c r="B91" s="128">
        <v>43221</v>
      </c>
      <c r="C91" s="129" t="s">
        <v>12</v>
      </c>
      <c r="D91" s="129" t="s">
        <v>1516</v>
      </c>
      <c r="E91" s="141"/>
      <c r="F91" s="141"/>
    </row>
    <row r="92" spans="1:6" ht="15.6" hidden="1" x14ac:dyDescent="0.3">
      <c r="A92" s="127">
        <v>91</v>
      </c>
      <c r="B92" s="128">
        <v>43221</v>
      </c>
      <c r="C92" s="129" t="s">
        <v>8</v>
      </c>
      <c r="D92" s="129" t="s">
        <v>1516</v>
      </c>
      <c r="E92" s="141"/>
      <c r="F92" s="141"/>
    </row>
    <row r="93" spans="1:6" ht="15.6" hidden="1" x14ac:dyDescent="0.3">
      <c r="A93" s="127">
        <v>92</v>
      </c>
      <c r="B93" s="128">
        <v>43221</v>
      </c>
      <c r="C93" s="129" t="s">
        <v>1143</v>
      </c>
      <c r="D93" s="129" t="s">
        <v>1517</v>
      </c>
      <c r="E93" s="141"/>
      <c r="F93" s="141"/>
    </row>
    <row r="94" spans="1:6" ht="15.6" hidden="1" x14ac:dyDescent="0.3">
      <c r="A94" s="127">
        <v>93</v>
      </c>
      <c r="B94" s="128">
        <v>43221</v>
      </c>
      <c r="C94" s="129" t="s">
        <v>11</v>
      </c>
      <c r="D94" s="129" t="s">
        <v>1516</v>
      </c>
      <c r="E94" s="141"/>
      <c r="F94" s="141"/>
    </row>
    <row r="95" spans="1:6" ht="15.6" hidden="1" x14ac:dyDescent="0.3">
      <c r="A95" s="127">
        <v>94</v>
      </c>
      <c r="B95" s="128">
        <v>43221</v>
      </c>
      <c r="C95" s="129" t="s">
        <v>1260</v>
      </c>
      <c r="D95" s="129" t="s">
        <v>1516</v>
      </c>
      <c r="E95" s="141"/>
      <c r="F95" s="141"/>
    </row>
    <row r="96" spans="1:6" ht="15.6" hidden="1" x14ac:dyDescent="0.3">
      <c r="A96" s="127">
        <v>95</v>
      </c>
      <c r="B96" s="128">
        <v>43221</v>
      </c>
      <c r="C96" s="129" t="s">
        <v>1262</v>
      </c>
      <c r="D96" s="129" t="s">
        <v>1516</v>
      </c>
      <c r="E96" s="141"/>
      <c r="F96" s="141"/>
    </row>
    <row r="97" spans="1:6" ht="15.6" x14ac:dyDescent="0.3">
      <c r="A97" s="127">
        <v>96</v>
      </c>
      <c r="B97" s="128">
        <v>43221</v>
      </c>
      <c r="C97" s="129" t="s">
        <v>1737</v>
      </c>
      <c r="D97" s="129" t="s">
        <v>1516</v>
      </c>
      <c r="E97" s="141"/>
      <c r="F97" s="141">
        <v>68600</v>
      </c>
    </row>
    <row r="98" spans="1:6" ht="15.6" x14ac:dyDescent="0.3">
      <c r="A98" s="127">
        <v>98</v>
      </c>
      <c r="B98" s="128">
        <v>43224</v>
      </c>
      <c r="C98" s="129" t="s">
        <v>1267</v>
      </c>
      <c r="D98" s="129" t="s">
        <v>1521</v>
      </c>
      <c r="E98" s="141"/>
      <c r="F98" s="141">
        <v>150</v>
      </c>
    </row>
    <row r="99" spans="1:6" ht="15.6" x14ac:dyDescent="0.3">
      <c r="A99" s="127">
        <v>99</v>
      </c>
      <c r="B99" s="128">
        <v>43227</v>
      </c>
      <c r="C99" s="129" t="s">
        <v>1269</v>
      </c>
      <c r="D99" s="129" t="s">
        <v>1521</v>
      </c>
      <c r="E99" s="141"/>
      <c r="F99" s="141">
        <v>100</v>
      </c>
    </row>
    <row r="100" spans="1:6" ht="15.6" x14ac:dyDescent="0.3">
      <c r="A100" s="127">
        <v>100</v>
      </c>
      <c r="B100" s="128">
        <v>43229</v>
      </c>
      <c r="C100" s="129" t="s">
        <v>1248</v>
      </c>
      <c r="D100" s="129" t="s">
        <v>1521</v>
      </c>
      <c r="E100" s="141"/>
      <c r="F100" s="141">
        <v>300</v>
      </c>
    </row>
    <row r="101" spans="1:6" ht="15.6" x14ac:dyDescent="0.3">
      <c r="A101" s="127">
        <v>101</v>
      </c>
      <c r="B101" s="128">
        <v>43230</v>
      </c>
      <c r="C101" s="129" t="s">
        <v>1269</v>
      </c>
      <c r="D101" s="129" t="s">
        <v>1521</v>
      </c>
      <c r="E101" s="141"/>
      <c r="F101" s="141">
        <v>50</v>
      </c>
    </row>
    <row r="102" spans="1:6" ht="15.6" x14ac:dyDescent="0.3">
      <c r="A102" s="127">
        <v>102</v>
      </c>
      <c r="B102" s="131">
        <v>43231</v>
      </c>
      <c r="C102" s="132" t="s">
        <v>1498</v>
      </c>
      <c r="D102" s="132" t="s">
        <v>1522</v>
      </c>
      <c r="E102" s="168"/>
      <c r="F102" s="141">
        <v>50000</v>
      </c>
    </row>
    <row r="103" spans="1:6" ht="15.6" x14ac:dyDescent="0.3">
      <c r="A103" s="127">
        <v>103</v>
      </c>
      <c r="B103" s="131">
        <v>43235</v>
      </c>
      <c r="C103" s="132" t="s">
        <v>1499</v>
      </c>
      <c r="D103" s="132" t="s">
        <v>1522</v>
      </c>
      <c r="E103" s="168"/>
      <c r="F103" s="141">
        <v>50000</v>
      </c>
    </row>
    <row r="104" spans="1:6" ht="15.6" x14ac:dyDescent="0.3">
      <c r="A104" s="127">
        <v>110</v>
      </c>
      <c r="B104" s="128">
        <v>43236</v>
      </c>
      <c r="C104" s="130" t="s">
        <v>1538</v>
      </c>
      <c r="D104" s="130" t="s">
        <v>1530</v>
      </c>
      <c r="E104" s="169"/>
      <c r="F104" s="141">
        <v>48000</v>
      </c>
    </row>
    <row r="105" spans="1:6" ht="15.6" x14ac:dyDescent="0.3">
      <c r="A105" s="127">
        <v>113</v>
      </c>
      <c r="B105" s="128">
        <v>43236</v>
      </c>
      <c r="C105" s="129" t="s">
        <v>1273</v>
      </c>
      <c r="D105" s="129" t="s">
        <v>1520</v>
      </c>
      <c r="E105" s="141">
        <v>500000</v>
      </c>
      <c r="F105" s="141"/>
    </row>
    <row r="106" spans="1:6" ht="15.6" x14ac:dyDescent="0.3">
      <c r="A106" s="127">
        <v>114</v>
      </c>
      <c r="B106" s="131">
        <v>43241</v>
      </c>
      <c r="C106" s="132" t="s">
        <v>1478</v>
      </c>
      <c r="D106" s="132" t="s">
        <v>1471</v>
      </c>
      <c r="E106" s="141"/>
      <c r="F106" s="141">
        <v>100000</v>
      </c>
    </row>
    <row r="107" spans="1:6" ht="15.6" x14ac:dyDescent="0.3">
      <c r="A107" s="127">
        <v>115</v>
      </c>
      <c r="B107" s="131">
        <v>43241</v>
      </c>
      <c r="C107" s="132" t="s">
        <v>1500</v>
      </c>
      <c r="D107" s="132" t="s">
        <v>1522</v>
      </c>
      <c r="E107" s="168"/>
      <c r="F107" s="141">
        <v>25000</v>
      </c>
    </row>
    <row r="108" spans="1:6" ht="15.6" x14ac:dyDescent="0.3">
      <c r="A108" s="127">
        <v>116</v>
      </c>
      <c r="B108" s="131">
        <v>43249</v>
      </c>
      <c r="C108" s="132" t="s">
        <v>1479</v>
      </c>
      <c r="D108" s="132" t="s">
        <v>1471</v>
      </c>
      <c r="E108" s="141"/>
      <c r="F108" s="141">
        <v>50000</v>
      </c>
    </row>
    <row r="109" spans="1:6" ht="15.6" x14ac:dyDescent="0.3">
      <c r="A109" s="127">
        <v>117</v>
      </c>
      <c r="B109" s="128">
        <v>43250</v>
      </c>
      <c r="C109" s="129" t="s">
        <v>15</v>
      </c>
      <c r="D109" s="129" t="s">
        <v>1519</v>
      </c>
      <c r="E109" s="141"/>
      <c r="F109" s="141">
        <v>30000</v>
      </c>
    </row>
    <row r="110" spans="1:6" ht="15.6" hidden="1" x14ac:dyDescent="0.3">
      <c r="A110" s="127">
        <v>119</v>
      </c>
      <c r="B110" s="128">
        <v>43252</v>
      </c>
      <c r="C110" s="129" t="s">
        <v>9</v>
      </c>
      <c r="D110" s="129" t="s">
        <v>1516</v>
      </c>
      <c r="E110" s="141"/>
      <c r="F110" s="141"/>
    </row>
    <row r="111" spans="1:6" ht="15.6" hidden="1" x14ac:dyDescent="0.3">
      <c r="A111" s="127">
        <v>120</v>
      </c>
      <c r="B111" s="128">
        <v>43252</v>
      </c>
      <c r="C111" s="129" t="s">
        <v>8</v>
      </c>
      <c r="D111" s="129" t="s">
        <v>1516</v>
      </c>
      <c r="E111" s="141"/>
      <c r="F111" s="141"/>
    </row>
    <row r="112" spans="1:6" ht="15.6" hidden="1" x14ac:dyDescent="0.3">
      <c r="A112" s="127">
        <v>121</v>
      </c>
      <c r="B112" s="128">
        <v>43252</v>
      </c>
      <c r="C112" s="129" t="s">
        <v>7</v>
      </c>
      <c r="D112" s="129" t="s">
        <v>1516</v>
      </c>
      <c r="E112" s="141"/>
      <c r="F112" s="141"/>
    </row>
    <row r="113" spans="1:6" ht="15.6" hidden="1" x14ac:dyDescent="0.3">
      <c r="A113" s="127">
        <v>122</v>
      </c>
      <c r="B113" s="128">
        <v>43252</v>
      </c>
      <c r="C113" s="129" t="s">
        <v>12</v>
      </c>
      <c r="D113" s="129" t="s">
        <v>1516</v>
      </c>
      <c r="E113" s="141"/>
      <c r="F113" s="141"/>
    </row>
    <row r="114" spans="1:6" ht="15.6" hidden="1" x14ac:dyDescent="0.3">
      <c r="A114" s="127">
        <v>123</v>
      </c>
      <c r="B114" s="128">
        <v>43252</v>
      </c>
      <c r="C114" s="129" t="s">
        <v>11</v>
      </c>
      <c r="D114" s="129" t="s">
        <v>1516</v>
      </c>
      <c r="E114" s="141"/>
      <c r="F114" s="141"/>
    </row>
    <row r="115" spans="1:6" ht="15.6" hidden="1" x14ac:dyDescent="0.3">
      <c r="A115" s="127">
        <v>124</v>
      </c>
      <c r="B115" s="128">
        <v>43252</v>
      </c>
      <c r="C115" s="129" t="s">
        <v>1262</v>
      </c>
      <c r="D115" s="129" t="s">
        <v>1516</v>
      </c>
      <c r="E115" s="141"/>
      <c r="F115" s="141"/>
    </row>
    <row r="116" spans="1:6" ht="15.6" hidden="1" x14ac:dyDescent="0.3">
      <c r="A116" s="127">
        <v>125</v>
      </c>
      <c r="B116" s="128">
        <v>43252</v>
      </c>
      <c r="C116" s="129" t="s">
        <v>1283</v>
      </c>
      <c r="D116" s="129" t="s">
        <v>1516</v>
      </c>
      <c r="E116" s="141"/>
      <c r="F116" s="141"/>
    </row>
    <row r="117" spans="1:6" ht="15.6" hidden="1" x14ac:dyDescent="0.3">
      <c r="A117" s="127">
        <v>126</v>
      </c>
      <c r="B117" s="128">
        <v>43252</v>
      </c>
      <c r="C117" s="129" t="s">
        <v>1212</v>
      </c>
      <c r="D117" s="129" t="s">
        <v>1516</v>
      </c>
      <c r="E117" s="141"/>
      <c r="F117" s="141"/>
    </row>
    <row r="118" spans="1:6" ht="15.6" hidden="1" x14ac:dyDescent="0.3">
      <c r="A118" s="127">
        <v>127</v>
      </c>
      <c r="B118" s="128">
        <v>43252</v>
      </c>
      <c r="C118" s="129" t="s">
        <v>1286</v>
      </c>
      <c r="D118" s="129" t="s">
        <v>1516</v>
      </c>
      <c r="E118" s="141"/>
      <c r="F118" s="141"/>
    </row>
    <row r="119" spans="1:6" ht="15.6" hidden="1" x14ac:dyDescent="0.3">
      <c r="A119" s="127">
        <v>128</v>
      </c>
      <c r="B119" s="128">
        <v>43252</v>
      </c>
      <c r="C119" s="129" t="s">
        <v>1288</v>
      </c>
      <c r="D119" s="129" t="s">
        <v>1516</v>
      </c>
      <c r="E119" s="141"/>
      <c r="F119" s="141"/>
    </row>
    <row r="120" spans="1:6" ht="15.6" hidden="1" x14ac:dyDescent="0.3">
      <c r="A120" s="127">
        <v>129</v>
      </c>
      <c r="B120" s="128">
        <v>43252</v>
      </c>
      <c r="C120" s="129" t="s">
        <v>1290</v>
      </c>
      <c r="D120" s="129" t="s">
        <v>1516</v>
      </c>
      <c r="E120" s="141"/>
      <c r="F120" s="141"/>
    </row>
    <row r="121" spans="1:6" ht="15.6" hidden="1" x14ac:dyDescent="0.3">
      <c r="A121" s="127">
        <v>130</v>
      </c>
      <c r="B121" s="128">
        <v>43252</v>
      </c>
      <c r="C121" s="129" t="s">
        <v>1292</v>
      </c>
      <c r="D121" s="129" t="s">
        <v>1516</v>
      </c>
      <c r="E121" s="141"/>
      <c r="F121" s="141"/>
    </row>
    <row r="122" spans="1:6" ht="15.6" x14ac:dyDescent="0.3">
      <c r="A122" s="127">
        <v>131</v>
      </c>
      <c r="B122" s="128">
        <v>43252</v>
      </c>
      <c r="C122" s="129" t="s">
        <v>1737</v>
      </c>
      <c r="D122" s="129" t="s">
        <v>1516</v>
      </c>
      <c r="E122" s="141"/>
      <c r="F122" s="141">
        <v>51350</v>
      </c>
    </row>
    <row r="123" spans="1:6" ht="15.6" x14ac:dyDescent="0.3">
      <c r="A123" s="127">
        <v>132</v>
      </c>
      <c r="B123" s="131">
        <v>43252</v>
      </c>
      <c r="C123" s="129" t="s">
        <v>1728</v>
      </c>
      <c r="D123" s="129" t="s">
        <v>1516</v>
      </c>
      <c r="E123" s="168"/>
      <c r="F123" s="141">
        <v>10800</v>
      </c>
    </row>
    <row r="124" spans="1:6" ht="15.6" x14ac:dyDescent="0.3">
      <c r="A124" s="127">
        <v>133</v>
      </c>
      <c r="B124" s="131">
        <v>43256</v>
      </c>
      <c r="C124" s="132" t="s">
        <v>1504</v>
      </c>
      <c r="D124" s="132" t="s">
        <v>1530</v>
      </c>
      <c r="E124" s="141"/>
      <c r="F124" s="141">
        <v>26000</v>
      </c>
    </row>
    <row r="125" spans="1:6" ht="15.6" hidden="1" x14ac:dyDescent="0.3">
      <c r="A125" s="127">
        <v>134</v>
      </c>
      <c r="B125" s="128">
        <v>43258</v>
      </c>
      <c r="C125" s="117" t="s">
        <v>9</v>
      </c>
      <c r="D125" s="117" t="s">
        <v>1516</v>
      </c>
      <c r="E125" s="141"/>
      <c r="F125" s="141"/>
    </row>
    <row r="126" spans="1:6" ht="15.6" hidden="1" x14ac:dyDescent="0.3">
      <c r="A126" s="127">
        <v>135</v>
      </c>
      <c r="B126" s="128">
        <v>43258</v>
      </c>
      <c r="C126" s="117" t="s">
        <v>11</v>
      </c>
      <c r="D126" s="117" t="s">
        <v>1516</v>
      </c>
      <c r="E126" s="141"/>
      <c r="F126" s="141"/>
    </row>
    <row r="127" spans="1:6" ht="15.6" x14ac:dyDescent="0.3">
      <c r="A127" s="127">
        <v>137</v>
      </c>
      <c r="B127" s="131">
        <v>43260</v>
      </c>
      <c r="C127" s="129" t="s">
        <v>1483</v>
      </c>
      <c r="D127" s="129" t="s">
        <v>1471</v>
      </c>
      <c r="E127" s="141"/>
      <c r="F127" s="141">
        <v>10000</v>
      </c>
    </row>
    <row r="128" spans="1:6" ht="15.6" x14ac:dyDescent="0.3">
      <c r="A128" s="127">
        <v>138</v>
      </c>
      <c r="B128" s="131">
        <v>43262</v>
      </c>
      <c r="C128" s="132" t="s">
        <v>1480</v>
      </c>
      <c r="D128" s="132" t="s">
        <v>1471</v>
      </c>
      <c r="E128" s="141"/>
      <c r="F128" s="141">
        <v>50000</v>
      </c>
    </row>
    <row r="129" spans="1:6" ht="15.6" x14ac:dyDescent="0.3">
      <c r="A129" s="127">
        <v>139</v>
      </c>
      <c r="B129" s="131">
        <v>43262</v>
      </c>
      <c r="C129" s="132" t="s">
        <v>1504</v>
      </c>
      <c r="D129" s="132" t="s">
        <v>1530</v>
      </c>
      <c r="E129" s="141"/>
      <c r="F129" s="141">
        <v>25000</v>
      </c>
    </row>
    <row r="130" spans="1:6" ht="15.6" x14ac:dyDescent="0.3">
      <c r="A130" s="127">
        <v>140</v>
      </c>
      <c r="B130" s="128">
        <v>43264</v>
      </c>
      <c r="C130" s="129" t="s">
        <v>1298</v>
      </c>
      <c r="D130" s="129" t="s">
        <v>1520</v>
      </c>
      <c r="E130" s="141">
        <v>300000</v>
      </c>
      <c r="F130" s="141"/>
    </row>
    <row r="131" spans="1:6" ht="15.6" x14ac:dyDescent="0.3">
      <c r="A131" s="127">
        <v>141</v>
      </c>
      <c r="B131" s="131">
        <v>43265</v>
      </c>
      <c r="C131" s="129" t="s">
        <v>1481</v>
      </c>
      <c r="D131" s="129" t="s">
        <v>1471</v>
      </c>
      <c r="E131" s="141"/>
      <c r="F131" s="141">
        <v>25000</v>
      </c>
    </row>
    <row r="132" spans="1:6" ht="15.6" x14ac:dyDescent="0.3">
      <c r="A132" s="127">
        <v>142</v>
      </c>
      <c r="B132" s="131">
        <v>43265</v>
      </c>
      <c r="C132" s="132" t="s">
        <v>1507</v>
      </c>
      <c r="D132" s="132" t="s">
        <v>1524</v>
      </c>
      <c r="E132" s="168"/>
      <c r="F132" s="141">
        <v>10000</v>
      </c>
    </row>
    <row r="133" spans="1:6" ht="15.6" x14ac:dyDescent="0.3">
      <c r="A133" s="127">
        <v>143</v>
      </c>
      <c r="B133" s="131">
        <v>43278</v>
      </c>
      <c r="C133" s="129" t="s">
        <v>1481</v>
      </c>
      <c r="D133" s="129" t="s">
        <v>1471</v>
      </c>
      <c r="E133" s="141"/>
      <c r="F133" s="141">
        <v>25000</v>
      </c>
    </row>
    <row r="134" spans="1:6" ht="15.6" hidden="1" x14ac:dyDescent="0.3">
      <c r="A134" s="127">
        <v>145</v>
      </c>
      <c r="B134" s="131">
        <v>43282</v>
      </c>
      <c r="C134" s="129" t="s">
        <v>1729</v>
      </c>
      <c r="D134" s="129" t="s">
        <v>1516</v>
      </c>
      <c r="E134" s="141"/>
      <c r="F134" s="141"/>
    </row>
    <row r="135" spans="1:6" ht="15.6" hidden="1" x14ac:dyDescent="0.3">
      <c r="A135" s="127">
        <v>146</v>
      </c>
      <c r="B135" s="131">
        <v>43282</v>
      </c>
      <c r="C135" s="129" t="s">
        <v>1730</v>
      </c>
      <c r="D135" s="129" t="s">
        <v>1516</v>
      </c>
      <c r="E135" s="141"/>
      <c r="F135" s="141"/>
    </row>
    <row r="136" spans="1:6" ht="15.6" hidden="1" x14ac:dyDescent="0.3">
      <c r="A136" s="127">
        <v>147</v>
      </c>
      <c r="B136" s="131">
        <v>43282</v>
      </c>
      <c r="C136" s="129" t="s">
        <v>1731</v>
      </c>
      <c r="D136" s="129" t="s">
        <v>1516</v>
      </c>
      <c r="E136" s="141"/>
      <c r="F136" s="141"/>
    </row>
    <row r="137" spans="1:6" ht="15.6" hidden="1" x14ac:dyDescent="0.3">
      <c r="A137" s="127">
        <v>148</v>
      </c>
      <c r="B137" s="131">
        <v>43282</v>
      </c>
      <c r="C137" s="129" t="s">
        <v>1329</v>
      </c>
      <c r="D137" s="129" t="s">
        <v>1516</v>
      </c>
      <c r="E137" s="141"/>
      <c r="F137" s="141"/>
    </row>
    <row r="138" spans="1:6" ht="15.6" hidden="1" x14ac:dyDescent="0.3">
      <c r="A138" s="127">
        <v>149</v>
      </c>
      <c r="B138" s="131">
        <v>43282</v>
      </c>
      <c r="C138" s="129" t="s">
        <v>1732</v>
      </c>
      <c r="D138" s="129" t="s">
        <v>1516</v>
      </c>
      <c r="E138" s="141"/>
      <c r="F138" s="141"/>
    </row>
    <row r="139" spans="1:6" ht="15.6" hidden="1" x14ac:dyDescent="0.3">
      <c r="A139" s="127">
        <v>150</v>
      </c>
      <c r="B139" s="131">
        <v>43282</v>
      </c>
      <c r="C139" s="129" t="s">
        <v>21</v>
      </c>
      <c r="D139" s="129" t="s">
        <v>1516</v>
      </c>
      <c r="E139" s="141"/>
      <c r="F139" s="141"/>
    </row>
    <row r="140" spans="1:6" ht="15.6" x14ac:dyDescent="0.3">
      <c r="A140" s="127">
        <v>151</v>
      </c>
      <c r="B140" s="131">
        <v>43282</v>
      </c>
      <c r="C140" s="129" t="s">
        <v>1737</v>
      </c>
      <c r="D140" s="129" t="s">
        <v>1516</v>
      </c>
      <c r="E140" s="141"/>
      <c r="F140" s="141">
        <v>31262</v>
      </c>
    </row>
    <row r="141" spans="1:6" ht="15.6" hidden="1" x14ac:dyDescent="0.3">
      <c r="A141" s="127">
        <v>154</v>
      </c>
      <c r="B141" s="128">
        <v>43282</v>
      </c>
      <c r="C141" s="129" t="s">
        <v>1539</v>
      </c>
      <c r="D141" s="129" t="s">
        <v>1516</v>
      </c>
      <c r="E141" s="141"/>
      <c r="F141" s="141"/>
    </row>
    <row r="142" spans="1:6" ht="15.6" x14ac:dyDescent="0.3">
      <c r="A142" s="127">
        <v>155</v>
      </c>
      <c r="B142" s="131">
        <v>43287</v>
      </c>
      <c r="C142" s="129" t="s">
        <v>1482</v>
      </c>
      <c r="D142" s="129" t="s">
        <v>1471</v>
      </c>
      <c r="E142" s="141"/>
      <c r="F142" s="141">
        <v>10000</v>
      </c>
    </row>
    <row r="143" spans="1:6" ht="15.6" x14ac:dyDescent="0.3">
      <c r="A143" s="127">
        <v>157</v>
      </c>
      <c r="B143" s="128">
        <v>43298</v>
      </c>
      <c r="C143" s="117" t="s">
        <v>7</v>
      </c>
      <c r="D143" s="117" t="s">
        <v>1516</v>
      </c>
      <c r="E143" s="141"/>
      <c r="F143" s="141"/>
    </row>
    <row r="144" spans="1:6" ht="15.6" x14ac:dyDescent="0.3">
      <c r="A144" s="127">
        <v>158</v>
      </c>
      <c r="B144" s="128">
        <v>43299</v>
      </c>
      <c r="C144" s="133" t="s">
        <v>5</v>
      </c>
      <c r="D144" s="133" t="s">
        <v>1520</v>
      </c>
      <c r="E144" s="141">
        <v>400000</v>
      </c>
      <c r="F144" s="168"/>
    </row>
    <row r="145" spans="1:6" ht="15.6" hidden="1" x14ac:dyDescent="0.3">
      <c r="A145" s="127">
        <v>164</v>
      </c>
      <c r="B145" s="128">
        <v>43300</v>
      </c>
      <c r="C145" s="117" t="s">
        <v>7</v>
      </c>
      <c r="D145" s="117" t="s">
        <v>1516</v>
      </c>
      <c r="E145" s="141"/>
      <c r="F145" s="141"/>
    </row>
    <row r="146" spans="1:6" ht="15.6" x14ac:dyDescent="0.3">
      <c r="A146" s="127">
        <v>172</v>
      </c>
      <c r="B146" s="128">
        <v>43305</v>
      </c>
      <c r="C146" s="130" t="s">
        <v>1318</v>
      </c>
      <c r="D146" s="130" t="s">
        <v>1521</v>
      </c>
      <c r="E146" s="141"/>
      <c r="F146" s="141">
        <v>500</v>
      </c>
    </row>
    <row r="147" spans="1:6" ht="15.6" x14ac:dyDescent="0.3">
      <c r="A147" s="127">
        <v>173</v>
      </c>
      <c r="B147" s="128">
        <v>43305</v>
      </c>
      <c r="C147" s="133" t="s">
        <v>1163</v>
      </c>
      <c r="D147" s="133" t="s">
        <v>1521</v>
      </c>
      <c r="E147" s="141"/>
      <c r="F147" s="141">
        <v>100</v>
      </c>
    </row>
    <row r="148" spans="1:6" ht="15.6" x14ac:dyDescent="0.3">
      <c r="A148" s="127">
        <v>174</v>
      </c>
      <c r="B148" s="128">
        <v>43305</v>
      </c>
      <c r="C148" s="133" t="s">
        <v>1321</v>
      </c>
      <c r="D148" s="133" t="s">
        <v>1521</v>
      </c>
      <c r="E148" s="141"/>
      <c r="F148" s="141">
        <v>60</v>
      </c>
    </row>
    <row r="149" spans="1:6" ht="15.6" x14ac:dyDescent="0.3">
      <c r="A149" s="127">
        <v>175</v>
      </c>
      <c r="B149" s="128">
        <v>43305</v>
      </c>
      <c r="C149" s="129" t="s">
        <v>1250</v>
      </c>
      <c r="D149" s="129" t="s">
        <v>1521</v>
      </c>
      <c r="E149" s="141"/>
      <c r="F149" s="141">
        <v>5000</v>
      </c>
    </row>
    <row r="150" spans="1:6" ht="15.6" x14ac:dyDescent="0.3">
      <c r="A150" s="127">
        <v>176</v>
      </c>
      <c r="B150" s="128">
        <v>43305</v>
      </c>
      <c r="C150" s="129" t="s">
        <v>1324</v>
      </c>
      <c r="D150" s="129" t="s">
        <v>1521</v>
      </c>
      <c r="E150" s="141"/>
      <c r="F150" s="141">
        <v>3200</v>
      </c>
    </row>
    <row r="151" spans="1:6" ht="15.6" x14ac:dyDescent="0.3">
      <c r="A151" s="127">
        <v>177</v>
      </c>
      <c r="B151" s="128">
        <v>43305</v>
      </c>
      <c r="C151" s="129" t="s">
        <v>219</v>
      </c>
      <c r="D151" s="129" t="s">
        <v>1521</v>
      </c>
      <c r="E151" s="141"/>
      <c r="F151" s="141">
        <v>200</v>
      </c>
    </row>
    <row r="152" spans="1:6" ht="15.6" x14ac:dyDescent="0.3">
      <c r="A152" s="127">
        <v>178</v>
      </c>
      <c r="B152" s="128">
        <v>43305</v>
      </c>
      <c r="C152" s="129" t="s">
        <v>1327</v>
      </c>
      <c r="D152" s="129" t="s">
        <v>1521</v>
      </c>
      <c r="E152" s="141"/>
      <c r="F152" s="141">
        <v>1500</v>
      </c>
    </row>
    <row r="153" spans="1:6" ht="15.6" hidden="1" x14ac:dyDescent="0.3">
      <c r="A153" s="127">
        <v>179</v>
      </c>
      <c r="B153" s="128">
        <v>43312</v>
      </c>
      <c r="C153" s="129" t="s">
        <v>1260</v>
      </c>
      <c r="D153" s="129" t="s">
        <v>1516</v>
      </c>
      <c r="E153" s="141"/>
      <c r="F153" s="141"/>
    </row>
    <row r="154" spans="1:6" ht="15.6" hidden="1" x14ac:dyDescent="0.3">
      <c r="A154" s="127">
        <v>180</v>
      </c>
      <c r="B154" s="128">
        <v>43312</v>
      </c>
      <c r="C154" s="129" t="s">
        <v>1331</v>
      </c>
      <c r="D154" s="129" t="s">
        <v>1516</v>
      </c>
      <c r="E154" s="141"/>
      <c r="F154" s="141"/>
    </row>
    <row r="155" spans="1:6" ht="15.6" x14ac:dyDescent="0.3">
      <c r="A155" s="127">
        <v>181</v>
      </c>
      <c r="B155" s="131">
        <v>43312</v>
      </c>
      <c r="C155" s="132" t="s">
        <v>1525</v>
      </c>
      <c r="D155" s="132" t="s">
        <v>1522</v>
      </c>
      <c r="E155" s="168"/>
      <c r="F155" s="141">
        <v>20000</v>
      </c>
    </row>
    <row r="156" spans="1:6" ht="15.6" hidden="1" x14ac:dyDescent="0.3">
      <c r="A156" s="127">
        <v>182</v>
      </c>
      <c r="B156" s="131">
        <v>43313</v>
      </c>
      <c r="C156" s="129" t="s">
        <v>1329</v>
      </c>
      <c r="D156" s="129" t="s">
        <v>1516</v>
      </c>
      <c r="E156" s="141"/>
      <c r="F156" s="141"/>
    </row>
    <row r="157" spans="1:6" ht="15.6" hidden="1" x14ac:dyDescent="0.3">
      <c r="A157" s="127">
        <v>183</v>
      </c>
      <c r="B157" s="131">
        <v>43313</v>
      </c>
      <c r="C157" s="129" t="s">
        <v>1729</v>
      </c>
      <c r="D157" s="129" t="s">
        <v>1516</v>
      </c>
      <c r="E157" s="141"/>
      <c r="F157" s="141"/>
    </row>
    <row r="158" spans="1:6" ht="15.6" hidden="1" x14ac:dyDescent="0.3">
      <c r="A158" s="127">
        <v>184</v>
      </c>
      <c r="B158" s="131">
        <v>43313</v>
      </c>
      <c r="C158" s="129" t="s">
        <v>1735</v>
      </c>
      <c r="D158" s="129" t="s">
        <v>1516</v>
      </c>
      <c r="E158" s="141"/>
      <c r="F158" s="141"/>
    </row>
    <row r="159" spans="1:6" ht="15.6" hidden="1" x14ac:dyDescent="0.3">
      <c r="A159" s="127">
        <v>185</v>
      </c>
      <c r="B159" s="131">
        <v>43313</v>
      </c>
      <c r="C159" s="129" t="s">
        <v>1733</v>
      </c>
      <c r="D159" s="129" t="s">
        <v>1516</v>
      </c>
      <c r="E159" s="141"/>
      <c r="F159" s="141"/>
    </row>
    <row r="160" spans="1:6" ht="15.6" hidden="1" x14ac:dyDescent="0.3">
      <c r="A160" s="127">
        <v>186</v>
      </c>
      <c r="B160" s="131">
        <v>43313</v>
      </c>
      <c r="C160" s="129" t="s">
        <v>21</v>
      </c>
      <c r="D160" s="129" t="s">
        <v>1516</v>
      </c>
      <c r="E160" s="141"/>
      <c r="F160" s="141"/>
    </row>
    <row r="161" spans="1:6" ht="15.6" hidden="1" x14ac:dyDescent="0.3">
      <c r="A161" s="127">
        <v>187</v>
      </c>
      <c r="B161" s="131">
        <v>43313</v>
      </c>
      <c r="C161" s="129" t="s">
        <v>1734</v>
      </c>
      <c r="D161" s="129" t="s">
        <v>1516</v>
      </c>
      <c r="E161" s="141"/>
      <c r="F161" s="141"/>
    </row>
    <row r="162" spans="1:6" ht="15.6" hidden="1" x14ac:dyDescent="0.3">
      <c r="A162" s="127">
        <v>188</v>
      </c>
      <c r="B162" s="131">
        <v>43313</v>
      </c>
      <c r="C162" s="129" t="s">
        <v>1732</v>
      </c>
      <c r="D162" s="129" t="s">
        <v>1516</v>
      </c>
      <c r="E162" s="141"/>
      <c r="F162" s="141"/>
    </row>
    <row r="163" spans="1:6" ht="15.6" x14ac:dyDescent="0.3">
      <c r="A163" s="127">
        <v>189</v>
      </c>
      <c r="B163" s="131">
        <v>43313</v>
      </c>
      <c r="C163" s="129" t="s">
        <v>1737</v>
      </c>
      <c r="D163" s="129" t="s">
        <v>1516</v>
      </c>
      <c r="E163" s="141"/>
      <c r="F163" s="141">
        <v>42750</v>
      </c>
    </row>
    <row r="164" spans="1:6" ht="15.6" hidden="1" x14ac:dyDescent="0.3">
      <c r="A164" s="127">
        <v>206</v>
      </c>
      <c r="B164" s="128">
        <v>43329</v>
      </c>
      <c r="C164" s="129" t="s">
        <v>9</v>
      </c>
      <c r="D164" s="129" t="s">
        <v>1516</v>
      </c>
      <c r="E164" s="141"/>
      <c r="F164" s="141"/>
    </row>
    <row r="165" spans="1:6" ht="15.6" x14ac:dyDescent="0.3">
      <c r="A165" s="127">
        <v>207</v>
      </c>
      <c r="B165" s="128">
        <v>43329</v>
      </c>
      <c r="C165" s="129" t="s">
        <v>1334</v>
      </c>
      <c r="D165" s="129" t="s">
        <v>1521</v>
      </c>
      <c r="E165" s="141"/>
      <c r="F165" s="141">
        <v>200</v>
      </c>
    </row>
    <row r="166" spans="1:6" ht="15.6" x14ac:dyDescent="0.3">
      <c r="A166" s="127">
        <v>208</v>
      </c>
      <c r="B166" s="128">
        <v>43331</v>
      </c>
      <c r="C166" s="129" t="s">
        <v>1336</v>
      </c>
      <c r="D166" s="129" t="s">
        <v>1520</v>
      </c>
      <c r="E166" s="141">
        <v>400000</v>
      </c>
      <c r="F166" s="141"/>
    </row>
    <row r="167" spans="1:6" ht="15.6" x14ac:dyDescent="0.3">
      <c r="A167" s="127">
        <v>209</v>
      </c>
      <c r="B167" s="131">
        <v>43332</v>
      </c>
      <c r="C167" s="132" t="s">
        <v>1484</v>
      </c>
      <c r="D167" s="132" t="s">
        <v>1471</v>
      </c>
      <c r="E167" s="141"/>
      <c r="F167" s="141">
        <v>50000</v>
      </c>
    </row>
    <row r="168" spans="1:6" ht="15.6" x14ac:dyDescent="0.3">
      <c r="A168" s="127">
        <v>210</v>
      </c>
      <c r="B168" s="131">
        <v>43332</v>
      </c>
      <c r="C168" s="129" t="s">
        <v>1485</v>
      </c>
      <c r="D168" s="129" t="s">
        <v>1471</v>
      </c>
      <c r="E168" s="141"/>
      <c r="F168" s="141">
        <v>50000</v>
      </c>
    </row>
    <row r="169" spans="1:6" ht="15.6" x14ac:dyDescent="0.3">
      <c r="A169" s="127">
        <v>213</v>
      </c>
      <c r="B169" s="131">
        <v>43332</v>
      </c>
      <c r="C169" s="132" t="s">
        <v>26</v>
      </c>
      <c r="D169" s="132" t="s">
        <v>1522</v>
      </c>
      <c r="E169" s="168"/>
      <c r="F169" s="141">
        <v>30000</v>
      </c>
    </row>
    <row r="170" spans="1:6" ht="15.6" x14ac:dyDescent="0.3">
      <c r="A170" s="127">
        <v>214</v>
      </c>
      <c r="B170" s="131">
        <v>43333</v>
      </c>
      <c r="C170" s="129" t="s">
        <v>1486</v>
      </c>
      <c r="D170" s="129" t="s">
        <v>1471</v>
      </c>
      <c r="E170" s="141"/>
      <c r="F170" s="141">
        <v>40000</v>
      </c>
    </row>
    <row r="171" spans="1:6" ht="15.6" x14ac:dyDescent="0.3">
      <c r="A171" s="127">
        <v>215</v>
      </c>
      <c r="B171" s="128">
        <v>43333</v>
      </c>
      <c r="C171" s="129" t="s">
        <v>1338</v>
      </c>
      <c r="D171" s="129" t="s">
        <v>1521</v>
      </c>
      <c r="E171" s="141"/>
      <c r="F171" s="141">
        <v>550</v>
      </c>
    </row>
    <row r="172" spans="1:6" ht="15.6" x14ac:dyDescent="0.3">
      <c r="A172" s="127">
        <v>216</v>
      </c>
      <c r="B172" s="128">
        <v>43333</v>
      </c>
      <c r="C172" s="129" t="s">
        <v>1321</v>
      </c>
      <c r="D172" s="129" t="s">
        <v>1521</v>
      </c>
      <c r="E172" s="141"/>
      <c r="F172" s="141">
        <v>200</v>
      </c>
    </row>
    <row r="173" spans="1:6" ht="15.6" hidden="1" x14ac:dyDescent="0.3">
      <c r="A173" s="127">
        <v>217</v>
      </c>
      <c r="B173" s="128">
        <v>43333</v>
      </c>
      <c r="C173" s="129" t="s">
        <v>1341</v>
      </c>
      <c r="D173" s="129" t="s">
        <v>1516</v>
      </c>
      <c r="E173" s="141"/>
      <c r="F173" s="141"/>
    </row>
    <row r="174" spans="1:6" ht="15.6" hidden="1" x14ac:dyDescent="0.3">
      <c r="A174" s="127">
        <v>218</v>
      </c>
      <c r="B174" s="128">
        <v>43333</v>
      </c>
      <c r="C174" s="129" t="s">
        <v>9</v>
      </c>
      <c r="D174" s="129" t="s">
        <v>1516</v>
      </c>
      <c r="E174" s="141"/>
      <c r="F174" s="141"/>
    </row>
    <row r="175" spans="1:6" ht="15.6" hidden="1" x14ac:dyDescent="0.3">
      <c r="A175" s="127">
        <v>219</v>
      </c>
      <c r="B175" s="128">
        <v>43333</v>
      </c>
      <c r="C175" s="129" t="s">
        <v>1344</v>
      </c>
      <c r="D175" s="129" t="s">
        <v>1516</v>
      </c>
      <c r="E175" s="141"/>
      <c r="F175" s="141"/>
    </row>
    <row r="176" spans="1:6" ht="15.6" hidden="1" x14ac:dyDescent="0.3">
      <c r="A176" s="127">
        <v>220</v>
      </c>
      <c r="B176" s="128">
        <v>43333</v>
      </c>
      <c r="C176" s="129" t="s">
        <v>12</v>
      </c>
      <c r="D176" s="129" t="s">
        <v>1516</v>
      </c>
      <c r="E176" s="141"/>
      <c r="F176" s="141"/>
    </row>
    <row r="177" spans="1:6" ht="15.6" hidden="1" x14ac:dyDescent="0.3">
      <c r="A177" s="127">
        <v>221</v>
      </c>
      <c r="B177" s="128">
        <v>43333</v>
      </c>
      <c r="C177" s="129" t="s">
        <v>1347</v>
      </c>
      <c r="D177" s="129" t="s">
        <v>1516</v>
      </c>
      <c r="E177" s="141"/>
      <c r="F177" s="141"/>
    </row>
    <row r="178" spans="1:6" ht="15.6" hidden="1" x14ac:dyDescent="0.3">
      <c r="A178" s="127">
        <v>222</v>
      </c>
      <c r="B178" s="128">
        <v>43333</v>
      </c>
      <c r="C178" s="129" t="s">
        <v>1698</v>
      </c>
      <c r="D178" s="129" t="s">
        <v>1517</v>
      </c>
      <c r="E178" s="141"/>
      <c r="F178" s="141"/>
    </row>
    <row r="179" spans="1:6" ht="15.6" x14ac:dyDescent="0.3">
      <c r="A179" s="127">
        <v>223</v>
      </c>
      <c r="B179" s="131">
        <v>43334</v>
      </c>
      <c r="C179" s="132" t="s">
        <v>1512</v>
      </c>
      <c r="D179" s="132" t="s">
        <v>1530</v>
      </c>
      <c r="E179" s="141"/>
      <c r="F179" s="141">
        <v>100000</v>
      </c>
    </row>
    <row r="180" spans="1:6" ht="15.6" x14ac:dyDescent="0.3">
      <c r="A180" s="127">
        <v>224</v>
      </c>
      <c r="B180" s="131">
        <v>43335</v>
      </c>
      <c r="C180" s="132" t="s">
        <v>1493</v>
      </c>
      <c r="D180" s="132" t="s">
        <v>1523</v>
      </c>
      <c r="E180" s="168"/>
      <c r="F180" s="141">
        <v>100000</v>
      </c>
    </row>
    <row r="181" spans="1:6" ht="15.6" x14ac:dyDescent="0.3">
      <c r="A181" s="127">
        <v>225</v>
      </c>
      <c r="B181" s="131">
        <v>43336</v>
      </c>
      <c r="C181" s="132" t="s">
        <v>1494</v>
      </c>
      <c r="D181" s="132" t="s">
        <v>1523</v>
      </c>
      <c r="E181" s="168"/>
      <c r="F181" s="141">
        <v>100000</v>
      </c>
    </row>
    <row r="182" spans="1:6" ht="15.6" hidden="1" x14ac:dyDescent="0.3">
      <c r="A182" s="127">
        <v>226</v>
      </c>
      <c r="B182" s="128">
        <v>43338</v>
      </c>
      <c r="C182" s="129" t="s">
        <v>29</v>
      </c>
      <c r="D182" s="129" t="s">
        <v>1516</v>
      </c>
      <c r="E182" s="141"/>
      <c r="F182" s="141"/>
    </row>
    <row r="183" spans="1:6" ht="15.6" x14ac:dyDescent="0.3">
      <c r="A183" s="127">
        <v>227</v>
      </c>
      <c r="B183" s="128">
        <v>43338</v>
      </c>
      <c r="C183" s="129" t="s">
        <v>104</v>
      </c>
      <c r="D183" s="129" t="s">
        <v>1521</v>
      </c>
      <c r="E183" s="141"/>
      <c r="F183" s="141">
        <v>270</v>
      </c>
    </row>
    <row r="184" spans="1:6" ht="15.6" x14ac:dyDescent="0.3">
      <c r="A184" s="127">
        <v>228</v>
      </c>
      <c r="B184" s="128">
        <v>43340</v>
      </c>
      <c r="C184" s="129" t="s">
        <v>1356</v>
      </c>
      <c r="D184" s="129" t="s">
        <v>1521</v>
      </c>
      <c r="E184" s="141"/>
      <c r="F184" s="141">
        <v>30</v>
      </c>
    </row>
    <row r="185" spans="1:6" ht="15.6" x14ac:dyDescent="0.3">
      <c r="A185" s="127">
        <v>229</v>
      </c>
      <c r="B185" s="131">
        <v>43342</v>
      </c>
      <c r="C185" s="129" t="s">
        <v>1481</v>
      </c>
      <c r="D185" s="129" t="s">
        <v>1471</v>
      </c>
      <c r="E185" s="141"/>
      <c r="F185" s="141">
        <v>5000</v>
      </c>
    </row>
    <row r="186" spans="1:6" ht="15.6" x14ac:dyDescent="0.3">
      <c r="A186" s="127">
        <v>230</v>
      </c>
      <c r="B186" s="128">
        <v>43342</v>
      </c>
      <c r="C186" s="129" t="s">
        <v>1358</v>
      </c>
      <c r="D186" s="129" t="s">
        <v>1521</v>
      </c>
      <c r="E186" s="141"/>
      <c r="F186" s="141">
        <v>170</v>
      </c>
    </row>
    <row r="187" spans="1:6" ht="15.6" hidden="1" x14ac:dyDescent="0.3">
      <c r="A187" s="127">
        <v>231</v>
      </c>
      <c r="B187" s="128">
        <v>43342</v>
      </c>
      <c r="C187" s="129" t="s">
        <v>9</v>
      </c>
      <c r="D187" s="129" t="s">
        <v>1516</v>
      </c>
      <c r="E187" s="141"/>
      <c r="F187" s="141"/>
    </row>
    <row r="188" spans="1:6" ht="15.6" hidden="1" x14ac:dyDescent="0.3">
      <c r="A188" s="127">
        <v>232</v>
      </c>
      <c r="B188" s="128">
        <v>43343</v>
      </c>
      <c r="C188" s="129" t="s">
        <v>9</v>
      </c>
      <c r="D188" s="129" t="s">
        <v>1516</v>
      </c>
      <c r="E188" s="141"/>
      <c r="F188" s="141"/>
    </row>
    <row r="189" spans="1:6" ht="15.6" hidden="1" x14ac:dyDescent="0.3">
      <c r="A189" s="127">
        <v>233</v>
      </c>
      <c r="B189" s="128">
        <v>43343</v>
      </c>
      <c r="C189" s="129" t="s">
        <v>1260</v>
      </c>
      <c r="D189" s="129" t="s">
        <v>1516</v>
      </c>
      <c r="E189" s="141"/>
      <c r="F189" s="141"/>
    </row>
    <row r="190" spans="1:6" ht="15.6" hidden="1" x14ac:dyDescent="0.3">
      <c r="A190" s="127">
        <v>234</v>
      </c>
      <c r="B190" s="128">
        <v>43344</v>
      </c>
      <c r="C190" s="129" t="s">
        <v>29</v>
      </c>
      <c r="D190" s="129" t="s">
        <v>1516</v>
      </c>
      <c r="E190" s="141"/>
      <c r="F190" s="141"/>
    </row>
    <row r="191" spans="1:6" ht="15.6" x14ac:dyDescent="0.3">
      <c r="A191" s="127">
        <v>235</v>
      </c>
      <c r="B191" s="131">
        <v>43346</v>
      </c>
      <c r="C191" s="132" t="s">
        <v>1509</v>
      </c>
      <c r="D191" s="132" t="s">
        <v>1524</v>
      </c>
      <c r="E191" s="141"/>
      <c r="F191" s="141">
        <v>10000</v>
      </c>
    </row>
    <row r="192" spans="1:6" ht="15.6" x14ac:dyDescent="0.3">
      <c r="A192" s="127">
        <v>236</v>
      </c>
      <c r="B192" s="128">
        <v>43348</v>
      </c>
      <c r="C192" s="129" t="s">
        <v>34</v>
      </c>
      <c r="D192" s="129" t="s">
        <v>1521</v>
      </c>
      <c r="E192" s="141"/>
      <c r="F192" s="141">
        <v>468</v>
      </c>
    </row>
    <row r="193" spans="1:6" ht="15.6" hidden="1" x14ac:dyDescent="0.3">
      <c r="A193" s="127">
        <v>237</v>
      </c>
      <c r="B193" s="128">
        <v>43348</v>
      </c>
      <c r="C193" s="129" t="s">
        <v>9</v>
      </c>
      <c r="D193" s="129" t="s">
        <v>1516</v>
      </c>
      <c r="E193" s="141"/>
      <c r="F193" s="141"/>
    </row>
    <row r="194" spans="1:6" ht="15.6" x14ac:dyDescent="0.3">
      <c r="A194" s="127">
        <v>238</v>
      </c>
      <c r="B194" s="131">
        <v>43349</v>
      </c>
      <c r="C194" s="132" t="s">
        <v>1508</v>
      </c>
      <c r="D194" s="132" t="s">
        <v>1524</v>
      </c>
      <c r="E194" s="141"/>
      <c r="F194" s="141">
        <v>10000</v>
      </c>
    </row>
    <row r="195" spans="1:6" ht="15.6" x14ac:dyDescent="0.3">
      <c r="A195" s="127">
        <v>239</v>
      </c>
      <c r="B195" s="131">
        <v>43350</v>
      </c>
      <c r="C195" s="129" t="s">
        <v>1487</v>
      </c>
      <c r="D195" s="129" t="s">
        <v>1471</v>
      </c>
      <c r="E195" s="141"/>
      <c r="F195" s="141">
        <v>100000</v>
      </c>
    </row>
    <row r="196" spans="1:6" ht="15.6" x14ac:dyDescent="0.3">
      <c r="A196" s="127">
        <v>240</v>
      </c>
      <c r="B196" s="128">
        <v>43350</v>
      </c>
      <c r="C196" s="129" t="s">
        <v>1367</v>
      </c>
      <c r="D196" s="129" t="s">
        <v>1521</v>
      </c>
      <c r="E196" s="141"/>
      <c r="F196" s="141">
        <v>350</v>
      </c>
    </row>
    <row r="197" spans="1:6" ht="15.6" x14ac:dyDescent="0.3">
      <c r="A197" s="127">
        <v>241</v>
      </c>
      <c r="B197" s="131">
        <v>43350</v>
      </c>
      <c r="C197" s="132" t="s">
        <v>26</v>
      </c>
      <c r="D197" s="132" t="s">
        <v>1522</v>
      </c>
      <c r="E197" s="168"/>
      <c r="F197" s="141">
        <v>25000</v>
      </c>
    </row>
    <row r="198" spans="1:6" ht="15.6" x14ac:dyDescent="0.3">
      <c r="A198" s="127">
        <v>242</v>
      </c>
      <c r="B198" s="128">
        <v>43353</v>
      </c>
      <c r="C198" s="129" t="s">
        <v>1369</v>
      </c>
      <c r="D198" s="129" t="s">
        <v>1521</v>
      </c>
      <c r="E198" s="141"/>
      <c r="F198" s="141">
        <v>500</v>
      </c>
    </row>
    <row r="199" spans="1:6" ht="15.6" x14ac:dyDescent="0.3">
      <c r="A199" s="127">
        <v>243</v>
      </c>
      <c r="B199" s="131">
        <v>43354</v>
      </c>
      <c r="C199" s="129" t="s">
        <v>1488</v>
      </c>
      <c r="D199" s="129" t="s">
        <v>1471</v>
      </c>
      <c r="E199" s="141"/>
      <c r="F199" s="141">
        <v>10000</v>
      </c>
    </row>
    <row r="200" spans="1:6" ht="15.6" hidden="1" x14ac:dyDescent="0.3">
      <c r="A200" s="127">
        <v>244</v>
      </c>
      <c r="B200" s="128">
        <v>43354</v>
      </c>
      <c r="C200" s="129" t="s">
        <v>9</v>
      </c>
      <c r="D200" s="129" t="s">
        <v>1516</v>
      </c>
      <c r="E200" s="141"/>
      <c r="F200" s="141"/>
    </row>
    <row r="201" spans="1:6" ht="15.6" x14ac:dyDescent="0.3">
      <c r="A201" s="127">
        <v>250</v>
      </c>
      <c r="B201" s="128">
        <v>43358</v>
      </c>
      <c r="C201" s="129" t="s">
        <v>1376</v>
      </c>
      <c r="D201" s="129" t="s">
        <v>1520</v>
      </c>
      <c r="E201" s="141">
        <v>100000</v>
      </c>
      <c r="F201" s="141"/>
    </row>
    <row r="202" spans="1:6" ht="15.6" x14ac:dyDescent="0.3">
      <c r="A202" s="127">
        <v>251</v>
      </c>
      <c r="B202" s="128">
        <v>43358</v>
      </c>
      <c r="C202" s="129" t="s">
        <v>1163</v>
      </c>
      <c r="D202" s="129" t="s">
        <v>1521</v>
      </c>
      <c r="E202" s="141"/>
      <c r="F202" s="141">
        <v>500</v>
      </c>
    </row>
    <row r="203" spans="1:6" ht="15.6" hidden="1" x14ac:dyDescent="0.3">
      <c r="A203" s="127">
        <v>252</v>
      </c>
      <c r="B203" s="128">
        <v>43358</v>
      </c>
      <c r="C203" s="129" t="s">
        <v>9</v>
      </c>
      <c r="D203" s="129" t="s">
        <v>1516</v>
      </c>
      <c r="E203" s="141"/>
      <c r="F203" s="141"/>
    </row>
    <row r="204" spans="1:6" ht="15.6" x14ac:dyDescent="0.3">
      <c r="A204" s="127">
        <v>253</v>
      </c>
      <c r="B204" s="128">
        <v>43358</v>
      </c>
      <c r="C204" s="129" t="s">
        <v>1739</v>
      </c>
      <c r="D204" s="129" t="s">
        <v>1516</v>
      </c>
      <c r="E204" s="141"/>
      <c r="F204" s="141">
        <v>4400</v>
      </c>
    </row>
    <row r="205" spans="1:6" ht="15.6" x14ac:dyDescent="0.3">
      <c r="A205" s="127">
        <v>254</v>
      </c>
      <c r="B205" s="131">
        <v>43358</v>
      </c>
      <c r="C205" s="129" t="s">
        <v>1513</v>
      </c>
      <c r="D205" s="129" t="s">
        <v>1530</v>
      </c>
      <c r="E205" s="141"/>
      <c r="F205" s="141">
        <v>23000</v>
      </c>
    </row>
    <row r="206" spans="1:6" ht="15.6" x14ac:dyDescent="0.3">
      <c r="A206" s="127">
        <v>258</v>
      </c>
      <c r="B206" s="131">
        <v>43367</v>
      </c>
      <c r="C206" s="129" t="s">
        <v>1489</v>
      </c>
      <c r="D206" s="129" t="s">
        <v>1471</v>
      </c>
      <c r="E206" s="141"/>
      <c r="F206" s="141">
        <v>10000</v>
      </c>
    </row>
    <row r="207" spans="1:6" ht="15.6" x14ac:dyDescent="0.3">
      <c r="A207" s="127">
        <v>259</v>
      </c>
      <c r="B207" s="128">
        <v>43367</v>
      </c>
      <c r="C207" s="129" t="s">
        <v>1382</v>
      </c>
      <c r="D207" s="129" t="s">
        <v>1520</v>
      </c>
      <c r="E207" s="141">
        <v>150000</v>
      </c>
      <c r="F207" s="141"/>
    </row>
    <row r="208" spans="1:6" ht="15.6" x14ac:dyDescent="0.3">
      <c r="A208" s="127">
        <v>262</v>
      </c>
      <c r="B208" s="131">
        <v>43370</v>
      </c>
      <c r="C208" s="129" t="s">
        <v>1489</v>
      </c>
      <c r="D208" s="129" t="s">
        <v>1471</v>
      </c>
      <c r="E208" s="141"/>
      <c r="F208" s="141">
        <v>7000</v>
      </c>
    </row>
    <row r="209" spans="1:7" ht="15.6" x14ac:dyDescent="0.3">
      <c r="A209" s="127">
        <v>321</v>
      </c>
      <c r="B209" s="128">
        <v>43402</v>
      </c>
      <c r="C209" s="129" t="s">
        <v>1570</v>
      </c>
      <c r="D209" s="129" t="s">
        <v>1520</v>
      </c>
      <c r="E209" s="141">
        <v>50000</v>
      </c>
      <c r="F209" s="141"/>
    </row>
    <row r="210" spans="1:7" ht="15.6" x14ac:dyDescent="0.3">
      <c r="A210" s="127">
        <v>322</v>
      </c>
      <c r="B210" s="128">
        <v>43402</v>
      </c>
      <c r="C210" s="129" t="s">
        <v>1570</v>
      </c>
      <c r="D210" s="129" t="s">
        <v>1520</v>
      </c>
      <c r="E210" s="141">
        <v>50000</v>
      </c>
      <c r="F210" s="141"/>
    </row>
    <row r="211" spans="1:7" ht="15.6" x14ac:dyDescent="0.3">
      <c r="A211" s="127">
        <v>329</v>
      </c>
      <c r="B211" s="131">
        <v>43405</v>
      </c>
      <c r="C211" s="132" t="s">
        <v>1528</v>
      </c>
      <c r="D211" s="132" t="s">
        <v>1524</v>
      </c>
      <c r="E211" s="141"/>
      <c r="F211" s="141">
        <v>50000</v>
      </c>
    </row>
    <row r="212" spans="1:7" ht="15.6" x14ac:dyDescent="0.3">
      <c r="A212" s="127">
        <v>372</v>
      </c>
      <c r="B212" s="128">
        <v>43427</v>
      </c>
      <c r="C212" s="129" t="s">
        <v>1386</v>
      </c>
      <c r="D212" s="129" t="s">
        <v>1535</v>
      </c>
      <c r="E212" s="141">
        <v>9000</v>
      </c>
      <c r="F212" s="141"/>
    </row>
    <row r="213" spans="1:7" ht="15.6" x14ac:dyDescent="0.3">
      <c r="A213" s="127">
        <v>664</v>
      </c>
      <c r="B213" s="128">
        <v>43536</v>
      </c>
      <c r="C213" s="129" t="s">
        <v>1617</v>
      </c>
      <c r="D213" s="129" t="s">
        <v>1520</v>
      </c>
      <c r="E213" s="141">
        <v>300000</v>
      </c>
      <c r="F213" s="141"/>
      <c r="G213" s="184"/>
    </row>
    <row r="214" spans="1:7" ht="15.6" x14ac:dyDescent="0.3">
      <c r="A214" s="127">
        <v>757</v>
      </c>
      <c r="B214" s="128">
        <v>43577</v>
      </c>
      <c r="C214" s="129" t="s">
        <v>1537</v>
      </c>
      <c r="D214" s="129" t="s">
        <v>1535</v>
      </c>
      <c r="E214" s="171">
        <v>3600</v>
      </c>
      <c r="F214" s="141"/>
    </row>
    <row r="215" spans="1:7" ht="15.6" x14ac:dyDescent="0.3">
      <c r="A215" s="127">
        <v>766</v>
      </c>
      <c r="B215" s="128">
        <v>43582</v>
      </c>
      <c r="C215" s="129" t="s">
        <v>1536</v>
      </c>
      <c r="D215" s="129" t="s">
        <v>1535</v>
      </c>
      <c r="E215" s="141">
        <v>20000</v>
      </c>
      <c r="F215" s="141"/>
    </row>
    <row r="216" spans="1:7" ht="15.6" x14ac:dyDescent="0.3">
      <c r="A216" s="127">
        <v>814</v>
      </c>
      <c r="B216" s="128">
        <v>43601</v>
      </c>
      <c r="C216" s="129" t="s">
        <v>1390</v>
      </c>
      <c r="D216" s="129" t="s">
        <v>1520</v>
      </c>
      <c r="E216" s="141">
        <v>150000</v>
      </c>
      <c r="F216" s="168"/>
    </row>
    <row r="217" spans="1:7" ht="15.6" x14ac:dyDescent="0.3">
      <c r="A217" s="127">
        <v>955</v>
      </c>
      <c r="B217" s="128">
        <v>43687</v>
      </c>
      <c r="C217" s="129" t="s">
        <v>1392</v>
      </c>
      <c r="D217" s="129" t="s">
        <v>1520</v>
      </c>
      <c r="E217" s="141">
        <v>200000</v>
      </c>
      <c r="F217" s="168"/>
    </row>
    <row r="218" spans="1:7" ht="15.6" x14ac:dyDescent="0.3">
      <c r="A218" s="127" t="s">
        <v>1748</v>
      </c>
      <c r="B218" s="128">
        <v>43799</v>
      </c>
      <c r="C218" s="129" t="s">
        <v>1747</v>
      </c>
      <c r="D218" s="129" t="s">
        <v>1526</v>
      </c>
      <c r="E218" s="168"/>
      <c r="F218" s="129">
        <v>15000</v>
      </c>
    </row>
    <row r="219" spans="1:7" ht="15.6" x14ac:dyDescent="0.3">
      <c r="A219" s="127">
        <v>1162</v>
      </c>
      <c r="B219" s="128">
        <v>43815</v>
      </c>
      <c r="C219" s="129" t="s">
        <v>1741</v>
      </c>
      <c r="D219" s="129" t="s">
        <v>1520</v>
      </c>
      <c r="E219" s="141">
        <v>300000</v>
      </c>
      <c r="F219" s="141"/>
    </row>
    <row r="220" spans="1:7" ht="15.6" x14ac:dyDescent="0.3">
      <c r="A220" s="127">
        <v>1165</v>
      </c>
      <c r="B220" s="128">
        <v>43818</v>
      </c>
      <c r="C220" s="129" t="s">
        <v>1742</v>
      </c>
      <c r="D220" s="129" t="s">
        <v>1520</v>
      </c>
      <c r="E220" s="141">
        <v>300000</v>
      </c>
      <c r="F220" s="141"/>
    </row>
    <row r="221" spans="1:7" ht="15.6" x14ac:dyDescent="0.3">
      <c r="A221" s="127">
        <v>1576</v>
      </c>
      <c r="B221" s="128">
        <v>44222</v>
      </c>
      <c r="C221" s="129" t="s">
        <v>1803</v>
      </c>
      <c r="D221" s="129" t="s">
        <v>1520</v>
      </c>
      <c r="E221" s="152">
        <v>400000</v>
      </c>
      <c r="F221" s="129"/>
      <c r="G221" s="152">
        <v>400000</v>
      </c>
    </row>
    <row r="222" spans="1:7" ht="15.6" x14ac:dyDescent="0.3">
      <c r="A222" s="127"/>
      <c r="B222" s="128"/>
      <c r="C222" s="129"/>
      <c r="D222" s="129"/>
      <c r="E222" s="141"/>
      <c r="F222" s="141"/>
    </row>
    <row r="223" spans="1:7" s="179" customFormat="1" x14ac:dyDescent="0.3">
      <c r="B223" s="180"/>
      <c r="C223" s="179" t="s">
        <v>1744</v>
      </c>
      <c r="D223" s="181"/>
      <c r="E223" s="181">
        <f>SUM(E4:E222)</f>
        <v>6017300</v>
      </c>
      <c r="F223" s="181">
        <f>SUM(F4:F222)</f>
        <v>4585934</v>
      </c>
      <c r="G223" s="185"/>
    </row>
    <row r="224" spans="1:7" s="179" customFormat="1" x14ac:dyDescent="0.3">
      <c r="B224" s="180"/>
      <c r="C224" s="179" t="s">
        <v>1745</v>
      </c>
      <c r="D224" s="181"/>
      <c r="E224" s="181">
        <f>E223-F223</f>
        <v>1431366</v>
      </c>
      <c r="F224" s="181"/>
      <c r="G224" s="185"/>
    </row>
  </sheetData>
  <autoFilter ref="A3:F222">
    <sortState ref="A4:F230">
      <sortCondition ref="B4:B230"/>
    </sortState>
  </autoFilter>
  <customSheetViews>
    <customSheetView guid="{80F19098-3ACC-4F0A-B214-68DF3421AAAA}" showPageBreaks="1" showAutoFilter="1" view="pageBreakPreview" topLeftCell="A199">
      <selection activeCell="D210" sqref="D210"/>
      <pageMargins left="0.19685039370078741" right="0.19685039370078741" top="0.74803149606299213" bottom="0.74803149606299213" header="0.31496062992125984" footer="0.31496062992125984"/>
      <pageSetup paperSize="9" orientation="portrait" horizontalDpi="300" verticalDpi="300" r:id="rId1"/>
      <autoFilter ref="A3:F206"/>
    </customSheetView>
  </customSheetViews>
  <conditionalFormatting sqref="G213">
    <cfRule type="cellIs" dxfId="759" priority="4" operator="greaterThan">
      <formula>0</formula>
    </cfRule>
  </conditionalFormatting>
  <conditionalFormatting sqref="G213">
    <cfRule type="cellIs" dxfId="758" priority="3" operator="greaterThan">
      <formula>0</formula>
    </cfRule>
  </conditionalFormatting>
  <conditionalFormatting sqref="G221">
    <cfRule type="cellIs" dxfId="757" priority="2" operator="greaterThan">
      <formula>0</formula>
    </cfRule>
  </conditionalFormatting>
  <conditionalFormatting sqref="G221">
    <cfRule type="cellIs" dxfId="756" priority="1" operator="greaterThan">
      <formula>0</formula>
    </cfRule>
  </conditionalFormatting>
  <printOptions horizontalCentered="1"/>
  <pageMargins left="0.196850393700787" right="0.196850393700787" top="0.74803149606299202" bottom="0.74803149606299202" header="0.31496062992126" footer="0.31496062992126"/>
  <pageSetup paperSize="9" orientation="portrait" horizontalDpi="300" verticalDpi="300" r:id="rId2"/>
  <headerFooter>
    <oddFooter>&amp;RPage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34"/>
  <sheetViews>
    <sheetView workbookViewId="0">
      <pane ySplit="4" topLeftCell="A5" activePane="bottomLeft" state="frozen"/>
      <selection pane="bottomLeft" activeCell="D77" sqref="D77"/>
    </sheetView>
  </sheetViews>
  <sheetFormatPr defaultRowHeight="14.4" x14ac:dyDescent="0.3"/>
  <cols>
    <col min="1" max="1" width="27" customWidth="1"/>
    <col min="2" max="2" width="16.109375" customWidth="1"/>
    <col min="3" max="3" width="7.21875" customWidth="1"/>
    <col min="4" max="4" width="12.44140625" customWidth="1"/>
    <col min="5" max="5" width="10.77734375" customWidth="1"/>
    <col min="6" max="6" width="14.44140625" customWidth="1"/>
    <col min="7" max="7" width="17.33203125" customWidth="1"/>
    <col min="8" max="8" width="10.77734375" customWidth="1"/>
    <col min="9" max="9" width="9.77734375" bestFit="1" customWidth="1"/>
    <col min="10" max="10" width="10.33203125" bestFit="1" customWidth="1"/>
    <col min="11" max="11" width="6.5546875" customWidth="1"/>
    <col min="12" max="12" width="13.33203125" bestFit="1" customWidth="1"/>
    <col min="13" max="13" width="9.33203125" bestFit="1" customWidth="1"/>
    <col min="14" max="14" width="11.88671875" bestFit="1" customWidth="1"/>
    <col min="15" max="15" width="14.44140625" bestFit="1" customWidth="1"/>
    <col min="16" max="16" width="17.33203125" customWidth="1"/>
    <col min="17" max="17" width="10.77734375" customWidth="1"/>
    <col min="18" max="19" width="5" customWidth="1"/>
    <col min="20" max="21" width="19.44140625" bestFit="1" customWidth="1"/>
    <col min="22" max="22" width="9" bestFit="1" customWidth="1"/>
    <col min="23" max="23" width="23.88671875" bestFit="1" customWidth="1"/>
    <col min="24" max="24" width="10.44140625" bestFit="1" customWidth="1"/>
    <col min="25" max="25" width="26.88671875" bestFit="1" customWidth="1"/>
    <col min="26" max="26" width="19.6640625" bestFit="1" customWidth="1"/>
    <col min="27" max="27" width="20.5546875" bestFit="1" customWidth="1"/>
    <col min="28" max="28" width="25.77734375" bestFit="1" customWidth="1"/>
    <col min="29" max="29" width="9.109375" bestFit="1" customWidth="1"/>
    <col min="30" max="30" width="13.109375" bestFit="1" customWidth="1"/>
    <col min="31" max="31" width="12.21875" bestFit="1" customWidth="1"/>
    <col min="32" max="32" width="21.77734375" bestFit="1" customWidth="1"/>
    <col min="33" max="33" width="13.33203125" bestFit="1" customWidth="1"/>
    <col min="34" max="34" width="18.77734375" bestFit="1" customWidth="1"/>
    <col min="35" max="35" width="13.21875" bestFit="1" customWidth="1"/>
    <col min="36" max="36" width="14.21875" bestFit="1" customWidth="1"/>
    <col min="37" max="37" width="14.6640625" bestFit="1" customWidth="1"/>
    <col min="38" max="38" width="25.88671875" bestFit="1" customWidth="1"/>
    <col min="39" max="39" width="36.77734375" bestFit="1" customWidth="1"/>
    <col min="40" max="41" width="12.6640625" bestFit="1" customWidth="1"/>
    <col min="42" max="42" width="20.88671875" bestFit="1" customWidth="1"/>
    <col min="43" max="43" width="13.33203125" bestFit="1" customWidth="1"/>
    <col min="44" max="44" width="5.6640625" customWidth="1"/>
    <col min="45" max="45" width="10.5546875" bestFit="1" customWidth="1"/>
    <col min="46" max="46" width="11.33203125" bestFit="1" customWidth="1"/>
    <col min="47" max="47" width="19.21875" bestFit="1" customWidth="1"/>
    <col min="48" max="48" width="13.5546875" bestFit="1" customWidth="1"/>
    <col min="49" max="49" width="20" bestFit="1" customWidth="1"/>
    <col min="50" max="50" width="11" bestFit="1" customWidth="1"/>
    <col min="51" max="51" width="7.44140625" customWidth="1"/>
    <col min="52" max="52" width="24" bestFit="1" customWidth="1"/>
    <col min="53" max="53" width="14.77734375" bestFit="1" customWidth="1"/>
    <col min="54" max="54" width="22" bestFit="1" customWidth="1"/>
    <col min="55" max="55" width="11.77734375" bestFit="1" customWidth="1"/>
    <col min="56" max="56" width="28.33203125" bestFit="1" customWidth="1"/>
    <col min="57" max="57" width="25.44140625" bestFit="1" customWidth="1"/>
    <col min="58" max="58" width="17.77734375" bestFit="1" customWidth="1"/>
    <col min="59" max="59" width="15.33203125" bestFit="1" customWidth="1"/>
    <col min="60" max="60" width="20.109375" bestFit="1" customWidth="1"/>
    <col min="61" max="61" width="27.88671875" bestFit="1" customWidth="1"/>
    <col min="62" max="62" width="15.6640625" bestFit="1" customWidth="1"/>
    <col min="63" max="63" width="6.88671875" customWidth="1"/>
    <col min="64" max="64" width="14.6640625" bestFit="1" customWidth="1"/>
    <col min="65" max="65" width="17.77734375" bestFit="1" customWidth="1"/>
    <col min="66" max="66" width="24" bestFit="1" customWidth="1"/>
    <col min="67" max="67" width="20.88671875" bestFit="1" customWidth="1"/>
    <col min="68" max="68" width="13.33203125" bestFit="1" customWidth="1"/>
    <col min="69" max="69" width="7.77734375" customWidth="1"/>
    <col min="70" max="70" width="11.6640625" bestFit="1" customWidth="1"/>
    <col min="71" max="71" width="37.33203125" bestFit="1" customWidth="1"/>
    <col min="72" max="72" width="11.77734375" bestFit="1" customWidth="1"/>
    <col min="73" max="73" width="12.88671875" bestFit="1" customWidth="1"/>
    <col min="74" max="74" width="19.44140625" bestFit="1" customWidth="1"/>
    <col min="75" max="75" width="12.6640625" bestFit="1" customWidth="1"/>
    <col min="76" max="76" width="10.21875" bestFit="1" customWidth="1"/>
    <col min="77" max="77" width="10.33203125" bestFit="1" customWidth="1"/>
    <col min="78" max="78" width="19.33203125" bestFit="1" customWidth="1"/>
    <col min="79" max="79" width="10.88671875" bestFit="1" customWidth="1"/>
    <col min="80" max="80" width="12.5546875" bestFit="1" customWidth="1"/>
    <col min="81" max="81" width="9.21875" bestFit="1" customWidth="1"/>
    <col min="82" max="82" width="15.5546875" bestFit="1" customWidth="1"/>
    <col min="83" max="83" width="10.77734375" bestFit="1" customWidth="1"/>
    <col min="84" max="84" width="12" bestFit="1" customWidth="1"/>
    <col min="85" max="85" width="15.6640625" bestFit="1" customWidth="1"/>
    <col min="86" max="86" width="14.109375" bestFit="1" customWidth="1"/>
    <col min="87" max="87" width="6.88671875" customWidth="1"/>
    <col min="88" max="88" width="28.33203125" bestFit="1" customWidth="1"/>
    <col min="89" max="89" width="16.21875" bestFit="1" customWidth="1"/>
    <col min="90" max="90" width="14.33203125" bestFit="1" customWidth="1"/>
    <col min="91" max="91" width="6.77734375" customWidth="1"/>
    <col min="92" max="92" width="18.5546875" bestFit="1" customWidth="1"/>
    <col min="93" max="93" width="10.5546875" bestFit="1" customWidth="1"/>
    <col min="94" max="94" width="7.88671875" customWidth="1"/>
    <col min="95" max="95" width="8.33203125" customWidth="1"/>
    <col min="96" max="96" width="15.6640625" bestFit="1" customWidth="1"/>
    <col min="97" max="97" width="18.44140625" bestFit="1" customWidth="1"/>
    <col min="98" max="98" width="25.44140625" bestFit="1" customWidth="1"/>
    <col min="99" max="99" width="30.5546875" bestFit="1" customWidth="1"/>
    <col min="100" max="100" width="16.44140625" bestFit="1" customWidth="1"/>
    <col min="101" max="101" width="6.5546875" customWidth="1"/>
    <col min="102" max="102" width="14.33203125" bestFit="1" customWidth="1"/>
    <col min="103" max="103" width="14.88671875" bestFit="1" customWidth="1"/>
    <col min="104" max="104" width="20.5546875" bestFit="1" customWidth="1"/>
    <col min="105" max="105" width="17" bestFit="1" customWidth="1"/>
    <col min="106" max="106" width="6" customWidth="1"/>
    <col min="107" max="107" width="16.33203125" bestFit="1" customWidth="1"/>
    <col min="108" max="108" width="16.21875" bestFit="1" customWidth="1"/>
    <col min="109" max="109" width="6.88671875" customWidth="1"/>
    <col min="110" max="110" width="13.21875" bestFit="1" customWidth="1"/>
    <col min="111" max="111" width="9.44140625" bestFit="1" customWidth="1"/>
    <col min="112" max="112" width="20.33203125" bestFit="1" customWidth="1"/>
    <col min="113" max="113" width="13.88671875" bestFit="1" customWidth="1"/>
    <col min="114" max="114" width="12.44140625" bestFit="1" customWidth="1"/>
    <col min="115" max="115" width="4.44140625" customWidth="1"/>
    <col min="116" max="116" width="5.33203125" customWidth="1"/>
    <col min="117" max="117" width="20.77734375" bestFit="1" customWidth="1"/>
    <col min="118" max="118" width="7.5546875" customWidth="1"/>
    <col min="119" max="119" width="16.44140625" bestFit="1" customWidth="1"/>
    <col min="120" max="120" width="15.44140625" bestFit="1" customWidth="1"/>
    <col min="121" max="121" width="33.6640625" bestFit="1" customWidth="1"/>
    <col min="122" max="122" width="8.77734375" customWidth="1"/>
    <col min="123" max="123" width="11" bestFit="1" customWidth="1"/>
    <col min="124" max="124" width="15.33203125" bestFit="1" customWidth="1"/>
    <col min="125" max="125" width="26.109375" bestFit="1" customWidth="1"/>
    <col min="127" max="127" width="18.109375" bestFit="1" customWidth="1"/>
    <col min="128" max="128" width="27.21875" bestFit="1" customWidth="1"/>
    <col min="129" max="129" width="9.44140625" bestFit="1" customWidth="1"/>
    <col min="130" max="130" width="13.88671875" bestFit="1" customWidth="1"/>
    <col min="131" max="131" width="12.5546875" bestFit="1" customWidth="1"/>
    <col min="132" max="132" width="12.88671875" bestFit="1" customWidth="1"/>
    <col min="133" max="133" width="13.33203125" bestFit="1" customWidth="1"/>
    <col min="134" max="134" width="5.6640625" customWidth="1"/>
    <col min="135" max="135" width="14" bestFit="1" customWidth="1"/>
    <col min="136" max="136" width="15.5546875" bestFit="1" customWidth="1"/>
    <col min="137" max="137" width="13.33203125" bestFit="1" customWidth="1"/>
    <col min="138" max="138" width="35.21875" bestFit="1" customWidth="1"/>
    <col min="139" max="139" width="37.109375" bestFit="1" customWidth="1"/>
    <col min="140" max="140" width="16.77734375" bestFit="1" customWidth="1"/>
    <col min="141" max="141" width="16" bestFit="1" customWidth="1"/>
    <col min="142" max="142" width="25.44140625" bestFit="1" customWidth="1"/>
    <col min="143" max="143" width="39" bestFit="1" customWidth="1"/>
    <col min="144" max="144" width="29.6640625" bestFit="1" customWidth="1"/>
    <col min="145" max="145" width="56.33203125" bestFit="1" customWidth="1"/>
    <col min="146" max="146" width="13.44140625" bestFit="1" customWidth="1"/>
    <col min="147" max="147" width="40" bestFit="1" customWidth="1"/>
    <col min="148" max="148" width="10.6640625" bestFit="1" customWidth="1"/>
    <col min="149" max="149" width="51.21875" bestFit="1" customWidth="1"/>
    <col min="150" max="150" width="19.5546875" bestFit="1" customWidth="1"/>
    <col min="151" max="151" width="10.109375" bestFit="1" customWidth="1"/>
    <col min="152" max="152" width="41" bestFit="1" customWidth="1"/>
    <col min="153" max="153" width="16.88671875" bestFit="1" customWidth="1"/>
    <col min="154" max="154" width="31" bestFit="1" customWidth="1"/>
    <col min="155" max="155" width="34.6640625" bestFit="1" customWidth="1"/>
    <col min="156" max="156" width="29.109375" bestFit="1" customWidth="1"/>
    <col min="157" max="157" width="11.88671875" bestFit="1" customWidth="1"/>
    <col min="158" max="158" width="20.88671875" bestFit="1" customWidth="1"/>
    <col min="159" max="159" width="32.44140625" bestFit="1" customWidth="1"/>
    <col min="160" max="160" width="24.33203125" bestFit="1" customWidth="1"/>
    <col min="161" max="161" width="23.33203125" bestFit="1" customWidth="1"/>
    <col min="162" max="162" width="17.33203125" bestFit="1" customWidth="1"/>
    <col min="163" max="163" width="10.77734375" bestFit="1" customWidth="1"/>
  </cols>
  <sheetData>
    <row r="2" spans="1:5" x14ac:dyDescent="0.3">
      <c r="A2" s="69" t="s">
        <v>1515</v>
      </c>
      <c r="B2" t="s">
        <v>1844</v>
      </c>
    </row>
    <row r="4" spans="1:5" x14ac:dyDescent="0.3">
      <c r="A4" s="69" t="s">
        <v>1843</v>
      </c>
      <c r="B4" s="69" t="s">
        <v>1449</v>
      </c>
    </row>
    <row r="5" spans="1:5" x14ac:dyDescent="0.3">
      <c r="A5" s="166" t="s">
        <v>1447</v>
      </c>
      <c r="B5" s="66" t="s">
        <v>1138</v>
      </c>
      <c r="C5" s="66" t="s">
        <v>1148</v>
      </c>
      <c r="D5" t="s">
        <v>1535</v>
      </c>
      <c r="E5" s="66" t="s">
        <v>1448</v>
      </c>
    </row>
    <row r="6" spans="1:5" x14ac:dyDescent="0.3">
      <c r="A6" s="70">
        <v>43160</v>
      </c>
      <c r="B6" s="71">
        <v>5</v>
      </c>
      <c r="C6" s="71"/>
      <c r="D6" s="71"/>
      <c r="E6" s="71">
        <v>5</v>
      </c>
    </row>
    <row r="7" spans="1:5" x14ac:dyDescent="0.3">
      <c r="A7" s="70">
        <v>43180</v>
      </c>
      <c r="B7" s="71">
        <v>1</v>
      </c>
      <c r="C7" s="71"/>
      <c r="D7" s="71">
        <v>1</v>
      </c>
      <c r="E7" s="71">
        <v>2</v>
      </c>
    </row>
    <row r="8" spans="1:5" x14ac:dyDescent="0.3">
      <c r="A8" s="115">
        <v>43189</v>
      </c>
      <c r="B8" s="71">
        <v>1</v>
      </c>
      <c r="C8" s="71"/>
      <c r="D8" s="71"/>
      <c r="E8" s="71">
        <v>1</v>
      </c>
    </row>
    <row r="9" spans="1:5" x14ac:dyDescent="0.3">
      <c r="A9" s="70">
        <v>43191</v>
      </c>
      <c r="B9" s="71">
        <v>42</v>
      </c>
      <c r="C9" s="71"/>
      <c r="D9" s="71"/>
      <c r="E9" s="71">
        <v>42</v>
      </c>
    </row>
    <row r="10" spans="1:5" x14ac:dyDescent="0.3">
      <c r="A10" s="115">
        <v>43196</v>
      </c>
      <c r="B10" s="71">
        <v>2</v>
      </c>
      <c r="C10" s="71"/>
      <c r="D10" s="71"/>
      <c r="E10" s="71">
        <v>2</v>
      </c>
    </row>
    <row r="11" spans="1:5" x14ac:dyDescent="0.3">
      <c r="A11" s="70">
        <v>43201</v>
      </c>
      <c r="B11" s="71"/>
      <c r="C11" s="71">
        <v>2</v>
      </c>
      <c r="D11" s="71"/>
      <c r="E11" s="71">
        <v>2</v>
      </c>
    </row>
    <row r="12" spans="1:5" x14ac:dyDescent="0.3">
      <c r="A12" s="70">
        <v>43204</v>
      </c>
      <c r="B12" s="71">
        <v>4</v>
      </c>
      <c r="C12" s="71">
        <v>1</v>
      </c>
      <c r="D12" s="71"/>
      <c r="E12" s="71">
        <v>5</v>
      </c>
    </row>
    <row r="13" spans="1:5" x14ac:dyDescent="0.3">
      <c r="A13" s="115">
        <v>43206</v>
      </c>
      <c r="B13" s="71">
        <v>1</v>
      </c>
      <c r="C13" s="71"/>
      <c r="D13" s="71"/>
      <c r="E13" s="71">
        <v>1</v>
      </c>
    </row>
    <row r="14" spans="1:5" x14ac:dyDescent="0.3">
      <c r="A14" s="70">
        <v>43208</v>
      </c>
      <c r="B14" s="71">
        <v>3</v>
      </c>
      <c r="C14" s="71">
        <v>1</v>
      </c>
      <c r="D14" s="71"/>
      <c r="E14" s="71">
        <v>4</v>
      </c>
    </row>
    <row r="15" spans="1:5" x14ac:dyDescent="0.3">
      <c r="A15" s="70">
        <v>43209</v>
      </c>
      <c r="B15" s="71">
        <v>1</v>
      </c>
      <c r="C15" s="71">
        <v>1</v>
      </c>
      <c r="D15" s="71"/>
      <c r="E15" s="71">
        <v>2</v>
      </c>
    </row>
    <row r="16" spans="1:5" x14ac:dyDescent="0.3">
      <c r="A16" s="115">
        <v>43210</v>
      </c>
      <c r="B16" s="71">
        <v>2</v>
      </c>
      <c r="C16" s="71"/>
      <c r="D16" s="71"/>
      <c r="E16" s="71">
        <v>2</v>
      </c>
    </row>
    <row r="17" spans="1:5" x14ac:dyDescent="0.3">
      <c r="A17" s="70">
        <v>43213</v>
      </c>
      <c r="B17" s="71">
        <v>2</v>
      </c>
      <c r="C17" s="71">
        <v>1</v>
      </c>
      <c r="D17" s="71"/>
      <c r="E17" s="71">
        <v>3</v>
      </c>
    </row>
    <row r="18" spans="1:5" x14ac:dyDescent="0.3">
      <c r="A18" s="115">
        <v>43216</v>
      </c>
      <c r="B18" s="71">
        <v>2</v>
      </c>
      <c r="C18" s="71"/>
      <c r="D18" s="71"/>
      <c r="E18" s="71">
        <v>2</v>
      </c>
    </row>
    <row r="19" spans="1:5" x14ac:dyDescent="0.3">
      <c r="A19" s="70">
        <v>43219</v>
      </c>
      <c r="B19" s="71"/>
      <c r="C19" s="71">
        <v>1</v>
      </c>
      <c r="D19" s="71"/>
      <c r="E19" s="71">
        <v>1</v>
      </c>
    </row>
    <row r="20" spans="1:5" x14ac:dyDescent="0.3">
      <c r="A20" s="115">
        <v>43220</v>
      </c>
      <c r="B20" s="71">
        <v>2</v>
      </c>
      <c r="C20" s="71"/>
      <c r="D20" s="71"/>
      <c r="E20" s="71">
        <v>2</v>
      </c>
    </row>
    <row r="21" spans="1:5" x14ac:dyDescent="0.3">
      <c r="A21" s="70">
        <v>43221</v>
      </c>
      <c r="B21" s="71">
        <v>13</v>
      </c>
      <c r="C21" s="71"/>
      <c r="D21" s="71"/>
      <c r="E21" s="71">
        <v>13</v>
      </c>
    </row>
    <row r="22" spans="1:5" x14ac:dyDescent="0.3">
      <c r="A22" s="70">
        <v>43224</v>
      </c>
      <c r="B22" s="71">
        <v>1</v>
      </c>
      <c r="C22" s="71"/>
      <c r="D22" s="71"/>
      <c r="E22" s="71">
        <v>1</v>
      </c>
    </row>
    <row r="23" spans="1:5" x14ac:dyDescent="0.3">
      <c r="A23" s="70">
        <v>43227</v>
      </c>
      <c r="B23" s="71">
        <v>1</v>
      </c>
      <c r="C23" s="71"/>
      <c r="D23" s="71"/>
      <c r="E23" s="71">
        <v>1</v>
      </c>
    </row>
    <row r="24" spans="1:5" x14ac:dyDescent="0.3">
      <c r="A24" s="70">
        <v>43229</v>
      </c>
      <c r="B24" s="71">
        <v>1</v>
      </c>
      <c r="C24" s="71"/>
      <c r="D24" s="71"/>
      <c r="E24" s="71">
        <v>1</v>
      </c>
    </row>
    <row r="25" spans="1:5" x14ac:dyDescent="0.3">
      <c r="A25" s="70">
        <v>43230</v>
      </c>
      <c r="B25" s="71">
        <v>1</v>
      </c>
      <c r="C25" s="71"/>
      <c r="D25" s="71"/>
      <c r="E25" s="71">
        <v>1</v>
      </c>
    </row>
    <row r="26" spans="1:5" x14ac:dyDescent="0.3">
      <c r="A26" s="115">
        <v>43231</v>
      </c>
      <c r="B26" s="71">
        <v>1</v>
      </c>
      <c r="C26" s="71"/>
      <c r="D26" s="71"/>
      <c r="E26" s="71">
        <v>1</v>
      </c>
    </row>
    <row r="27" spans="1:5" x14ac:dyDescent="0.3">
      <c r="A27" s="115">
        <v>43235</v>
      </c>
      <c r="B27" s="71">
        <v>1</v>
      </c>
      <c r="C27" s="71"/>
      <c r="D27" s="71"/>
      <c r="E27" s="71">
        <v>1</v>
      </c>
    </row>
    <row r="28" spans="1:5" x14ac:dyDescent="0.3">
      <c r="A28" s="70">
        <v>43236</v>
      </c>
      <c r="B28" s="71">
        <v>10</v>
      </c>
      <c r="C28" s="71">
        <v>1</v>
      </c>
      <c r="D28" s="71"/>
      <c r="E28" s="71">
        <v>11</v>
      </c>
    </row>
    <row r="29" spans="1:5" x14ac:dyDescent="0.3">
      <c r="A29" s="115">
        <v>43241</v>
      </c>
      <c r="B29" s="71">
        <v>2</v>
      </c>
      <c r="C29" s="71"/>
      <c r="D29" s="71"/>
      <c r="E29" s="71">
        <v>2</v>
      </c>
    </row>
    <row r="30" spans="1:5" x14ac:dyDescent="0.3">
      <c r="A30" s="115">
        <v>43249</v>
      </c>
      <c r="B30" s="71">
        <v>1</v>
      </c>
      <c r="C30" s="71"/>
      <c r="D30" s="71"/>
      <c r="E30" s="71">
        <v>1</v>
      </c>
    </row>
    <row r="31" spans="1:5" x14ac:dyDescent="0.3">
      <c r="A31" s="70">
        <v>43250</v>
      </c>
      <c r="B31" s="71">
        <v>2</v>
      </c>
      <c r="C31" s="71"/>
      <c r="D31" s="71"/>
      <c r="E31" s="71">
        <v>2</v>
      </c>
    </row>
    <row r="32" spans="1:5" x14ac:dyDescent="0.3">
      <c r="A32" s="70">
        <v>43252</v>
      </c>
      <c r="B32" s="71">
        <v>14</v>
      </c>
      <c r="C32" s="71"/>
      <c r="D32" s="71"/>
      <c r="E32" s="71">
        <v>14</v>
      </c>
    </row>
    <row r="33" spans="1:5" x14ac:dyDescent="0.3">
      <c r="A33" s="115">
        <v>43256</v>
      </c>
      <c r="B33" s="71">
        <v>1</v>
      </c>
      <c r="C33" s="71"/>
      <c r="D33" s="71"/>
      <c r="E33" s="71">
        <v>1</v>
      </c>
    </row>
    <row r="34" spans="1:5" x14ac:dyDescent="0.3">
      <c r="A34" s="70">
        <v>43258</v>
      </c>
      <c r="B34" s="71">
        <v>2</v>
      </c>
      <c r="C34" s="71"/>
      <c r="D34" s="71"/>
      <c r="E34" s="71">
        <v>2</v>
      </c>
    </row>
    <row r="35" spans="1:5" x14ac:dyDescent="0.3">
      <c r="A35" s="167">
        <v>43259</v>
      </c>
      <c r="B35" s="71">
        <v>1</v>
      </c>
      <c r="C35" s="71"/>
      <c r="D35" s="71"/>
      <c r="E35" s="71">
        <v>1</v>
      </c>
    </row>
    <row r="36" spans="1:5" x14ac:dyDescent="0.3">
      <c r="A36" s="115">
        <v>43260</v>
      </c>
      <c r="B36" s="71">
        <v>1</v>
      </c>
      <c r="C36" s="71"/>
      <c r="D36" s="71"/>
      <c r="E36" s="71">
        <v>1</v>
      </c>
    </row>
    <row r="37" spans="1:5" x14ac:dyDescent="0.3">
      <c r="A37" s="115">
        <v>43262</v>
      </c>
      <c r="B37" s="71">
        <v>2</v>
      </c>
      <c r="C37" s="71"/>
      <c r="D37" s="71"/>
      <c r="E37" s="71">
        <v>2</v>
      </c>
    </row>
    <row r="38" spans="1:5" x14ac:dyDescent="0.3">
      <c r="A38" s="70">
        <v>43264</v>
      </c>
      <c r="B38" s="71"/>
      <c r="C38" s="71">
        <v>1</v>
      </c>
      <c r="D38" s="71"/>
      <c r="E38" s="71">
        <v>1</v>
      </c>
    </row>
    <row r="39" spans="1:5" x14ac:dyDescent="0.3">
      <c r="A39" s="115">
        <v>43265</v>
      </c>
      <c r="B39" s="71">
        <v>2</v>
      </c>
      <c r="C39" s="71"/>
      <c r="D39" s="71"/>
      <c r="E39" s="71">
        <v>2</v>
      </c>
    </row>
    <row r="40" spans="1:5" x14ac:dyDescent="0.3">
      <c r="A40" s="115">
        <v>43278</v>
      </c>
      <c r="B40" s="71">
        <v>1</v>
      </c>
      <c r="C40" s="71"/>
      <c r="D40" s="71"/>
      <c r="E40" s="71">
        <v>1</v>
      </c>
    </row>
    <row r="41" spans="1:5" x14ac:dyDescent="0.3">
      <c r="A41" s="70">
        <v>43280</v>
      </c>
      <c r="B41" s="71">
        <v>1</v>
      </c>
      <c r="C41" s="71"/>
      <c r="D41" s="71"/>
      <c r="E41" s="71">
        <v>1</v>
      </c>
    </row>
    <row r="42" spans="1:5" x14ac:dyDescent="0.3">
      <c r="A42" s="70">
        <v>43282</v>
      </c>
      <c r="B42" s="71">
        <v>9</v>
      </c>
      <c r="C42" s="71"/>
      <c r="D42" s="71"/>
      <c r="E42" s="71">
        <v>9</v>
      </c>
    </row>
    <row r="43" spans="1:5" x14ac:dyDescent="0.3">
      <c r="A43" s="115">
        <v>43287</v>
      </c>
      <c r="B43" s="71">
        <v>1</v>
      </c>
      <c r="C43" s="71"/>
      <c r="D43" s="71"/>
      <c r="E43" s="71">
        <v>1</v>
      </c>
    </row>
    <row r="44" spans="1:5" x14ac:dyDescent="0.3">
      <c r="A44" s="70">
        <v>43289</v>
      </c>
      <c r="B44" s="71">
        <v>1</v>
      </c>
      <c r="C44" s="71"/>
      <c r="D44" s="71"/>
      <c r="E44" s="71">
        <v>1</v>
      </c>
    </row>
    <row r="45" spans="1:5" x14ac:dyDescent="0.3">
      <c r="A45" s="70">
        <v>43298</v>
      </c>
      <c r="B45" s="71">
        <v>1</v>
      </c>
      <c r="C45" s="71"/>
      <c r="D45" s="71"/>
      <c r="E45" s="71">
        <v>1</v>
      </c>
    </row>
    <row r="46" spans="1:5" x14ac:dyDescent="0.3">
      <c r="A46" s="70">
        <v>43299</v>
      </c>
      <c r="B46" s="71">
        <v>5</v>
      </c>
      <c r="C46" s="71">
        <v>1</v>
      </c>
      <c r="D46" s="71"/>
      <c r="E46" s="71">
        <v>6</v>
      </c>
    </row>
    <row r="47" spans="1:5" x14ac:dyDescent="0.3">
      <c r="A47" s="149">
        <v>43300</v>
      </c>
      <c r="B47" s="71">
        <v>1</v>
      </c>
      <c r="C47" s="71"/>
      <c r="D47" s="71"/>
      <c r="E47" s="71">
        <v>1</v>
      </c>
    </row>
    <row r="48" spans="1:5" x14ac:dyDescent="0.3">
      <c r="A48" s="70">
        <v>43302</v>
      </c>
      <c r="B48" s="71">
        <v>3</v>
      </c>
      <c r="C48" s="71"/>
      <c r="D48" s="71"/>
      <c r="E48" s="71">
        <v>3</v>
      </c>
    </row>
    <row r="49" spans="1:5" x14ac:dyDescent="0.3">
      <c r="A49" s="70">
        <v>43305</v>
      </c>
      <c r="B49" s="71">
        <v>11</v>
      </c>
      <c r="C49" s="71"/>
      <c r="D49" s="71"/>
      <c r="E49" s="71">
        <v>11</v>
      </c>
    </row>
    <row r="50" spans="1:5" x14ac:dyDescent="0.3">
      <c r="A50" s="70">
        <v>43312</v>
      </c>
      <c r="B50" s="71">
        <v>3</v>
      </c>
      <c r="C50" s="71"/>
      <c r="D50" s="71"/>
      <c r="E50" s="71">
        <v>3</v>
      </c>
    </row>
    <row r="51" spans="1:5" x14ac:dyDescent="0.3">
      <c r="A51" s="70">
        <v>43313</v>
      </c>
      <c r="B51" s="71">
        <v>9</v>
      </c>
      <c r="C51" s="71"/>
      <c r="D51" s="71"/>
      <c r="E51" s="71">
        <v>9</v>
      </c>
    </row>
    <row r="52" spans="1:5" x14ac:dyDescent="0.3">
      <c r="A52" s="70">
        <v>43318</v>
      </c>
      <c r="B52" s="71">
        <v>1</v>
      </c>
      <c r="C52" s="71"/>
      <c r="D52" s="71"/>
      <c r="E52" s="71">
        <v>1</v>
      </c>
    </row>
    <row r="53" spans="1:5" x14ac:dyDescent="0.3">
      <c r="A53" s="70">
        <v>43320</v>
      </c>
      <c r="B53" s="71">
        <v>2</v>
      </c>
      <c r="C53" s="71"/>
      <c r="D53" s="71"/>
      <c r="E53" s="71">
        <v>2</v>
      </c>
    </row>
    <row r="54" spans="1:5" x14ac:dyDescent="0.3">
      <c r="A54" s="70">
        <v>43323</v>
      </c>
      <c r="B54" s="71">
        <v>1</v>
      </c>
      <c r="C54" s="71"/>
      <c r="D54" s="71"/>
      <c r="E54" s="71">
        <v>1</v>
      </c>
    </row>
    <row r="55" spans="1:5" x14ac:dyDescent="0.3">
      <c r="A55" s="70">
        <v>43325</v>
      </c>
      <c r="B55" s="71">
        <v>6</v>
      </c>
      <c r="C55" s="71"/>
      <c r="D55" s="71"/>
      <c r="E55" s="71">
        <v>6</v>
      </c>
    </row>
    <row r="56" spans="1:5" x14ac:dyDescent="0.3">
      <c r="A56" s="70">
        <v>43327</v>
      </c>
      <c r="B56" s="71">
        <v>1</v>
      </c>
      <c r="C56" s="71"/>
      <c r="D56" s="71"/>
      <c r="E56" s="71">
        <v>1</v>
      </c>
    </row>
    <row r="57" spans="1:5" x14ac:dyDescent="0.3">
      <c r="A57" s="70">
        <v>43328</v>
      </c>
      <c r="B57" s="71">
        <v>4</v>
      </c>
      <c r="C57" s="71"/>
      <c r="D57" s="71"/>
      <c r="E57" s="71">
        <v>4</v>
      </c>
    </row>
    <row r="58" spans="1:5" x14ac:dyDescent="0.3">
      <c r="A58" s="70">
        <v>43329</v>
      </c>
      <c r="B58" s="71">
        <v>2</v>
      </c>
      <c r="C58" s="71"/>
      <c r="D58" s="71"/>
      <c r="E58" s="71">
        <v>2</v>
      </c>
    </row>
    <row r="59" spans="1:5" x14ac:dyDescent="0.3">
      <c r="A59" s="70">
        <v>43331</v>
      </c>
      <c r="B59" s="71"/>
      <c r="C59" s="71">
        <v>1</v>
      </c>
      <c r="D59" s="71"/>
      <c r="E59" s="71">
        <v>1</v>
      </c>
    </row>
    <row r="60" spans="1:5" x14ac:dyDescent="0.3">
      <c r="A60" s="70">
        <v>43332</v>
      </c>
      <c r="B60" s="71">
        <v>5</v>
      </c>
      <c r="C60" s="71"/>
      <c r="D60" s="71"/>
      <c r="E60" s="71">
        <v>5</v>
      </c>
    </row>
    <row r="61" spans="1:5" x14ac:dyDescent="0.3">
      <c r="A61" s="70">
        <v>43333</v>
      </c>
      <c r="B61" s="71">
        <v>9</v>
      </c>
      <c r="C61" s="71"/>
      <c r="D61" s="71"/>
      <c r="E61" s="71">
        <v>9</v>
      </c>
    </row>
    <row r="62" spans="1:5" x14ac:dyDescent="0.3">
      <c r="A62" s="115">
        <v>43334</v>
      </c>
      <c r="B62" s="71">
        <v>1</v>
      </c>
      <c r="C62" s="71"/>
      <c r="D62" s="71"/>
      <c r="E62" s="71">
        <v>1</v>
      </c>
    </row>
    <row r="63" spans="1:5" x14ac:dyDescent="0.3">
      <c r="A63" s="115">
        <v>43335</v>
      </c>
      <c r="B63" s="71">
        <v>1</v>
      </c>
      <c r="C63" s="71"/>
      <c r="D63" s="71"/>
      <c r="E63" s="71">
        <v>1</v>
      </c>
    </row>
    <row r="64" spans="1:5" x14ac:dyDescent="0.3">
      <c r="A64" s="115">
        <v>43336</v>
      </c>
      <c r="B64" s="71">
        <v>1</v>
      </c>
      <c r="C64" s="71"/>
      <c r="D64" s="71"/>
      <c r="E64" s="71">
        <v>1</v>
      </c>
    </row>
    <row r="65" spans="1:5" x14ac:dyDescent="0.3">
      <c r="A65" s="70">
        <v>43338</v>
      </c>
      <c r="B65" s="71">
        <v>2</v>
      </c>
      <c r="C65" s="71"/>
      <c r="D65" s="71"/>
      <c r="E65" s="71">
        <v>2</v>
      </c>
    </row>
    <row r="66" spans="1:5" x14ac:dyDescent="0.3">
      <c r="A66" s="70">
        <v>43340</v>
      </c>
      <c r="B66" s="71">
        <v>1</v>
      </c>
      <c r="C66" s="71"/>
      <c r="D66" s="71"/>
      <c r="E66" s="71">
        <v>1</v>
      </c>
    </row>
    <row r="67" spans="1:5" x14ac:dyDescent="0.3">
      <c r="A67" s="70">
        <v>43342</v>
      </c>
      <c r="B67" s="71">
        <v>3</v>
      </c>
      <c r="C67" s="71"/>
      <c r="D67" s="71"/>
      <c r="E67" s="71">
        <v>3</v>
      </c>
    </row>
    <row r="68" spans="1:5" x14ac:dyDescent="0.3">
      <c r="A68" s="70">
        <v>43343</v>
      </c>
      <c r="B68" s="71">
        <v>2</v>
      </c>
      <c r="C68" s="71"/>
      <c r="D68" s="71"/>
      <c r="E68" s="71">
        <v>2</v>
      </c>
    </row>
    <row r="69" spans="1:5" x14ac:dyDescent="0.3">
      <c r="A69" s="70">
        <v>43344</v>
      </c>
      <c r="B69" s="71">
        <v>1</v>
      </c>
      <c r="C69" s="71"/>
      <c r="D69" s="71"/>
      <c r="E69" s="71">
        <v>1</v>
      </c>
    </row>
    <row r="70" spans="1:5" x14ac:dyDescent="0.3">
      <c r="A70" s="115">
        <v>43346</v>
      </c>
      <c r="B70" s="71">
        <v>1</v>
      </c>
      <c r="C70" s="71"/>
      <c r="D70" s="71"/>
      <c r="E70" s="71">
        <v>1</v>
      </c>
    </row>
    <row r="71" spans="1:5" x14ac:dyDescent="0.3">
      <c r="A71" s="70">
        <v>43348</v>
      </c>
      <c r="B71" s="71">
        <v>2</v>
      </c>
      <c r="C71" s="71"/>
      <c r="D71" s="71"/>
      <c r="E71" s="71">
        <v>2</v>
      </c>
    </row>
    <row r="72" spans="1:5" x14ac:dyDescent="0.3">
      <c r="A72" s="115">
        <v>43349</v>
      </c>
      <c r="B72" s="71">
        <v>1</v>
      </c>
      <c r="C72" s="71"/>
      <c r="D72" s="71"/>
      <c r="E72" s="71">
        <v>1</v>
      </c>
    </row>
    <row r="73" spans="1:5" x14ac:dyDescent="0.3">
      <c r="A73" s="70">
        <v>43350</v>
      </c>
      <c r="B73" s="71">
        <v>3</v>
      </c>
      <c r="C73" s="71"/>
      <c r="D73" s="71"/>
      <c r="E73" s="71">
        <v>3</v>
      </c>
    </row>
    <row r="74" spans="1:5" x14ac:dyDescent="0.3">
      <c r="A74" s="70">
        <v>43353</v>
      </c>
      <c r="B74" s="71">
        <v>1</v>
      </c>
      <c r="C74" s="71"/>
      <c r="D74" s="71"/>
      <c r="E74" s="71">
        <v>1</v>
      </c>
    </row>
    <row r="75" spans="1:5" x14ac:dyDescent="0.3">
      <c r="A75" s="70">
        <v>43354</v>
      </c>
      <c r="B75" s="71">
        <v>2</v>
      </c>
      <c r="C75" s="71"/>
      <c r="D75" s="71"/>
      <c r="E75" s="71">
        <v>2</v>
      </c>
    </row>
    <row r="76" spans="1:5" x14ac:dyDescent="0.3">
      <c r="A76" s="70">
        <v>43358</v>
      </c>
      <c r="B76" s="71">
        <v>8</v>
      </c>
      <c r="C76" s="71">
        <v>1</v>
      </c>
      <c r="D76" s="71"/>
      <c r="E76" s="71">
        <v>9</v>
      </c>
    </row>
    <row r="77" spans="1:5" x14ac:dyDescent="0.3">
      <c r="A77" s="70">
        <v>43360</v>
      </c>
      <c r="B77" s="71">
        <v>1</v>
      </c>
      <c r="C77" s="71"/>
      <c r="D77" s="71"/>
      <c r="E77" s="71">
        <v>1</v>
      </c>
    </row>
    <row r="78" spans="1:5" x14ac:dyDescent="0.3">
      <c r="A78" s="70">
        <v>43366</v>
      </c>
      <c r="B78" s="71">
        <v>2</v>
      </c>
      <c r="C78" s="71"/>
      <c r="D78" s="71"/>
      <c r="E78" s="71">
        <v>2</v>
      </c>
    </row>
    <row r="79" spans="1:5" x14ac:dyDescent="0.3">
      <c r="A79" s="70">
        <v>43367</v>
      </c>
      <c r="B79" s="71">
        <v>1</v>
      </c>
      <c r="C79" s="71">
        <v>1</v>
      </c>
      <c r="D79" s="71"/>
      <c r="E79" s="71">
        <v>2</v>
      </c>
    </row>
    <row r="80" spans="1:5" x14ac:dyDescent="0.3">
      <c r="A80" s="70">
        <v>43368</v>
      </c>
      <c r="B80" s="71">
        <v>2</v>
      </c>
      <c r="C80" s="71"/>
      <c r="D80" s="71"/>
      <c r="E80" s="71">
        <v>2</v>
      </c>
    </row>
    <row r="81" spans="1:5" x14ac:dyDescent="0.3">
      <c r="A81" s="115">
        <v>43370</v>
      </c>
      <c r="B81" s="71">
        <v>1</v>
      </c>
      <c r="C81" s="71"/>
      <c r="D81" s="71"/>
      <c r="E81" s="71">
        <v>1</v>
      </c>
    </row>
    <row r="82" spans="1:5" x14ac:dyDescent="0.3">
      <c r="A82" s="70">
        <v>43372</v>
      </c>
      <c r="B82" s="71">
        <v>4</v>
      </c>
      <c r="C82" s="71">
        <v>1</v>
      </c>
      <c r="D82" s="71"/>
      <c r="E82" s="71">
        <v>5</v>
      </c>
    </row>
    <row r="83" spans="1:5" x14ac:dyDescent="0.3">
      <c r="A83" s="70">
        <v>43376</v>
      </c>
      <c r="B83" s="71">
        <v>2</v>
      </c>
      <c r="C83" s="71"/>
      <c r="D83" s="71"/>
      <c r="E83" s="71">
        <v>2</v>
      </c>
    </row>
    <row r="84" spans="1:5" x14ac:dyDescent="0.3">
      <c r="A84" s="70">
        <v>43377</v>
      </c>
      <c r="B84" s="71">
        <v>4</v>
      </c>
      <c r="C84" s="71">
        <v>1</v>
      </c>
      <c r="D84" s="71"/>
      <c r="E84" s="71">
        <v>5</v>
      </c>
    </row>
    <row r="85" spans="1:5" x14ac:dyDescent="0.3">
      <c r="A85" s="70">
        <v>43378</v>
      </c>
      <c r="B85" s="71">
        <v>2</v>
      </c>
      <c r="C85" s="71"/>
      <c r="D85" s="71"/>
      <c r="E85" s="71">
        <v>2</v>
      </c>
    </row>
    <row r="86" spans="1:5" x14ac:dyDescent="0.3">
      <c r="A86" s="70">
        <v>43380</v>
      </c>
      <c r="B86" s="71">
        <v>2</v>
      </c>
      <c r="C86" s="71"/>
      <c r="D86" s="71"/>
      <c r="E86" s="71">
        <v>2</v>
      </c>
    </row>
    <row r="87" spans="1:5" x14ac:dyDescent="0.3">
      <c r="A87" s="70">
        <v>43381</v>
      </c>
      <c r="B87" s="71">
        <v>1</v>
      </c>
      <c r="C87" s="71"/>
      <c r="D87" s="71"/>
      <c r="E87" s="71">
        <v>1</v>
      </c>
    </row>
    <row r="88" spans="1:5" x14ac:dyDescent="0.3">
      <c r="A88" s="70">
        <v>43382</v>
      </c>
      <c r="B88" s="71">
        <v>4</v>
      </c>
      <c r="C88" s="71"/>
      <c r="D88" s="71"/>
      <c r="E88" s="71">
        <v>4</v>
      </c>
    </row>
    <row r="89" spans="1:5" x14ac:dyDescent="0.3">
      <c r="A89" s="70">
        <v>43386</v>
      </c>
      <c r="B89" s="71">
        <v>2</v>
      </c>
      <c r="C89" s="71"/>
      <c r="D89" s="71"/>
      <c r="E89" s="71">
        <v>2</v>
      </c>
    </row>
    <row r="90" spans="1:5" x14ac:dyDescent="0.3">
      <c r="A90" s="70">
        <v>43388</v>
      </c>
      <c r="B90" s="71">
        <v>3</v>
      </c>
      <c r="C90" s="71"/>
      <c r="D90" s="71"/>
      <c r="E90" s="71">
        <v>3</v>
      </c>
    </row>
    <row r="91" spans="1:5" x14ac:dyDescent="0.3">
      <c r="A91" s="70">
        <v>43389</v>
      </c>
      <c r="B91" s="71">
        <v>1</v>
      </c>
      <c r="C91" s="71"/>
      <c r="D91" s="71"/>
      <c r="E91" s="71">
        <v>1</v>
      </c>
    </row>
    <row r="92" spans="1:5" x14ac:dyDescent="0.3">
      <c r="A92" s="70">
        <v>43392</v>
      </c>
      <c r="B92" s="71">
        <v>1</v>
      </c>
      <c r="C92" s="71"/>
      <c r="D92" s="71"/>
      <c r="E92" s="71">
        <v>1</v>
      </c>
    </row>
    <row r="93" spans="1:5" x14ac:dyDescent="0.3">
      <c r="A93" s="70">
        <v>43393</v>
      </c>
      <c r="B93" s="71">
        <v>2</v>
      </c>
      <c r="C93" s="71"/>
      <c r="D93" s="71"/>
      <c r="E93" s="71">
        <v>2</v>
      </c>
    </row>
    <row r="94" spans="1:5" x14ac:dyDescent="0.3">
      <c r="A94" s="70">
        <v>43395</v>
      </c>
      <c r="B94" s="71">
        <v>1</v>
      </c>
      <c r="C94" s="71"/>
      <c r="D94" s="71"/>
      <c r="E94" s="71">
        <v>1</v>
      </c>
    </row>
    <row r="95" spans="1:5" x14ac:dyDescent="0.3">
      <c r="A95" s="70">
        <v>43396</v>
      </c>
      <c r="B95" s="71">
        <v>2</v>
      </c>
      <c r="C95" s="71">
        <v>1</v>
      </c>
      <c r="D95" s="71"/>
      <c r="E95" s="71">
        <v>3</v>
      </c>
    </row>
    <row r="96" spans="1:5" x14ac:dyDescent="0.3">
      <c r="A96" s="70">
        <v>43397</v>
      </c>
      <c r="B96" s="71">
        <v>3</v>
      </c>
      <c r="C96" s="71">
        <v>2</v>
      </c>
      <c r="D96" s="71"/>
      <c r="E96" s="71">
        <v>5</v>
      </c>
    </row>
    <row r="97" spans="1:5" x14ac:dyDescent="0.3">
      <c r="A97" s="70">
        <v>43398</v>
      </c>
      <c r="B97" s="71">
        <v>2</v>
      </c>
      <c r="C97" s="71"/>
      <c r="D97" s="71"/>
      <c r="E97" s="71">
        <v>2</v>
      </c>
    </row>
    <row r="98" spans="1:5" x14ac:dyDescent="0.3">
      <c r="A98" s="70">
        <v>43400</v>
      </c>
      <c r="B98" s="71">
        <v>5</v>
      </c>
      <c r="C98" s="71"/>
      <c r="D98" s="71"/>
      <c r="E98" s="71">
        <v>5</v>
      </c>
    </row>
    <row r="99" spans="1:5" x14ac:dyDescent="0.3">
      <c r="A99" s="70">
        <v>43402</v>
      </c>
      <c r="B99" s="71">
        <v>11</v>
      </c>
      <c r="C99" s="71">
        <v>3</v>
      </c>
      <c r="D99" s="71"/>
      <c r="E99" s="71">
        <v>14</v>
      </c>
    </row>
    <row r="100" spans="1:5" x14ac:dyDescent="0.3">
      <c r="A100" s="70">
        <v>43403</v>
      </c>
      <c r="B100" s="71">
        <v>4</v>
      </c>
      <c r="C100" s="71"/>
      <c r="D100" s="71"/>
      <c r="E100" s="71">
        <v>4</v>
      </c>
    </row>
    <row r="101" spans="1:5" x14ac:dyDescent="0.3">
      <c r="A101" s="70">
        <v>43404</v>
      </c>
      <c r="B101" s="71">
        <v>1</v>
      </c>
      <c r="C101" s="71"/>
      <c r="D101" s="71"/>
      <c r="E101" s="71">
        <v>1</v>
      </c>
    </row>
    <row r="102" spans="1:5" x14ac:dyDescent="0.3">
      <c r="A102" s="70">
        <v>43405</v>
      </c>
      <c r="B102" s="71">
        <v>2</v>
      </c>
      <c r="C102" s="71"/>
      <c r="D102" s="71"/>
      <c r="E102" s="71">
        <v>2</v>
      </c>
    </row>
    <row r="103" spans="1:5" x14ac:dyDescent="0.3">
      <c r="A103" s="70">
        <v>43407</v>
      </c>
      <c r="B103" s="71">
        <v>2</v>
      </c>
      <c r="C103" s="71">
        <v>1</v>
      </c>
      <c r="D103" s="71"/>
      <c r="E103" s="71">
        <v>3</v>
      </c>
    </row>
    <row r="104" spans="1:5" x14ac:dyDescent="0.3">
      <c r="A104" s="70">
        <v>43409</v>
      </c>
      <c r="B104" s="71">
        <v>5</v>
      </c>
      <c r="C104" s="71">
        <v>1</v>
      </c>
      <c r="D104" s="71"/>
      <c r="E104" s="71">
        <v>6</v>
      </c>
    </row>
    <row r="105" spans="1:5" x14ac:dyDescent="0.3">
      <c r="A105" s="70">
        <v>43410</v>
      </c>
      <c r="B105" s="71">
        <v>2</v>
      </c>
      <c r="C105" s="71"/>
      <c r="D105" s="71"/>
      <c r="E105" s="71">
        <v>2</v>
      </c>
    </row>
    <row r="106" spans="1:5" x14ac:dyDescent="0.3">
      <c r="A106" s="70">
        <v>43411</v>
      </c>
      <c r="B106" s="71">
        <v>2</v>
      </c>
      <c r="C106" s="71"/>
      <c r="D106" s="71"/>
      <c r="E106" s="71">
        <v>2</v>
      </c>
    </row>
    <row r="107" spans="1:5" x14ac:dyDescent="0.3">
      <c r="A107" s="70">
        <v>43414</v>
      </c>
      <c r="B107" s="71"/>
      <c r="C107" s="71">
        <v>1</v>
      </c>
      <c r="D107" s="71"/>
      <c r="E107" s="71">
        <v>1</v>
      </c>
    </row>
    <row r="108" spans="1:5" x14ac:dyDescent="0.3">
      <c r="A108" s="70">
        <v>43415</v>
      </c>
      <c r="B108" s="71">
        <v>6</v>
      </c>
      <c r="C108" s="71">
        <v>1</v>
      </c>
      <c r="D108" s="71"/>
      <c r="E108" s="71">
        <v>7</v>
      </c>
    </row>
    <row r="109" spans="1:5" x14ac:dyDescent="0.3">
      <c r="A109" s="70">
        <v>43416</v>
      </c>
      <c r="B109" s="71">
        <v>3</v>
      </c>
      <c r="C109" s="71">
        <v>2</v>
      </c>
      <c r="D109" s="71"/>
      <c r="E109" s="71">
        <v>5</v>
      </c>
    </row>
    <row r="110" spans="1:5" x14ac:dyDescent="0.3">
      <c r="A110" s="70">
        <v>43418</v>
      </c>
      <c r="B110" s="71">
        <v>1</v>
      </c>
      <c r="C110" s="71"/>
      <c r="D110" s="71"/>
      <c r="E110" s="71">
        <v>1</v>
      </c>
    </row>
    <row r="111" spans="1:5" x14ac:dyDescent="0.3">
      <c r="A111" s="70">
        <v>43420</v>
      </c>
      <c r="B111" s="71">
        <v>3</v>
      </c>
      <c r="C111" s="71"/>
      <c r="D111" s="71"/>
      <c r="E111" s="71">
        <v>3</v>
      </c>
    </row>
    <row r="112" spans="1:5" x14ac:dyDescent="0.3">
      <c r="A112" s="70">
        <v>43421</v>
      </c>
      <c r="B112" s="71">
        <v>1</v>
      </c>
      <c r="C112" s="71"/>
      <c r="D112" s="71"/>
      <c r="E112" s="71">
        <v>1</v>
      </c>
    </row>
    <row r="113" spans="1:5" x14ac:dyDescent="0.3">
      <c r="A113" s="70">
        <v>43422</v>
      </c>
      <c r="B113" s="71">
        <v>3</v>
      </c>
      <c r="C113" s="71"/>
      <c r="D113" s="71"/>
      <c r="E113" s="71">
        <v>3</v>
      </c>
    </row>
    <row r="114" spans="1:5" x14ac:dyDescent="0.3">
      <c r="A114" s="70">
        <v>43424</v>
      </c>
      <c r="B114" s="71">
        <v>4</v>
      </c>
      <c r="C114" s="71"/>
      <c r="D114" s="71"/>
      <c r="E114" s="71">
        <v>4</v>
      </c>
    </row>
    <row r="115" spans="1:5" x14ac:dyDescent="0.3">
      <c r="A115" s="70">
        <v>43426</v>
      </c>
      <c r="B115" s="71">
        <v>3</v>
      </c>
      <c r="C115" s="71">
        <v>1</v>
      </c>
      <c r="D115" s="71"/>
      <c r="E115" s="71">
        <v>4</v>
      </c>
    </row>
    <row r="116" spans="1:5" x14ac:dyDescent="0.3">
      <c r="A116" s="70">
        <v>43427</v>
      </c>
      <c r="B116" s="71">
        <v>1</v>
      </c>
      <c r="C116" s="71"/>
      <c r="D116" s="71">
        <v>1</v>
      </c>
      <c r="E116" s="71">
        <v>2</v>
      </c>
    </row>
    <row r="117" spans="1:5" x14ac:dyDescent="0.3">
      <c r="A117" s="70">
        <v>43428</v>
      </c>
      <c r="B117" s="71">
        <v>3</v>
      </c>
      <c r="C117" s="71"/>
      <c r="D117" s="71"/>
      <c r="E117" s="71">
        <v>3</v>
      </c>
    </row>
    <row r="118" spans="1:5" x14ac:dyDescent="0.3">
      <c r="A118" s="70">
        <v>43429</v>
      </c>
      <c r="B118" s="71">
        <v>2</v>
      </c>
      <c r="C118" s="71">
        <v>1</v>
      </c>
      <c r="D118" s="71"/>
      <c r="E118" s="71">
        <v>3</v>
      </c>
    </row>
    <row r="119" spans="1:5" x14ac:dyDescent="0.3">
      <c r="A119" s="70">
        <v>43430</v>
      </c>
      <c r="B119" s="71">
        <v>2</v>
      </c>
      <c r="C119" s="71"/>
      <c r="D119" s="71"/>
      <c r="E119" s="71">
        <v>2</v>
      </c>
    </row>
    <row r="120" spans="1:5" x14ac:dyDescent="0.3">
      <c r="A120" s="70">
        <v>43431</v>
      </c>
      <c r="B120" s="71">
        <v>1</v>
      </c>
      <c r="C120" s="71"/>
      <c r="D120" s="71"/>
      <c r="E120" s="71">
        <v>1</v>
      </c>
    </row>
    <row r="121" spans="1:5" x14ac:dyDescent="0.3">
      <c r="A121" s="70">
        <v>43432</v>
      </c>
      <c r="B121" s="71">
        <v>1</v>
      </c>
      <c r="C121" s="71"/>
      <c r="D121" s="71"/>
      <c r="E121" s="71">
        <v>1</v>
      </c>
    </row>
    <row r="122" spans="1:5" x14ac:dyDescent="0.3">
      <c r="A122" s="70">
        <v>43433</v>
      </c>
      <c r="B122" s="71">
        <v>1</v>
      </c>
      <c r="C122" s="71"/>
      <c r="D122" s="71"/>
      <c r="E122" s="71">
        <v>1</v>
      </c>
    </row>
    <row r="123" spans="1:5" x14ac:dyDescent="0.3">
      <c r="A123" s="70">
        <v>43434</v>
      </c>
      <c r="B123" s="71">
        <v>2</v>
      </c>
      <c r="C123" s="71"/>
      <c r="D123" s="71"/>
      <c r="E123" s="71">
        <v>2</v>
      </c>
    </row>
    <row r="124" spans="1:5" x14ac:dyDescent="0.3">
      <c r="A124" s="70">
        <v>43435</v>
      </c>
      <c r="B124" s="71">
        <v>2</v>
      </c>
      <c r="C124" s="71"/>
      <c r="D124" s="71"/>
      <c r="E124" s="71">
        <v>2</v>
      </c>
    </row>
    <row r="125" spans="1:5" x14ac:dyDescent="0.3">
      <c r="A125" s="70">
        <v>43436</v>
      </c>
      <c r="B125" s="71">
        <v>3</v>
      </c>
      <c r="C125" s="71">
        <v>1</v>
      </c>
      <c r="D125" s="71"/>
      <c r="E125" s="71">
        <v>4</v>
      </c>
    </row>
    <row r="126" spans="1:5" x14ac:dyDescent="0.3">
      <c r="A126" s="70">
        <v>43438</v>
      </c>
      <c r="B126" s="71">
        <v>9</v>
      </c>
      <c r="C126" s="71">
        <v>1</v>
      </c>
      <c r="D126" s="71"/>
      <c r="E126" s="71">
        <v>10</v>
      </c>
    </row>
    <row r="127" spans="1:5" x14ac:dyDescent="0.3">
      <c r="A127" s="70">
        <v>43439</v>
      </c>
      <c r="B127" s="71">
        <v>1</v>
      </c>
      <c r="C127" s="71"/>
      <c r="D127" s="71"/>
      <c r="E127" s="71">
        <v>1</v>
      </c>
    </row>
    <row r="128" spans="1:5" x14ac:dyDescent="0.3">
      <c r="A128" s="70">
        <v>43440</v>
      </c>
      <c r="B128" s="71">
        <v>6</v>
      </c>
      <c r="C128" s="71">
        <v>1</v>
      </c>
      <c r="D128" s="71"/>
      <c r="E128" s="71">
        <v>7</v>
      </c>
    </row>
    <row r="129" spans="1:5" x14ac:dyDescent="0.3">
      <c r="A129" s="70">
        <v>43441</v>
      </c>
      <c r="B129" s="71">
        <v>1</v>
      </c>
      <c r="C129" s="71"/>
      <c r="D129" s="71"/>
      <c r="E129" s="71">
        <v>1</v>
      </c>
    </row>
    <row r="130" spans="1:5" x14ac:dyDescent="0.3">
      <c r="A130" s="70">
        <v>43443</v>
      </c>
      <c r="B130" s="71">
        <v>2</v>
      </c>
      <c r="C130" s="71"/>
      <c r="D130" s="71"/>
      <c r="E130" s="71">
        <v>2</v>
      </c>
    </row>
    <row r="131" spans="1:5" x14ac:dyDescent="0.3">
      <c r="A131" s="70">
        <v>43444</v>
      </c>
      <c r="B131" s="71">
        <v>1</v>
      </c>
      <c r="C131" s="71"/>
      <c r="D131" s="71"/>
      <c r="E131" s="71">
        <v>1</v>
      </c>
    </row>
    <row r="132" spans="1:5" x14ac:dyDescent="0.3">
      <c r="A132" s="70">
        <v>43445</v>
      </c>
      <c r="B132" s="71">
        <v>2</v>
      </c>
      <c r="C132" s="71"/>
      <c r="D132" s="71"/>
      <c r="E132" s="71">
        <v>2</v>
      </c>
    </row>
    <row r="133" spans="1:5" x14ac:dyDescent="0.3">
      <c r="A133" s="70">
        <v>43446</v>
      </c>
      <c r="B133" s="71">
        <v>2</v>
      </c>
      <c r="C133" s="71">
        <v>1</v>
      </c>
      <c r="D133" s="71"/>
      <c r="E133" s="71">
        <v>3</v>
      </c>
    </row>
    <row r="134" spans="1:5" x14ac:dyDescent="0.3">
      <c r="A134" s="70">
        <v>43447</v>
      </c>
      <c r="B134" s="71">
        <v>7</v>
      </c>
      <c r="C134" s="71">
        <v>1</v>
      </c>
      <c r="D134" s="71"/>
      <c r="E134" s="71">
        <v>8</v>
      </c>
    </row>
    <row r="135" spans="1:5" x14ac:dyDescent="0.3">
      <c r="A135" s="70">
        <v>43448</v>
      </c>
      <c r="B135" s="71">
        <v>1</v>
      </c>
      <c r="C135" s="71"/>
      <c r="D135" s="71"/>
      <c r="E135" s="71">
        <v>1</v>
      </c>
    </row>
    <row r="136" spans="1:5" x14ac:dyDescent="0.3">
      <c r="A136" s="70">
        <v>43450</v>
      </c>
      <c r="B136" s="71">
        <v>3</v>
      </c>
      <c r="C136" s="71"/>
      <c r="D136" s="71"/>
      <c r="E136" s="71">
        <v>3</v>
      </c>
    </row>
    <row r="137" spans="1:5" x14ac:dyDescent="0.3">
      <c r="A137" s="70">
        <v>43451</v>
      </c>
      <c r="B137" s="71">
        <v>11</v>
      </c>
      <c r="C137" s="71">
        <v>1</v>
      </c>
      <c r="D137" s="71"/>
      <c r="E137" s="71">
        <v>12</v>
      </c>
    </row>
    <row r="138" spans="1:5" x14ac:dyDescent="0.3">
      <c r="A138" s="70">
        <v>43452</v>
      </c>
      <c r="B138" s="71">
        <v>3</v>
      </c>
      <c r="C138" s="71"/>
      <c r="D138" s="71"/>
      <c r="E138" s="71">
        <v>3</v>
      </c>
    </row>
    <row r="139" spans="1:5" x14ac:dyDescent="0.3">
      <c r="A139" s="70">
        <v>43453</v>
      </c>
      <c r="B139" s="71">
        <v>5</v>
      </c>
      <c r="C139" s="71"/>
      <c r="D139" s="71"/>
      <c r="E139" s="71">
        <v>5</v>
      </c>
    </row>
    <row r="140" spans="1:5" x14ac:dyDescent="0.3">
      <c r="A140" s="70">
        <v>43454</v>
      </c>
      <c r="B140" s="71">
        <v>2</v>
      </c>
      <c r="C140" s="71"/>
      <c r="D140" s="71"/>
      <c r="E140" s="71">
        <v>2</v>
      </c>
    </row>
    <row r="141" spans="1:5" x14ac:dyDescent="0.3">
      <c r="A141" s="70">
        <v>43455</v>
      </c>
      <c r="B141" s="71">
        <v>4</v>
      </c>
      <c r="C141" s="71"/>
      <c r="D141" s="71"/>
      <c r="E141" s="71">
        <v>4</v>
      </c>
    </row>
    <row r="142" spans="1:5" x14ac:dyDescent="0.3">
      <c r="A142" s="70">
        <v>43456</v>
      </c>
      <c r="B142" s="71">
        <v>3</v>
      </c>
      <c r="C142" s="71"/>
      <c r="D142" s="71"/>
      <c r="E142" s="71">
        <v>3</v>
      </c>
    </row>
    <row r="143" spans="1:5" x14ac:dyDescent="0.3">
      <c r="A143" s="70">
        <v>43457</v>
      </c>
      <c r="B143" s="71">
        <v>5</v>
      </c>
      <c r="C143" s="71">
        <v>1</v>
      </c>
      <c r="D143" s="71"/>
      <c r="E143" s="71">
        <v>6</v>
      </c>
    </row>
    <row r="144" spans="1:5" x14ac:dyDescent="0.3">
      <c r="A144" s="70">
        <v>43459</v>
      </c>
      <c r="B144" s="71">
        <v>4</v>
      </c>
      <c r="C144" s="71"/>
      <c r="D144" s="71"/>
      <c r="E144" s="71">
        <v>4</v>
      </c>
    </row>
    <row r="145" spans="1:5" x14ac:dyDescent="0.3">
      <c r="A145" s="70">
        <v>43460</v>
      </c>
      <c r="B145" s="71">
        <v>3</v>
      </c>
      <c r="C145" s="71">
        <v>1</v>
      </c>
      <c r="D145" s="71"/>
      <c r="E145" s="71">
        <v>4</v>
      </c>
    </row>
    <row r="146" spans="1:5" x14ac:dyDescent="0.3">
      <c r="A146" s="70">
        <v>43461</v>
      </c>
      <c r="B146" s="71">
        <v>1</v>
      </c>
      <c r="C146" s="71"/>
      <c r="D146" s="71"/>
      <c r="E146" s="71">
        <v>1</v>
      </c>
    </row>
    <row r="147" spans="1:5" x14ac:dyDescent="0.3">
      <c r="A147" s="70">
        <v>43463</v>
      </c>
      <c r="B147" s="71">
        <v>11</v>
      </c>
      <c r="C147" s="71">
        <v>1</v>
      </c>
      <c r="D147" s="71"/>
      <c r="E147" s="71">
        <v>12</v>
      </c>
    </row>
    <row r="148" spans="1:5" x14ac:dyDescent="0.3">
      <c r="A148" s="70">
        <v>43464</v>
      </c>
      <c r="B148" s="71">
        <v>1</v>
      </c>
      <c r="C148" s="71"/>
      <c r="D148" s="71"/>
      <c r="E148" s="71">
        <v>1</v>
      </c>
    </row>
    <row r="149" spans="1:5" x14ac:dyDescent="0.3">
      <c r="A149" s="70">
        <v>43465</v>
      </c>
      <c r="B149" s="71">
        <v>1</v>
      </c>
      <c r="C149" s="71"/>
      <c r="D149" s="71"/>
      <c r="E149" s="71">
        <v>1</v>
      </c>
    </row>
    <row r="150" spans="1:5" x14ac:dyDescent="0.3">
      <c r="A150" s="70">
        <v>43466</v>
      </c>
      <c r="B150" s="71">
        <v>2</v>
      </c>
      <c r="C150" s="71"/>
      <c r="D150" s="71"/>
      <c r="E150" s="71">
        <v>2</v>
      </c>
    </row>
    <row r="151" spans="1:5" x14ac:dyDescent="0.3">
      <c r="A151" s="70">
        <v>43467</v>
      </c>
      <c r="B151" s="71">
        <v>2</v>
      </c>
      <c r="C151" s="71"/>
      <c r="D151" s="71"/>
      <c r="E151" s="71">
        <v>2</v>
      </c>
    </row>
    <row r="152" spans="1:5" x14ac:dyDescent="0.3">
      <c r="A152" s="70">
        <v>43468</v>
      </c>
      <c r="B152" s="71">
        <v>4</v>
      </c>
      <c r="C152" s="71">
        <v>1</v>
      </c>
      <c r="D152" s="71"/>
      <c r="E152" s="71">
        <v>5</v>
      </c>
    </row>
    <row r="153" spans="1:5" x14ac:dyDescent="0.3">
      <c r="A153" s="70">
        <v>43469</v>
      </c>
      <c r="B153" s="71">
        <v>5</v>
      </c>
      <c r="C153" s="71"/>
      <c r="D153" s="71"/>
      <c r="E153" s="71">
        <v>5</v>
      </c>
    </row>
    <row r="154" spans="1:5" x14ac:dyDescent="0.3">
      <c r="A154" s="70">
        <v>43470</v>
      </c>
      <c r="B154" s="71">
        <v>2</v>
      </c>
      <c r="C154" s="71">
        <v>1</v>
      </c>
      <c r="D154" s="71"/>
      <c r="E154" s="71">
        <v>3</v>
      </c>
    </row>
    <row r="155" spans="1:5" x14ac:dyDescent="0.3">
      <c r="A155" s="70">
        <v>43471</v>
      </c>
      <c r="B155" s="71">
        <v>1</v>
      </c>
      <c r="C155" s="71"/>
      <c r="D155" s="71"/>
      <c r="E155" s="71">
        <v>1</v>
      </c>
    </row>
    <row r="156" spans="1:5" x14ac:dyDescent="0.3">
      <c r="A156" s="70">
        <v>43472</v>
      </c>
      <c r="B156" s="71">
        <v>4</v>
      </c>
      <c r="C156" s="71"/>
      <c r="D156" s="71"/>
      <c r="E156" s="71">
        <v>4</v>
      </c>
    </row>
    <row r="157" spans="1:5" x14ac:dyDescent="0.3">
      <c r="A157" s="70">
        <v>43473</v>
      </c>
      <c r="B157" s="71">
        <v>1</v>
      </c>
      <c r="C157" s="71">
        <v>1</v>
      </c>
      <c r="D157" s="71"/>
      <c r="E157" s="71">
        <v>2</v>
      </c>
    </row>
    <row r="158" spans="1:5" x14ac:dyDescent="0.3">
      <c r="A158" s="70">
        <v>43474</v>
      </c>
      <c r="B158" s="71">
        <v>8</v>
      </c>
      <c r="C158" s="71">
        <v>2</v>
      </c>
      <c r="D158" s="71"/>
      <c r="E158" s="71">
        <v>10</v>
      </c>
    </row>
    <row r="159" spans="1:5" x14ac:dyDescent="0.3">
      <c r="A159" s="70">
        <v>43475</v>
      </c>
      <c r="B159" s="71">
        <v>1</v>
      </c>
      <c r="C159" s="71"/>
      <c r="D159" s="71"/>
      <c r="E159" s="71">
        <v>1</v>
      </c>
    </row>
    <row r="160" spans="1:5" x14ac:dyDescent="0.3">
      <c r="A160" s="70">
        <v>43477</v>
      </c>
      <c r="B160" s="71">
        <v>5</v>
      </c>
      <c r="C160" s="71"/>
      <c r="D160" s="71"/>
      <c r="E160" s="71">
        <v>5</v>
      </c>
    </row>
    <row r="161" spans="1:5" x14ac:dyDescent="0.3">
      <c r="A161" s="70">
        <v>43479</v>
      </c>
      <c r="B161" s="71">
        <v>8</v>
      </c>
      <c r="C161" s="71"/>
      <c r="D161" s="71"/>
      <c r="E161" s="71">
        <v>8</v>
      </c>
    </row>
    <row r="162" spans="1:5" x14ac:dyDescent="0.3">
      <c r="A162" s="70">
        <v>43480</v>
      </c>
      <c r="B162" s="71">
        <v>2</v>
      </c>
      <c r="C162" s="71">
        <v>1</v>
      </c>
      <c r="D162" s="71"/>
      <c r="E162" s="71">
        <v>3</v>
      </c>
    </row>
    <row r="163" spans="1:5" x14ac:dyDescent="0.3">
      <c r="A163" s="70">
        <v>43481</v>
      </c>
      <c r="B163" s="71">
        <v>4</v>
      </c>
      <c r="C163" s="71"/>
      <c r="D163" s="71"/>
      <c r="E163" s="71">
        <v>4</v>
      </c>
    </row>
    <row r="164" spans="1:5" x14ac:dyDescent="0.3">
      <c r="A164" s="70">
        <v>43483</v>
      </c>
      <c r="B164" s="71">
        <v>2</v>
      </c>
      <c r="C164" s="71"/>
      <c r="D164" s="71"/>
      <c r="E164" s="71">
        <v>2</v>
      </c>
    </row>
    <row r="165" spans="1:5" x14ac:dyDescent="0.3">
      <c r="A165" s="70">
        <v>43484</v>
      </c>
      <c r="B165" s="71">
        <v>4</v>
      </c>
      <c r="C165" s="71"/>
      <c r="D165" s="71"/>
      <c r="E165" s="71">
        <v>4</v>
      </c>
    </row>
    <row r="166" spans="1:5" x14ac:dyDescent="0.3">
      <c r="A166" s="70">
        <v>43485</v>
      </c>
      <c r="B166" s="71">
        <v>1</v>
      </c>
      <c r="C166" s="71"/>
      <c r="D166" s="71"/>
      <c r="E166" s="71">
        <v>1</v>
      </c>
    </row>
    <row r="167" spans="1:5" x14ac:dyDescent="0.3">
      <c r="A167" s="70">
        <v>43487</v>
      </c>
      <c r="B167" s="71">
        <v>1</v>
      </c>
      <c r="C167" s="71"/>
      <c r="D167" s="71"/>
      <c r="E167" s="71">
        <v>1</v>
      </c>
    </row>
    <row r="168" spans="1:5" x14ac:dyDescent="0.3">
      <c r="A168" s="70">
        <v>43488</v>
      </c>
      <c r="B168" s="71">
        <v>1</v>
      </c>
      <c r="C168" s="71"/>
      <c r="D168" s="71"/>
      <c r="E168" s="71">
        <v>1</v>
      </c>
    </row>
    <row r="169" spans="1:5" x14ac:dyDescent="0.3">
      <c r="A169" s="70">
        <v>43489</v>
      </c>
      <c r="B169" s="71">
        <v>3</v>
      </c>
      <c r="C169" s="71">
        <v>1</v>
      </c>
      <c r="D169" s="71"/>
      <c r="E169" s="71">
        <v>4</v>
      </c>
    </row>
    <row r="170" spans="1:5" x14ac:dyDescent="0.3">
      <c r="A170" s="70">
        <v>43491</v>
      </c>
      <c r="B170" s="71">
        <v>2</v>
      </c>
      <c r="C170" s="71"/>
      <c r="D170" s="71"/>
      <c r="E170" s="71">
        <v>2</v>
      </c>
    </row>
    <row r="171" spans="1:5" x14ac:dyDescent="0.3">
      <c r="A171" s="70">
        <v>43492</v>
      </c>
      <c r="B171" s="71">
        <v>9</v>
      </c>
      <c r="C171" s="71">
        <v>1</v>
      </c>
      <c r="D171" s="71"/>
      <c r="E171" s="71">
        <v>10</v>
      </c>
    </row>
    <row r="172" spans="1:5" x14ac:dyDescent="0.3">
      <c r="A172" s="70">
        <v>43493</v>
      </c>
      <c r="B172" s="71">
        <v>2</v>
      </c>
      <c r="C172" s="71"/>
      <c r="D172" s="71"/>
      <c r="E172" s="71">
        <v>2</v>
      </c>
    </row>
    <row r="173" spans="1:5" x14ac:dyDescent="0.3">
      <c r="A173" s="70">
        <v>43494</v>
      </c>
      <c r="B173" s="71">
        <v>3</v>
      </c>
      <c r="C173" s="71"/>
      <c r="D173" s="71"/>
      <c r="E173" s="71">
        <v>3</v>
      </c>
    </row>
    <row r="174" spans="1:5" x14ac:dyDescent="0.3">
      <c r="A174" s="70">
        <v>43496</v>
      </c>
      <c r="B174" s="71">
        <v>6</v>
      </c>
      <c r="C174" s="71"/>
      <c r="D174" s="71"/>
      <c r="E174" s="71">
        <v>6</v>
      </c>
    </row>
    <row r="175" spans="1:5" x14ac:dyDescent="0.3">
      <c r="A175" s="70">
        <v>43498</v>
      </c>
      <c r="B175" s="71">
        <v>2</v>
      </c>
      <c r="C175" s="71">
        <v>2</v>
      </c>
      <c r="D175" s="71"/>
      <c r="E175" s="71">
        <v>4</v>
      </c>
    </row>
    <row r="176" spans="1:5" x14ac:dyDescent="0.3">
      <c r="A176" s="70">
        <v>43499</v>
      </c>
      <c r="B176" s="71">
        <v>1</v>
      </c>
      <c r="C176" s="71"/>
      <c r="D176" s="71"/>
      <c r="E176" s="71">
        <v>1</v>
      </c>
    </row>
    <row r="177" spans="1:5" x14ac:dyDescent="0.3">
      <c r="A177" s="70">
        <v>43501</v>
      </c>
      <c r="B177" s="71">
        <v>2</v>
      </c>
      <c r="C177" s="71"/>
      <c r="D177" s="71"/>
      <c r="E177" s="71">
        <v>2</v>
      </c>
    </row>
    <row r="178" spans="1:5" x14ac:dyDescent="0.3">
      <c r="A178" s="70">
        <v>43502</v>
      </c>
      <c r="B178" s="71">
        <v>8</v>
      </c>
      <c r="C178" s="71">
        <v>1</v>
      </c>
      <c r="D178" s="71"/>
      <c r="E178" s="71">
        <v>9</v>
      </c>
    </row>
    <row r="179" spans="1:5" x14ac:dyDescent="0.3">
      <c r="A179" s="70">
        <v>43503</v>
      </c>
      <c r="B179" s="71">
        <v>5</v>
      </c>
      <c r="C179" s="71">
        <v>2</v>
      </c>
      <c r="D179" s="71"/>
      <c r="E179" s="71">
        <v>7</v>
      </c>
    </row>
    <row r="180" spans="1:5" x14ac:dyDescent="0.3">
      <c r="A180" s="70">
        <v>43504</v>
      </c>
      <c r="B180" s="71">
        <v>4</v>
      </c>
      <c r="C180" s="71"/>
      <c r="D180" s="71"/>
      <c r="E180" s="71">
        <v>4</v>
      </c>
    </row>
    <row r="181" spans="1:5" x14ac:dyDescent="0.3">
      <c r="A181" s="70">
        <v>43506</v>
      </c>
      <c r="B181" s="71">
        <v>2</v>
      </c>
      <c r="C181" s="71"/>
      <c r="D181" s="71"/>
      <c r="E181" s="71">
        <v>2</v>
      </c>
    </row>
    <row r="182" spans="1:5" x14ac:dyDescent="0.3">
      <c r="A182" s="70">
        <v>43508</v>
      </c>
      <c r="B182" s="71">
        <v>3</v>
      </c>
      <c r="C182" s="71"/>
      <c r="D182" s="71"/>
      <c r="E182" s="71">
        <v>3</v>
      </c>
    </row>
    <row r="183" spans="1:5" x14ac:dyDescent="0.3">
      <c r="A183" s="70">
        <v>43510</v>
      </c>
      <c r="B183" s="71">
        <v>2</v>
      </c>
      <c r="C183" s="71"/>
      <c r="D183" s="71"/>
      <c r="E183" s="71">
        <v>2</v>
      </c>
    </row>
    <row r="184" spans="1:5" x14ac:dyDescent="0.3">
      <c r="A184" s="70">
        <v>43511</v>
      </c>
      <c r="B184" s="71">
        <v>2</v>
      </c>
      <c r="C184" s="71"/>
      <c r="D184" s="71"/>
      <c r="E184" s="71">
        <v>2</v>
      </c>
    </row>
    <row r="185" spans="1:5" x14ac:dyDescent="0.3">
      <c r="A185" s="70">
        <v>43512</v>
      </c>
      <c r="B185" s="71">
        <v>3</v>
      </c>
      <c r="C185" s="71"/>
      <c r="D185" s="71"/>
      <c r="E185" s="71">
        <v>3</v>
      </c>
    </row>
    <row r="186" spans="1:5" x14ac:dyDescent="0.3">
      <c r="A186" s="70">
        <v>43514</v>
      </c>
      <c r="B186" s="71">
        <v>4</v>
      </c>
      <c r="C186" s="71"/>
      <c r="D186" s="71"/>
      <c r="E186" s="71">
        <v>4</v>
      </c>
    </row>
    <row r="187" spans="1:5" x14ac:dyDescent="0.3">
      <c r="A187" s="70">
        <v>43515</v>
      </c>
      <c r="B187" s="71">
        <v>3</v>
      </c>
      <c r="C187" s="71">
        <v>1</v>
      </c>
      <c r="D187" s="71"/>
      <c r="E187" s="71">
        <v>4</v>
      </c>
    </row>
    <row r="188" spans="1:5" x14ac:dyDescent="0.3">
      <c r="A188" s="70">
        <v>43516</v>
      </c>
      <c r="B188" s="71">
        <v>3</v>
      </c>
      <c r="C188" s="71"/>
      <c r="D188" s="71"/>
      <c r="E188" s="71">
        <v>3</v>
      </c>
    </row>
    <row r="189" spans="1:5" x14ac:dyDescent="0.3">
      <c r="A189" s="70">
        <v>43517</v>
      </c>
      <c r="B189" s="71"/>
      <c r="C189" s="71">
        <v>2</v>
      </c>
      <c r="D189" s="71"/>
      <c r="E189" s="71">
        <v>2</v>
      </c>
    </row>
    <row r="190" spans="1:5" x14ac:dyDescent="0.3">
      <c r="A190" s="70">
        <v>43519</v>
      </c>
      <c r="B190" s="71">
        <v>4</v>
      </c>
      <c r="C190" s="71"/>
      <c r="D190" s="71"/>
      <c r="E190" s="71">
        <v>4</v>
      </c>
    </row>
    <row r="191" spans="1:5" x14ac:dyDescent="0.3">
      <c r="A191" s="70">
        <v>43521</v>
      </c>
      <c r="B191" s="71">
        <v>1</v>
      </c>
      <c r="C191" s="71"/>
      <c r="D191" s="71"/>
      <c r="E191" s="71">
        <v>1</v>
      </c>
    </row>
    <row r="192" spans="1:5" x14ac:dyDescent="0.3">
      <c r="A192" s="70">
        <v>43522</v>
      </c>
      <c r="B192" s="71">
        <v>3</v>
      </c>
      <c r="C192" s="71"/>
      <c r="D192" s="71"/>
      <c r="E192" s="71">
        <v>3</v>
      </c>
    </row>
    <row r="193" spans="1:5" x14ac:dyDescent="0.3">
      <c r="A193" s="70">
        <v>43523</v>
      </c>
      <c r="B193" s="71">
        <v>4</v>
      </c>
      <c r="C193" s="71"/>
      <c r="D193" s="71"/>
      <c r="E193" s="71">
        <v>4</v>
      </c>
    </row>
    <row r="194" spans="1:5" x14ac:dyDescent="0.3">
      <c r="A194" s="70">
        <v>43528</v>
      </c>
      <c r="B194" s="71">
        <v>3</v>
      </c>
      <c r="C194" s="71"/>
      <c r="D194" s="71"/>
      <c r="E194" s="71">
        <v>3</v>
      </c>
    </row>
    <row r="195" spans="1:5" x14ac:dyDescent="0.3">
      <c r="A195" s="70">
        <v>43529</v>
      </c>
      <c r="B195" s="71">
        <v>3</v>
      </c>
      <c r="C195" s="71"/>
      <c r="D195" s="71"/>
      <c r="E195" s="71">
        <v>3</v>
      </c>
    </row>
    <row r="196" spans="1:5" x14ac:dyDescent="0.3">
      <c r="A196" s="70">
        <v>43530</v>
      </c>
      <c r="B196" s="71">
        <v>5</v>
      </c>
      <c r="C196" s="71">
        <v>1</v>
      </c>
      <c r="D196" s="71"/>
      <c r="E196" s="71">
        <v>6</v>
      </c>
    </row>
    <row r="197" spans="1:5" x14ac:dyDescent="0.3">
      <c r="A197" s="70">
        <v>43531</v>
      </c>
      <c r="B197" s="71">
        <v>1</v>
      </c>
      <c r="C197" s="71"/>
      <c r="D197" s="71"/>
      <c r="E197" s="71">
        <v>1</v>
      </c>
    </row>
    <row r="198" spans="1:5" x14ac:dyDescent="0.3">
      <c r="A198" s="70">
        <v>43533</v>
      </c>
      <c r="B198" s="71">
        <v>3</v>
      </c>
      <c r="C198" s="71"/>
      <c r="D198" s="71"/>
      <c r="E198" s="71">
        <v>3</v>
      </c>
    </row>
    <row r="199" spans="1:5" x14ac:dyDescent="0.3">
      <c r="A199" s="70">
        <v>43536</v>
      </c>
      <c r="B199" s="71">
        <v>4</v>
      </c>
      <c r="C199" s="71">
        <v>1</v>
      </c>
      <c r="D199" s="71"/>
      <c r="E199" s="71">
        <v>5</v>
      </c>
    </row>
    <row r="200" spans="1:5" x14ac:dyDescent="0.3">
      <c r="A200" s="70">
        <v>43538</v>
      </c>
      <c r="B200" s="71">
        <v>9</v>
      </c>
      <c r="C200" s="71">
        <v>1</v>
      </c>
      <c r="D200" s="71"/>
      <c r="E200" s="71">
        <v>10</v>
      </c>
    </row>
    <row r="201" spans="1:5" x14ac:dyDescent="0.3">
      <c r="A201" s="70">
        <v>43539</v>
      </c>
      <c r="B201" s="71">
        <v>4</v>
      </c>
      <c r="C201" s="71"/>
      <c r="D201" s="71"/>
      <c r="E201" s="71">
        <v>4</v>
      </c>
    </row>
    <row r="202" spans="1:5" x14ac:dyDescent="0.3">
      <c r="A202" s="70">
        <v>43540</v>
      </c>
      <c r="B202" s="71">
        <v>2</v>
      </c>
      <c r="C202" s="71"/>
      <c r="D202" s="71"/>
      <c r="E202" s="71">
        <v>2</v>
      </c>
    </row>
    <row r="203" spans="1:5" x14ac:dyDescent="0.3">
      <c r="A203" s="70">
        <v>43543</v>
      </c>
      <c r="B203" s="71">
        <v>4</v>
      </c>
      <c r="C203" s="71">
        <v>1</v>
      </c>
      <c r="D203" s="71"/>
      <c r="E203" s="71">
        <v>5</v>
      </c>
    </row>
    <row r="204" spans="1:5" x14ac:dyDescent="0.3">
      <c r="A204" s="70">
        <v>43545</v>
      </c>
      <c r="B204" s="71">
        <v>1</v>
      </c>
      <c r="C204" s="71"/>
      <c r="D204" s="71"/>
      <c r="E204" s="71">
        <v>1</v>
      </c>
    </row>
    <row r="205" spans="1:5" x14ac:dyDescent="0.3">
      <c r="A205" s="70">
        <v>43546</v>
      </c>
      <c r="B205" s="71">
        <v>3</v>
      </c>
      <c r="C205" s="71"/>
      <c r="D205" s="71"/>
      <c r="E205" s="71">
        <v>3</v>
      </c>
    </row>
    <row r="206" spans="1:5" x14ac:dyDescent="0.3">
      <c r="A206" s="70">
        <v>43547</v>
      </c>
      <c r="B206" s="71">
        <v>1</v>
      </c>
      <c r="C206" s="71"/>
      <c r="D206" s="71"/>
      <c r="E206" s="71">
        <v>1</v>
      </c>
    </row>
    <row r="207" spans="1:5" x14ac:dyDescent="0.3">
      <c r="A207" s="70">
        <v>43548</v>
      </c>
      <c r="B207" s="71">
        <v>2</v>
      </c>
      <c r="C207" s="71"/>
      <c r="D207" s="71"/>
      <c r="E207" s="71">
        <v>2</v>
      </c>
    </row>
    <row r="208" spans="1:5" x14ac:dyDescent="0.3">
      <c r="A208" s="70">
        <v>43550</v>
      </c>
      <c r="B208" s="71">
        <v>5</v>
      </c>
      <c r="C208" s="71">
        <v>1</v>
      </c>
      <c r="D208" s="71"/>
      <c r="E208" s="71">
        <v>6</v>
      </c>
    </row>
    <row r="209" spans="1:5" x14ac:dyDescent="0.3">
      <c r="A209" s="70">
        <v>43552</v>
      </c>
      <c r="B209" s="71">
        <v>9</v>
      </c>
      <c r="C209" s="71">
        <v>1</v>
      </c>
      <c r="D209" s="71"/>
      <c r="E209" s="71">
        <v>10</v>
      </c>
    </row>
    <row r="210" spans="1:5" x14ac:dyDescent="0.3">
      <c r="A210" s="70">
        <v>43554</v>
      </c>
      <c r="B210" s="71">
        <v>6</v>
      </c>
      <c r="C210" s="71"/>
      <c r="D210" s="71"/>
      <c r="E210" s="71">
        <v>6</v>
      </c>
    </row>
    <row r="211" spans="1:5" x14ac:dyDescent="0.3">
      <c r="A211" s="70">
        <v>43555</v>
      </c>
      <c r="B211" s="71">
        <v>1</v>
      </c>
      <c r="C211" s="71"/>
      <c r="D211" s="71"/>
      <c r="E211" s="71">
        <v>1</v>
      </c>
    </row>
    <row r="212" spans="1:5" x14ac:dyDescent="0.3">
      <c r="A212" s="70">
        <v>43557</v>
      </c>
      <c r="B212" s="71">
        <v>5</v>
      </c>
      <c r="C212" s="71"/>
      <c r="D212" s="71"/>
      <c r="E212" s="71">
        <v>5</v>
      </c>
    </row>
    <row r="213" spans="1:5" x14ac:dyDescent="0.3">
      <c r="A213" s="70">
        <v>43558</v>
      </c>
      <c r="B213" s="71">
        <v>1</v>
      </c>
      <c r="C213" s="71"/>
      <c r="D213" s="71"/>
      <c r="E213" s="71">
        <v>1</v>
      </c>
    </row>
    <row r="214" spans="1:5" x14ac:dyDescent="0.3">
      <c r="A214" s="70">
        <v>43559</v>
      </c>
      <c r="B214" s="71">
        <v>2</v>
      </c>
      <c r="C214" s="71">
        <v>1</v>
      </c>
      <c r="D214" s="71"/>
      <c r="E214" s="71">
        <v>3</v>
      </c>
    </row>
    <row r="215" spans="1:5" x14ac:dyDescent="0.3">
      <c r="A215" s="70">
        <v>43560</v>
      </c>
      <c r="B215" s="71">
        <v>2</v>
      </c>
      <c r="C215" s="71"/>
      <c r="D215" s="71"/>
      <c r="E215" s="71">
        <v>2</v>
      </c>
    </row>
    <row r="216" spans="1:5" x14ac:dyDescent="0.3">
      <c r="A216" s="70">
        <v>43561</v>
      </c>
      <c r="B216" s="71">
        <v>1</v>
      </c>
      <c r="C216" s="71"/>
      <c r="D216" s="71"/>
      <c r="E216" s="71">
        <v>1</v>
      </c>
    </row>
    <row r="217" spans="1:5" x14ac:dyDescent="0.3">
      <c r="A217" s="70">
        <v>43562</v>
      </c>
      <c r="B217" s="71">
        <v>10</v>
      </c>
      <c r="C217" s="71">
        <v>1</v>
      </c>
      <c r="D217" s="71"/>
      <c r="E217" s="71">
        <v>11</v>
      </c>
    </row>
    <row r="218" spans="1:5" x14ac:dyDescent="0.3">
      <c r="A218" s="70">
        <v>43571</v>
      </c>
      <c r="B218" s="71">
        <v>4</v>
      </c>
      <c r="C218" s="71"/>
      <c r="D218" s="71"/>
      <c r="E218" s="71">
        <v>4</v>
      </c>
    </row>
    <row r="219" spans="1:5" x14ac:dyDescent="0.3">
      <c r="A219" s="70">
        <v>43572</v>
      </c>
      <c r="B219" s="71">
        <v>3</v>
      </c>
      <c r="C219" s="71">
        <v>1</v>
      </c>
      <c r="D219" s="71"/>
      <c r="E219" s="71">
        <v>4</v>
      </c>
    </row>
    <row r="220" spans="1:5" x14ac:dyDescent="0.3">
      <c r="A220" s="70">
        <v>43574</v>
      </c>
      <c r="B220" s="71">
        <v>5</v>
      </c>
      <c r="C220" s="71"/>
      <c r="D220" s="71"/>
      <c r="E220" s="71">
        <v>5</v>
      </c>
    </row>
    <row r="221" spans="1:5" x14ac:dyDescent="0.3">
      <c r="A221" s="70">
        <v>43577</v>
      </c>
      <c r="B221" s="71">
        <v>4</v>
      </c>
      <c r="C221" s="71">
        <v>1</v>
      </c>
      <c r="D221" s="71">
        <v>1</v>
      </c>
      <c r="E221" s="71">
        <v>6</v>
      </c>
    </row>
    <row r="222" spans="1:5" x14ac:dyDescent="0.3">
      <c r="A222" s="70">
        <v>43578</v>
      </c>
      <c r="B222" s="71">
        <v>4</v>
      </c>
      <c r="C222" s="71"/>
      <c r="D222" s="71"/>
      <c r="E222" s="71">
        <v>4</v>
      </c>
    </row>
    <row r="223" spans="1:5" x14ac:dyDescent="0.3">
      <c r="A223" s="70">
        <v>43579</v>
      </c>
      <c r="B223" s="71">
        <v>2</v>
      </c>
      <c r="C223" s="71">
        <v>1</v>
      </c>
      <c r="D223" s="71"/>
      <c r="E223" s="71">
        <v>3</v>
      </c>
    </row>
    <row r="224" spans="1:5" x14ac:dyDescent="0.3">
      <c r="A224" s="70">
        <v>43582</v>
      </c>
      <c r="B224" s="71">
        <v>2</v>
      </c>
      <c r="C224" s="71">
        <v>1</v>
      </c>
      <c r="D224" s="71">
        <v>1</v>
      </c>
      <c r="E224" s="71">
        <v>4</v>
      </c>
    </row>
    <row r="225" spans="1:5" x14ac:dyDescent="0.3">
      <c r="A225" s="70">
        <v>43583</v>
      </c>
      <c r="B225" s="71">
        <v>4</v>
      </c>
      <c r="C225" s="71"/>
      <c r="D225" s="71"/>
      <c r="E225" s="71">
        <v>4</v>
      </c>
    </row>
    <row r="226" spans="1:5" x14ac:dyDescent="0.3">
      <c r="A226" s="70">
        <v>43584</v>
      </c>
      <c r="B226" s="71">
        <v>3</v>
      </c>
      <c r="C226" s="71"/>
      <c r="D226" s="71"/>
      <c r="E226" s="71">
        <v>3</v>
      </c>
    </row>
    <row r="227" spans="1:5" x14ac:dyDescent="0.3">
      <c r="A227" s="70">
        <v>43585</v>
      </c>
      <c r="B227" s="71">
        <v>2</v>
      </c>
      <c r="C227" s="71"/>
      <c r="D227" s="71"/>
      <c r="E227" s="71">
        <v>2</v>
      </c>
    </row>
    <row r="228" spans="1:5" x14ac:dyDescent="0.3">
      <c r="A228" s="70">
        <v>43586</v>
      </c>
      <c r="B228" s="71">
        <v>2</v>
      </c>
      <c r="C228" s="71"/>
      <c r="D228" s="71"/>
      <c r="E228" s="71">
        <v>2</v>
      </c>
    </row>
    <row r="229" spans="1:5" x14ac:dyDescent="0.3">
      <c r="A229" s="70">
        <v>43587</v>
      </c>
      <c r="B229" s="71">
        <v>5</v>
      </c>
      <c r="C229" s="71"/>
      <c r="D229" s="71"/>
      <c r="E229" s="71">
        <v>5</v>
      </c>
    </row>
    <row r="230" spans="1:5" x14ac:dyDescent="0.3">
      <c r="A230" s="70">
        <v>43588</v>
      </c>
      <c r="B230" s="71">
        <v>3</v>
      </c>
      <c r="C230" s="71"/>
      <c r="D230" s="71"/>
      <c r="E230" s="71">
        <v>3</v>
      </c>
    </row>
    <row r="231" spans="1:5" x14ac:dyDescent="0.3">
      <c r="A231" s="70">
        <v>43589</v>
      </c>
      <c r="B231" s="71">
        <v>6</v>
      </c>
      <c r="C231" s="71">
        <v>1</v>
      </c>
      <c r="D231" s="71"/>
      <c r="E231" s="71">
        <v>7</v>
      </c>
    </row>
    <row r="232" spans="1:5" x14ac:dyDescent="0.3">
      <c r="A232" s="70">
        <v>43591</v>
      </c>
      <c r="B232" s="71">
        <v>2</v>
      </c>
      <c r="C232" s="71"/>
      <c r="D232" s="71"/>
      <c r="E232" s="71">
        <v>2</v>
      </c>
    </row>
    <row r="233" spans="1:5" x14ac:dyDescent="0.3">
      <c r="A233" s="70">
        <v>43593</v>
      </c>
      <c r="B233" s="71">
        <v>1</v>
      </c>
      <c r="C233" s="71"/>
      <c r="D233" s="71"/>
      <c r="E233" s="71">
        <v>1</v>
      </c>
    </row>
    <row r="234" spans="1:5" x14ac:dyDescent="0.3">
      <c r="A234" s="70">
        <v>43594</v>
      </c>
      <c r="B234" s="71">
        <v>1</v>
      </c>
      <c r="C234" s="71"/>
      <c r="D234" s="71"/>
      <c r="E234" s="71">
        <v>1</v>
      </c>
    </row>
    <row r="235" spans="1:5" x14ac:dyDescent="0.3">
      <c r="A235" s="70">
        <v>43596</v>
      </c>
      <c r="B235" s="71">
        <v>3</v>
      </c>
      <c r="C235" s="71"/>
      <c r="D235" s="71"/>
      <c r="E235" s="71">
        <v>3</v>
      </c>
    </row>
    <row r="236" spans="1:5" x14ac:dyDescent="0.3">
      <c r="A236" s="149">
        <v>43597</v>
      </c>
      <c r="B236" s="71">
        <v>1</v>
      </c>
      <c r="C236" s="71"/>
      <c r="D236" s="71"/>
      <c r="E236" s="71">
        <v>1</v>
      </c>
    </row>
    <row r="237" spans="1:5" x14ac:dyDescent="0.3">
      <c r="A237" s="70">
        <v>43598</v>
      </c>
      <c r="B237" s="71">
        <v>4</v>
      </c>
      <c r="C237" s="71"/>
      <c r="D237" s="71"/>
      <c r="E237" s="71">
        <v>4</v>
      </c>
    </row>
    <row r="238" spans="1:5" x14ac:dyDescent="0.3">
      <c r="A238" s="70">
        <v>43599</v>
      </c>
      <c r="B238" s="71">
        <v>2</v>
      </c>
      <c r="C238" s="71"/>
      <c r="D238" s="71"/>
      <c r="E238" s="71">
        <v>2</v>
      </c>
    </row>
    <row r="239" spans="1:5" x14ac:dyDescent="0.3">
      <c r="A239" s="70">
        <v>43600</v>
      </c>
      <c r="B239" s="71">
        <v>1</v>
      </c>
      <c r="C239" s="71"/>
      <c r="D239" s="71"/>
      <c r="E239" s="71">
        <v>1</v>
      </c>
    </row>
    <row r="240" spans="1:5" x14ac:dyDescent="0.3">
      <c r="A240" s="70">
        <v>43601</v>
      </c>
      <c r="B240" s="71">
        <v>3</v>
      </c>
      <c r="C240" s="71">
        <v>2</v>
      </c>
      <c r="D240" s="71"/>
      <c r="E240" s="71">
        <v>5</v>
      </c>
    </row>
    <row r="241" spans="1:5" x14ac:dyDescent="0.3">
      <c r="A241" s="70">
        <v>43604</v>
      </c>
      <c r="B241" s="71">
        <v>4</v>
      </c>
      <c r="C241" s="71"/>
      <c r="D241" s="71"/>
      <c r="E241" s="71">
        <v>4</v>
      </c>
    </row>
    <row r="242" spans="1:5" x14ac:dyDescent="0.3">
      <c r="A242" s="70">
        <v>43605</v>
      </c>
      <c r="B242" s="71">
        <v>2</v>
      </c>
      <c r="C242" s="71"/>
      <c r="D242" s="71"/>
      <c r="E242" s="71">
        <v>2</v>
      </c>
    </row>
    <row r="243" spans="1:5" x14ac:dyDescent="0.3">
      <c r="A243" s="70">
        <v>43606</v>
      </c>
      <c r="B243" s="71">
        <v>3</v>
      </c>
      <c r="C243" s="71"/>
      <c r="D243" s="71"/>
      <c r="E243" s="71">
        <v>3</v>
      </c>
    </row>
    <row r="244" spans="1:5" x14ac:dyDescent="0.3">
      <c r="A244" s="70">
        <v>43608</v>
      </c>
      <c r="B244" s="71">
        <v>3</v>
      </c>
      <c r="C244" s="71"/>
      <c r="D244" s="71"/>
      <c r="E244" s="71">
        <v>3</v>
      </c>
    </row>
    <row r="245" spans="1:5" x14ac:dyDescent="0.3">
      <c r="A245" s="70">
        <v>43609</v>
      </c>
      <c r="B245" s="71">
        <v>1</v>
      </c>
      <c r="C245" s="71"/>
      <c r="D245" s="71"/>
      <c r="E245" s="71">
        <v>1</v>
      </c>
    </row>
    <row r="246" spans="1:5" x14ac:dyDescent="0.3">
      <c r="A246" s="70">
        <v>43610</v>
      </c>
      <c r="B246" s="71">
        <v>1</v>
      </c>
      <c r="C246" s="71">
        <v>1</v>
      </c>
      <c r="D246" s="71"/>
      <c r="E246" s="71">
        <v>2</v>
      </c>
    </row>
    <row r="247" spans="1:5" x14ac:dyDescent="0.3">
      <c r="A247" s="70">
        <v>43613</v>
      </c>
      <c r="B247" s="71">
        <v>4</v>
      </c>
      <c r="C247" s="71"/>
      <c r="D247" s="71"/>
      <c r="E247" s="71">
        <v>4</v>
      </c>
    </row>
    <row r="248" spans="1:5" x14ac:dyDescent="0.3">
      <c r="A248" s="70">
        <v>43617</v>
      </c>
      <c r="B248" s="71">
        <v>9</v>
      </c>
      <c r="C248" s="71">
        <v>1</v>
      </c>
      <c r="D248" s="71"/>
      <c r="E248" s="71">
        <v>10</v>
      </c>
    </row>
    <row r="249" spans="1:5" x14ac:dyDescent="0.3">
      <c r="A249" s="70">
        <v>43620</v>
      </c>
      <c r="B249" s="71">
        <v>1</v>
      </c>
      <c r="C249" s="71"/>
      <c r="D249" s="71"/>
      <c r="E249" s="71">
        <v>1</v>
      </c>
    </row>
    <row r="250" spans="1:5" x14ac:dyDescent="0.3">
      <c r="A250" s="70">
        <v>43626</v>
      </c>
      <c r="B250" s="71">
        <v>3</v>
      </c>
      <c r="C250" s="71"/>
      <c r="D250" s="71"/>
      <c r="E250" s="71">
        <v>3</v>
      </c>
    </row>
    <row r="251" spans="1:5" x14ac:dyDescent="0.3">
      <c r="A251" s="70">
        <v>43627</v>
      </c>
      <c r="B251" s="71">
        <v>1</v>
      </c>
      <c r="C251" s="71"/>
      <c r="D251" s="71"/>
      <c r="E251" s="71">
        <v>1</v>
      </c>
    </row>
    <row r="252" spans="1:5" x14ac:dyDescent="0.3">
      <c r="A252" s="70">
        <v>43629</v>
      </c>
      <c r="B252" s="71">
        <v>2</v>
      </c>
      <c r="C252" s="71">
        <v>1</v>
      </c>
      <c r="D252" s="71"/>
      <c r="E252" s="71">
        <v>3</v>
      </c>
    </row>
    <row r="253" spans="1:5" x14ac:dyDescent="0.3">
      <c r="A253" s="70">
        <v>43632</v>
      </c>
      <c r="B253" s="71">
        <v>3</v>
      </c>
      <c r="C253" s="71"/>
      <c r="D253" s="71"/>
      <c r="E253" s="71">
        <v>3</v>
      </c>
    </row>
    <row r="254" spans="1:5" x14ac:dyDescent="0.3">
      <c r="A254" s="70">
        <v>43633</v>
      </c>
      <c r="B254" s="71">
        <v>2</v>
      </c>
      <c r="C254" s="71"/>
      <c r="D254" s="71"/>
      <c r="E254" s="71">
        <v>2</v>
      </c>
    </row>
    <row r="255" spans="1:5" x14ac:dyDescent="0.3">
      <c r="A255" s="70">
        <v>43634</v>
      </c>
      <c r="B255" s="71">
        <v>2</v>
      </c>
      <c r="C255" s="71"/>
      <c r="D255" s="71"/>
      <c r="E255" s="71">
        <v>2</v>
      </c>
    </row>
    <row r="256" spans="1:5" x14ac:dyDescent="0.3">
      <c r="A256" s="70">
        <v>43636</v>
      </c>
      <c r="B256" s="71">
        <v>4</v>
      </c>
      <c r="C256" s="71"/>
      <c r="D256" s="71"/>
      <c r="E256" s="71">
        <v>4</v>
      </c>
    </row>
    <row r="257" spans="1:5" x14ac:dyDescent="0.3">
      <c r="A257" s="70">
        <v>43637</v>
      </c>
      <c r="B257" s="71">
        <v>2</v>
      </c>
      <c r="C257" s="71"/>
      <c r="D257" s="71"/>
      <c r="E257" s="71">
        <v>2</v>
      </c>
    </row>
    <row r="258" spans="1:5" x14ac:dyDescent="0.3">
      <c r="A258" s="70">
        <v>43638</v>
      </c>
      <c r="B258" s="71">
        <v>2</v>
      </c>
      <c r="C258" s="71"/>
      <c r="D258" s="71"/>
      <c r="E258" s="71">
        <v>2</v>
      </c>
    </row>
    <row r="259" spans="1:5" x14ac:dyDescent="0.3">
      <c r="A259" s="70">
        <v>43639</v>
      </c>
      <c r="B259" s="71">
        <v>3</v>
      </c>
      <c r="C259" s="71"/>
      <c r="D259" s="71"/>
      <c r="E259" s="71">
        <v>3</v>
      </c>
    </row>
    <row r="260" spans="1:5" x14ac:dyDescent="0.3">
      <c r="A260" s="70">
        <v>43641</v>
      </c>
      <c r="B260" s="71">
        <v>2</v>
      </c>
      <c r="C260" s="71">
        <v>1</v>
      </c>
      <c r="D260" s="71"/>
      <c r="E260" s="71">
        <v>3</v>
      </c>
    </row>
    <row r="261" spans="1:5" x14ac:dyDescent="0.3">
      <c r="A261" s="70">
        <v>43642</v>
      </c>
      <c r="B261" s="71">
        <v>1</v>
      </c>
      <c r="C261" s="71"/>
      <c r="D261" s="71"/>
      <c r="E261" s="71">
        <v>1</v>
      </c>
    </row>
    <row r="262" spans="1:5" x14ac:dyDescent="0.3">
      <c r="A262" s="70">
        <v>43643</v>
      </c>
      <c r="B262" s="71">
        <v>3</v>
      </c>
      <c r="C262" s="71"/>
      <c r="D262" s="71"/>
      <c r="E262" s="71">
        <v>3</v>
      </c>
    </row>
    <row r="263" spans="1:5" x14ac:dyDescent="0.3">
      <c r="A263" s="70">
        <v>43644</v>
      </c>
      <c r="B263" s="71">
        <v>3</v>
      </c>
      <c r="C263" s="71"/>
      <c r="D263" s="71"/>
      <c r="E263" s="71">
        <v>3</v>
      </c>
    </row>
    <row r="264" spans="1:5" x14ac:dyDescent="0.3">
      <c r="A264" s="70">
        <v>43645</v>
      </c>
      <c r="B264" s="71">
        <v>1</v>
      </c>
      <c r="C264" s="71">
        <v>1</v>
      </c>
      <c r="D264" s="71"/>
      <c r="E264" s="71">
        <v>2</v>
      </c>
    </row>
    <row r="265" spans="1:5" x14ac:dyDescent="0.3">
      <c r="A265" s="70">
        <v>43646</v>
      </c>
      <c r="B265" s="71">
        <v>1</v>
      </c>
      <c r="C265" s="71"/>
      <c r="D265" s="71"/>
      <c r="E265" s="71">
        <v>1</v>
      </c>
    </row>
    <row r="266" spans="1:5" x14ac:dyDescent="0.3">
      <c r="A266" s="70">
        <v>43647</v>
      </c>
      <c r="B266" s="71">
        <v>1</v>
      </c>
      <c r="C266" s="71">
        <v>1</v>
      </c>
      <c r="D266" s="71"/>
      <c r="E266" s="71">
        <v>2</v>
      </c>
    </row>
    <row r="267" spans="1:5" x14ac:dyDescent="0.3">
      <c r="A267" s="70">
        <v>43648</v>
      </c>
      <c r="B267" s="71">
        <v>2</v>
      </c>
      <c r="C267" s="71"/>
      <c r="D267" s="71"/>
      <c r="E267" s="71">
        <v>2</v>
      </c>
    </row>
    <row r="268" spans="1:5" x14ac:dyDescent="0.3">
      <c r="A268" s="70">
        <v>43649</v>
      </c>
      <c r="B268" s="71">
        <v>3</v>
      </c>
      <c r="C268" s="71"/>
      <c r="D268" s="71"/>
      <c r="E268" s="71">
        <v>3</v>
      </c>
    </row>
    <row r="269" spans="1:5" x14ac:dyDescent="0.3">
      <c r="A269" s="70">
        <v>43650</v>
      </c>
      <c r="B269" s="71">
        <v>3</v>
      </c>
      <c r="C269" s="71"/>
      <c r="D269" s="71"/>
      <c r="E269" s="71">
        <v>3</v>
      </c>
    </row>
    <row r="270" spans="1:5" x14ac:dyDescent="0.3">
      <c r="A270" s="70">
        <v>43652</v>
      </c>
      <c r="B270" s="71">
        <v>4</v>
      </c>
      <c r="C270" s="71"/>
      <c r="D270" s="71"/>
      <c r="E270" s="71">
        <v>4</v>
      </c>
    </row>
    <row r="271" spans="1:5" x14ac:dyDescent="0.3">
      <c r="A271" s="70">
        <v>43653</v>
      </c>
      <c r="B271" s="71">
        <v>1</v>
      </c>
      <c r="C271" s="71"/>
      <c r="D271" s="71"/>
      <c r="E271" s="71">
        <v>1</v>
      </c>
    </row>
    <row r="272" spans="1:5" x14ac:dyDescent="0.3">
      <c r="A272" s="70">
        <v>43654</v>
      </c>
      <c r="B272" s="71">
        <v>3</v>
      </c>
      <c r="C272" s="71"/>
      <c r="D272" s="71"/>
      <c r="E272" s="71">
        <v>3</v>
      </c>
    </row>
    <row r="273" spans="1:5" x14ac:dyDescent="0.3">
      <c r="A273" s="70">
        <v>43655</v>
      </c>
      <c r="B273" s="71">
        <v>5</v>
      </c>
      <c r="C273" s="71">
        <v>1</v>
      </c>
      <c r="D273" s="71"/>
      <c r="E273" s="71">
        <v>6</v>
      </c>
    </row>
    <row r="274" spans="1:5" x14ac:dyDescent="0.3">
      <c r="A274" s="70">
        <v>43657</v>
      </c>
      <c r="B274" s="71">
        <v>2</v>
      </c>
      <c r="C274" s="71"/>
      <c r="D274" s="71"/>
      <c r="E274" s="71">
        <v>2</v>
      </c>
    </row>
    <row r="275" spans="1:5" x14ac:dyDescent="0.3">
      <c r="A275" s="70">
        <v>43658</v>
      </c>
      <c r="B275" s="71">
        <v>2</v>
      </c>
      <c r="C275" s="71"/>
      <c r="D275" s="71"/>
      <c r="E275" s="71">
        <v>2</v>
      </c>
    </row>
    <row r="276" spans="1:5" x14ac:dyDescent="0.3">
      <c r="A276" s="70">
        <v>43659</v>
      </c>
      <c r="B276" s="71">
        <v>2</v>
      </c>
      <c r="C276" s="71">
        <v>1</v>
      </c>
      <c r="D276" s="71"/>
      <c r="E276" s="71">
        <v>3</v>
      </c>
    </row>
    <row r="277" spans="1:5" x14ac:dyDescent="0.3">
      <c r="A277" s="70">
        <v>43660</v>
      </c>
      <c r="B277" s="71">
        <v>3</v>
      </c>
      <c r="C277" s="71"/>
      <c r="D277" s="71"/>
      <c r="E277" s="71">
        <v>3</v>
      </c>
    </row>
    <row r="278" spans="1:5" x14ac:dyDescent="0.3">
      <c r="A278" s="70">
        <v>43662</v>
      </c>
      <c r="B278" s="71">
        <v>4</v>
      </c>
      <c r="C278" s="71"/>
      <c r="D278" s="71"/>
      <c r="E278" s="71">
        <v>4</v>
      </c>
    </row>
    <row r="279" spans="1:5" x14ac:dyDescent="0.3">
      <c r="A279" s="70">
        <v>43663</v>
      </c>
      <c r="B279" s="71">
        <v>2</v>
      </c>
      <c r="C279" s="71"/>
      <c r="D279" s="71"/>
      <c r="E279" s="71">
        <v>2</v>
      </c>
    </row>
    <row r="280" spans="1:5" x14ac:dyDescent="0.3">
      <c r="A280" s="70">
        <v>43664</v>
      </c>
      <c r="B280" s="71">
        <v>1</v>
      </c>
      <c r="C280" s="71"/>
      <c r="D280" s="71"/>
      <c r="E280" s="71">
        <v>1</v>
      </c>
    </row>
    <row r="281" spans="1:5" x14ac:dyDescent="0.3">
      <c r="A281" s="70">
        <v>43665</v>
      </c>
      <c r="B281" s="71">
        <v>2</v>
      </c>
      <c r="C281" s="71"/>
      <c r="D281" s="71"/>
      <c r="E281" s="71">
        <v>2</v>
      </c>
    </row>
    <row r="282" spans="1:5" x14ac:dyDescent="0.3">
      <c r="A282" s="70">
        <v>43668</v>
      </c>
      <c r="B282" s="71">
        <v>3</v>
      </c>
      <c r="C282" s="71">
        <v>1</v>
      </c>
      <c r="D282" s="71"/>
      <c r="E282" s="71">
        <v>4</v>
      </c>
    </row>
    <row r="283" spans="1:5" x14ac:dyDescent="0.3">
      <c r="A283" s="70">
        <v>43671</v>
      </c>
      <c r="B283" s="71">
        <v>2</v>
      </c>
      <c r="C283" s="71">
        <v>1</v>
      </c>
      <c r="D283" s="71"/>
      <c r="E283" s="71">
        <v>3</v>
      </c>
    </row>
    <row r="284" spans="1:5" x14ac:dyDescent="0.3">
      <c r="A284" s="70">
        <v>43674</v>
      </c>
      <c r="B284" s="71">
        <v>1</v>
      </c>
      <c r="C284" s="71"/>
      <c r="D284" s="71"/>
      <c r="E284" s="71">
        <v>1</v>
      </c>
    </row>
    <row r="285" spans="1:5" x14ac:dyDescent="0.3">
      <c r="A285" s="70">
        <v>43676</v>
      </c>
      <c r="B285" s="71">
        <v>1</v>
      </c>
      <c r="C285" s="71"/>
      <c r="D285" s="71"/>
      <c r="E285" s="71">
        <v>1</v>
      </c>
    </row>
    <row r="286" spans="1:5" x14ac:dyDescent="0.3">
      <c r="A286" s="70">
        <v>43678</v>
      </c>
      <c r="B286" s="71">
        <v>7</v>
      </c>
      <c r="C286" s="71">
        <v>1</v>
      </c>
      <c r="D286" s="71"/>
      <c r="E286" s="71">
        <v>8</v>
      </c>
    </row>
    <row r="287" spans="1:5" x14ac:dyDescent="0.3">
      <c r="A287" s="70">
        <v>43679</v>
      </c>
      <c r="B287" s="71">
        <v>1</v>
      </c>
      <c r="C287" s="71"/>
      <c r="D287" s="71"/>
      <c r="E287" s="71">
        <v>1</v>
      </c>
    </row>
    <row r="288" spans="1:5" x14ac:dyDescent="0.3">
      <c r="A288" s="70">
        <v>43682</v>
      </c>
      <c r="B288" s="71">
        <v>3</v>
      </c>
      <c r="C288" s="71">
        <v>1</v>
      </c>
      <c r="D288" s="71"/>
      <c r="E288" s="71">
        <v>4</v>
      </c>
    </row>
    <row r="289" spans="1:5" x14ac:dyDescent="0.3">
      <c r="A289" s="70">
        <v>43684</v>
      </c>
      <c r="B289" s="71">
        <v>2</v>
      </c>
      <c r="C289" s="71"/>
      <c r="D289" s="71"/>
      <c r="E289" s="71">
        <v>2</v>
      </c>
    </row>
    <row r="290" spans="1:5" x14ac:dyDescent="0.3">
      <c r="A290" s="70">
        <v>43685</v>
      </c>
      <c r="B290" s="71">
        <v>3</v>
      </c>
      <c r="C290" s="71"/>
      <c r="D290" s="71"/>
      <c r="E290" s="71">
        <v>3</v>
      </c>
    </row>
    <row r="291" spans="1:5" x14ac:dyDescent="0.3">
      <c r="A291" s="70">
        <v>43687</v>
      </c>
      <c r="B291" s="71">
        <v>2</v>
      </c>
      <c r="C291" s="71">
        <v>1</v>
      </c>
      <c r="D291" s="71"/>
      <c r="E291" s="71">
        <v>3</v>
      </c>
    </row>
    <row r="292" spans="1:5" x14ac:dyDescent="0.3">
      <c r="A292" s="70">
        <v>43693</v>
      </c>
      <c r="B292" s="71">
        <v>1</v>
      </c>
      <c r="C292" s="71"/>
      <c r="D292" s="71"/>
      <c r="E292" s="71">
        <v>1</v>
      </c>
    </row>
    <row r="293" spans="1:5" x14ac:dyDescent="0.3">
      <c r="A293" s="70">
        <v>43694</v>
      </c>
      <c r="B293" s="71">
        <v>2</v>
      </c>
      <c r="C293" s="71">
        <v>1</v>
      </c>
      <c r="D293" s="71"/>
      <c r="E293" s="71">
        <v>3</v>
      </c>
    </row>
    <row r="294" spans="1:5" x14ac:dyDescent="0.3">
      <c r="A294" s="70">
        <v>43698</v>
      </c>
      <c r="B294" s="71">
        <v>1</v>
      </c>
      <c r="C294" s="71"/>
      <c r="D294" s="71"/>
      <c r="E294" s="71">
        <v>1</v>
      </c>
    </row>
    <row r="295" spans="1:5" x14ac:dyDescent="0.3">
      <c r="A295" s="70">
        <v>43702</v>
      </c>
      <c r="B295" s="71">
        <v>1</v>
      </c>
      <c r="C295" s="71"/>
      <c r="D295" s="71"/>
      <c r="E295" s="71">
        <v>1</v>
      </c>
    </row>
    <row r="296" spans="1:5" x14ac:dyDescent="0.3">
      <c r="A296" s="70">
        <v>43704</v>
      </c>
      <c r="B296" s="71">
        <v>3</v>
      </c>
      <c r="C296" s="71"/>
      <c r="D296" s="71"/>
      <c r="E296" s="71">
        <v>3</v>
      </c>
    </row>
    <row r="297" spans="1:5" x14ac:dyDescent="0.3">
      <c r="A297" s="70">
        <v>43708</v>
      </c>
      <c r="B297" s="71">
        <v>2</v>
      </c>
      <c r="C297" s="71">
        <v>1</v>
      </c>
      <c r="D297" s="71"/>
      <c r="E297" s="71">
        <v>3</v>
      </c>
    </row>
    <row r="298" spans="1:5" x14ac:dyDescent="0.3">
      <c r="A298" s="70">
        <v>43710</v>
      </c>
      <c r="B298" s="71">
        <v>3</v>
      </c>
      <c r="C298" s="71">
        <v>1</v>
      </c>
      <c r="D298" s="71"/>
      <c r="E298" s="71">
        <v>4</v>
      </c>
    </row>
    <row r="299" spans="1:5" x14ac:dyDescent="0.3">
      <c r="A299" s="70">
        <v>43711</v>
      </c>
      <c r="B299" s="71">
        <v>1</v>
      </c>
      <c r="C299" s="71"/>
      <c r="D299" s="71"/>
      <c r="E299" s="71">
        <v>1</v>
      </c>
    </row>
    <row r="300" spans="1:5" x14ac:dyDescent="0.3">
      <c r="A300" s="70">
        <v>43715</v>
      </c>
      <c r="B300" s="71">
        <v>2</v>
      </c>
      <c r="C300" s="71">
        <v>1</v>
      </c>
      <c r="D300" s="71"/>
      <c r="E300" s="71">
        <v>3</v>
      </c>
    </row>
    <row r="301" spans="1:5" x14ac:dyDescent="0.3">
      <c r="A301" s="70">
        <v>43720</v>
      </c>
      <c r="B301" s="71">
        <v>3</v>
      </c>
      <c r="C301" s="71">
        <v>1</v>
      </c>
      <c r="D301" s="71"/>
      <c r="E301" s="71">
        <v>4</v>
      </c>
    </row>
    <row r="302" spans="1:5" x14ac:dyDescent="0.3">
      <c r="A302" s="70">
        <v>43722</v>
      </c>
      <c r="B302" s="71">
        <v>1</v>
      </c>
      <c r="C302" s="71"/>
      <c r="D302" s="71"/>
      <c r="E302" s="71">
        <v>1</v>
      </c>
    </row>
    <row r="303" spans="1:5" x14ac:dyDescent="0.3">
      <c r="A303" s="70">
        <v>43725</v>
      </c>
      <c r="B303" s="71">
        <v>2</v>
      </c>
      <c r="C303" s="71">
        <v>1</v>
      </c>
      <c r="D303" s="71"/>
      <c r="E303" s="71">
        <v>3</v>
      </c>
    </row>
    <row r="304" spans="1:5" x14ac:dyDescent="0.3">
      <c r="A304" s="70">
        <v>43726</v>
      </c>
      <c r="B304" s="71">
        <v>1</v>
      </c>
      <c r="C304" s="71"/>
      <c r="D304" s="71"/>
      <c r="E304" s="71">
        <v>1</v>
      </c>
    </row>
    <row r="305" spans="1:5" x14ac:dyDescent="0.3">
      <c r="A305" s="70">
        <v>43728</v>
      </c>
      <c r="B305" s="71">
        <v>1</v>
      </c>
      <c r="C305" s="71"/>
      <c r="D305" s="71"/>
      <c r="E305" s="71">
        <v>1</v>
      </c>
    </row>
    <row r="306" spans="1:5" x14ac:dyDescent="0.3">
      <c r="A306" s="70">
        <v>43729</v>
      </c>
      <c r="B306" s="71">
        <v>2</v>
      </c>
      <c r="C306" s="71">
        <v>1</v>
      </c>
      <c r="D306" s="71"/>
      <c r="E306" s="71">
        <v>3</v>
      </c>
    </row>
    <row r="307" spans="1:5" x14ac:dyDescent="0.3">
      <c r="A307" s="70">
        <v>43731</v>
      </c>
      <c r="B307" s="71">
        <v>4</v>
      </c>
      <c r="C307" s="71"/>
      <c r="D307" s="71"/>
      <c r="E307" s="71">
        <v>4</v>
      </c>
    </row>
    <row r="308" spans="1:5" x14ac:dyDescent="0.3">
      <c r="A308" s="70">
        <v>43733</v>
      </c>
      <c r="B308" s="71">
        <v>1</v>
      </c>
      <c r="C308" s="71">
        <v>1</v>
      </c>
      <c r="D308" s="71"/>
      <c r="E308" s="71">
        <v>2</v>
      </c>
    </row>
    <row r="309" spans="1:5" x14ac:dyDescent="0.3">
      <c r="A309" s="70">
        <v>43734</v>
      </c>
      <c r="B309" s="71">
        <v>2</v>
      </c>
      <c r="C309" s="71"/>
      <c r="D309" s="71"/>
      <c r="E309" s="71">
        <v>2</v>
      </c>
    </row>
    <row r="310" spans="1:5" x14ac:dyDescent="0.3">
      <c r="A310" s="70">
        <v>43736</v>
      </c>
      <c r="B310" s="71">
        <v>2</v>
      </c>
      <c r="C310" s="71">
        <v>1</v>
      </c>
      <c r="D310" s="71"/>
      <c r="E310" s="71">
        <v>3</v>
      </c>
    </row>
    <row r="311" spans="1:5" x14ac:dyDescent="0.3">
      <c r="A311" s="70">
        <v>43739</v>
      </c>
      <c r="B311" s="71">
        <v>3</v>
      </c>
      <c r="C311" s="71"/>
      <c r="D311" s="71"/>
      <c r="E311" s="71">
        <v>3</v>
      </c>
    </row>
    <row r="312" spans="1:5" x14ac:dyDescent="0.3">
      <c r="A312" s="70">
        <v>43740</v>
      </c>
      <c r="B312" s="71">
        <v>5</v>
      </c>
      <c r="C312" s="71">
        <v>1</v>
      </c>
      <c r="D312" s="71"/>
      <c r="E312" s="71">
        <v>6</v>
      </c>
    </row>
    <row r="313" spans="1:5" x14ac:dyDescent="0.3">
      <c r="A313" s="70">
        <v>43745</v>
      </c>
      <c r="B313" s="71">
        <v>3</v>
      </c>
      <c r="C313" s="71">
        <v>1</v>
      </c>
      <c r="D313" s="71"/>
      <c r="E313" s="71">
        <v>4</v>
      </c>
    </row>
    <row r="314" spans="1:5" x14ac:dyDescent="0.3">
      <c r="A314" s="70">
        <v>43746</v>
      </c>
      <c r="B314" s="71">
        <v>2</v>
      </c>
      <c r="C314" s="71">
        <v>1</v>
      </c>
      <c r="D314" s="71"/>
      <c r="E314" s="71">
        <v>3</v>
      </c>
    </row>
    <row r="315" spans="1:5" x14ac:dyDescent="0.3">
      <c r="A315" s="70">
        <v>43749</v>
      </c>
      <c r="B315" s="71">
        <v>5</v>
      </c>
      <c r="C315" s="71"/>
      <c r="D315" s="71"/>
      <c r="E315" s="71">
        <v>5</v>
      </c>
    </row>
    <row r="316" spans="1:5" x14ac:dyDescent="0.3">
      <c r="A316" s="70">
        <v>43751</v>
      </c>
      <c r="B316" s="71">
        <v>4</v>
      </c>
      <c r="C316" s="71">
        <v>1</v>
      </c>
      <c r="D316" s="71"/>
      <c r="E316" s="71">
        <v>5</v>
      </c>
    </row>
    <row r="317" spans="1:5" x14ac:dyDescent="0.3">
      <c r="A317" s="70">
        <v>43753</v>
      </c>
      <c r="B317" s="71">
        <v>1</v>
      </c>
      <c r="C317" s="71"/>
      <c r="D317" s="71"/>
      <c r="E317" s="71">
        <v>1</v>
      </c>
    </row>
    <row r="318" spans="1:5" x14ac:dyDescent="0.3">
      <c r="A318" s="70">
        <v>43754</v>
      </c>
      <c r="B318" s="71">
        <v>1</v>
      </c>
      <c r="C318" s="71">
        <v>2</v>
      </c>
      <c r="D318" s="71"/>
      <c r="E318" s="71">
        <v>3</v>
      </c>
    </row>
    <row r="319" spans="1:5" x14ac:dyDescent="0.3">
      <c r="A319" s="70">
        <v>43755</v>
      </c>
      <c r="B319" s="71">
        <v>1</v>
      </c>
      <c r="C319" s="71"/>
      <c r="D319" s="71"/>
      <c r="E319" s="71">
        <v>1</v>
      </c>
    </row>
    <row r="320" spans="1:5" x14ac:dyDescent="0.3">
      <c r="A320" s="70">
        <v>43756</v>
      </c>
      <c r="B320" s="71">
        <v>1</v>
      </c>
      <c r="C320" s="71"/>
      <c r="D320" s="71"/>
      <c r="E320" s="71">
        <v>1</v>
      </c>
    </row>
    <row r="321" spans="1:5" x14ac:dyDescent="0.3">
      <c r="A321" s="70">
        <v>43757</v>
      </c>
      <c r="B321" s="71">
        <v>2</v>
      </c>
      <c r="C321" s="71"/>
      <c r="D321" s="71"/>
      <c r="E321" s="71">
        <v>2</v>
      </c>
    </row>
    <row r="322" spans="1:5" x14ac:dyDescent="0.3">
      <c r="A322" s="70">
        <v>43758</v>
      </c>
      <c r="B322" s="71">
        <v>4</v>
      </c>
      <c r="C322" s="71"/>
      <c r="D322" s="71"/>
      <c r="E322" s="71">
        <v>4</v>
      </c>
    </row>
    <row r="323" spans="1:5" x14ac:dyDescent="0.3">
      <c r="A323" s="70">
        <v>43759</v>
      </c>
      <c r="B323" s="71">
        <v>1</v>
      </c>
      <c r="C323" s="71"/>
      <c r="D323" s="71"/>
      <c r="E323" s="71">
        <v>1</v>
      </c>
    </row>
    <row r="324" spans="1:5" x14ac:dyDescent="0.3">
      <c r="A324" s="70">
        <v>43760</v>
      </c>
      <c r="B324" s="71">
        <v>2</v>
      </c>
      <c r="C324" s="71"/>
      <c r="D324" s="71"/>
      <c r="E324" s="71">
        <v>2</v>
      </c>
    </row>
    <row r="325" spans="1:5" x14ac:dyDescent="0.3">
      <c r="A325" s="70">
        <v>43762</v>
      </c>
      <c r="B325" s="71">
        <v>6</v>
      </c>
      <c r="C325" s="71"/>
      <c r="D325" s="71"/>
      <c r="E325" s="71">
        <v>6</v>
      </c>
    </row>
    <row r="326" spans="1:5" x14ac:dyDescent="0.3">
      <c r="A326" s="70">
        <v>43763</v>
      </c>
      <c r="B326" s="71">
        <v>3</v>
      </c>
      <c r="C326" s="71"/>
      <c r="D326" s="71"/>
      <c r="E326" s="71">
        <v>3</v>
      </c>
    </row>
    <row r="327" spans="1:5" x14ac:dyDescent="0.3">
      <c r="A327" s="70">
        <v>43765</v>
      </c>
      <c r="B327" s="71">
        <v>6</v>
      </c>
      <c r="C327" s="71"/>
      <c r="D327" s="71"/>
      <c r="E327" s="71">
        <v>6</v>
      </c>
    </row>
    <row r="328" spans="1:5" x14ac:dyDescent="0.3">
      <c r="A328" s="70">
        <v>43766</v>
      </c>
      <c r="B328" s="71">
        <v>4</v>
      </c>
      <c r="C328" s="71">
        <v>2</v>
      </c>
      <c r="D328" s="71"/>
      <c r="E328" s="71">
        <v>6</v>
      </c>
    </row>
    <row r="329" spans="1:5" x14ac:dyDescent="0.3">
      <c r="A329" s="70">
        <v>43768</v>
      </c>
      <c r="B329" s="71">
        <v>4</v>
      </c>
      <c r="C329" s="71">
        <v>1</v>
      </c>
      <c r="D329" s="71"/>
      <c r="E329" s="71">
        <v>5</v>
      </c>
    </row>
    <row r="330" spans="1:5" x14ac:dyDescent="0.3">
      <c r="A330" s="70">
        <v>43769</v>
      </c>
      <c r="B330" s="71">
        <v>1</v>
      </c>
      <c r="C330" s="71"/>
      <c r="D330" s="71"/>
      <c r="E330" s="71">
        <v>1</v>
      </c>
    </row>
    <row r="331" spans="1:5" x14ac:dyDescent="0.3">
      <c r="A331" s="70">
        <v>43771</v>
      </c>
      <c r="B331" s="71">
        <v>5</v>
      </c>
      <c r="C331" s="71"/>
      <c r="D331" s="71"/>
      <c r="E331" s="71">
        <v>5</v>
      </c>
    </row>
    <row r="332" spans="1:5" x14ac:dyDescent="0.3">
      <c r="A332" s="70">
        <v>43773</v>
      </c>
      <c r="B332" s="71">
        <v>1</v>
      </c>
      <c r="C332" s="71"/>
      <c r="D332" s="71"/>
      <c r="E332" s="71">
        <v>1</v>
      </c>
    </row>
    <row r="333" spans="1:5" x14ac:dyDescent="0.3">
      <c r="A333" s="70">
        <v>43774</v>
      </c>
      <c r="B333" s="71">
        <v>11</v>
      </c>
      <c r="C333" s="71">
        <v>1</v>
      </c>
      <c r="D333" s="71"/>
      <c r="E333" s="71">
        <v>12</v>
      </c>
    </row>
    <row r="334" spans="1:5" x14ac:dyDescent="0.3">
      <c r="A334" s="70">
        <v>43776</v>
      </c>
      <c r="B334" s="71">
        <v>2</v>
      </c>
      <c r="C334" s="71"/>
      <c r="D334" s="71"/>
      <c r="E334" s="71">
        <v>2</v>
      </c>
    </row>
    <row r="335" spans="1:5" x14ac:dyDescent="0.3">
      <c r="A335" s="70">
        <v>43778</v>
      </c>
      <c r="B335" s="71">
        <v>1</v>
      </c>
      <c r="C335" s="71"/>
      <c r="D335" s="71"/>
      <c r="E335" s="71">
        <v>1</v>
      </c>
    </row>
    <row r="336" spans="1:5" x14ac:dyDescent="0.3">
      <c r="A336" s="70">
        <v>43780</v>
      </c>
      <c r="B336" s="71">
        <v>3</v>
      </c>
      <c r="C336" s="71"/>
      <c r="D336" s="71"/>
      <c r="E336" s="71">
        <v>3</v>
      </c>
    </row>
    <row r="337" spans="1:5" x14ac:dyDescent="0.3">
      <c r="A337" s="70">
        <v>43781</v>
      </c>
      <c r="B337" s="71">
        <v>1</v>
      </c>
      <c r="C337" s="71">
        <v>1</v>
      </c>
      <c r="D337" s="71"/>
      <c r="E337" s="71">
        <v>2</v>
      </c>
    </row>
    <row r="338" spans="1:5" x14ac:dyDescent="0.3">
      <c r="A338" s="70">
        <v>43782</v>
      </c>
      <c r="B338" s="71">
        <v>5</v>
      </c>
      <c r="C338" s="71"/>
      <c r="D338" s="71"/>
      <c r="E338" s="71">
        <v>5</v>
      </c>
    </row>
    <row r="339" spans="1:5" x14ac:dyDescent="0.3">
      <c r="A339" s="70">
        <v>43783</v>
      </c>
      <c r="B339" s="71">
        <v>4</v>
      </c>
      <c r="C339" s="71">
        <v>1</v>
      </c>
      <c r="D339" s="71"/>
      <c r="E339" s="71">
        <v>5</v>
      </c>
    </row>
    <row r="340" spans="1:5" x14ac:dyDescent="0.3">
      <c r="A340" s="70">
        <v>43785</v>
      </c>
      <c r="B340" s="71">
        <v>6</v>
      </c>
      <c r="C340" s="71"/>
      <c r="D340" s="71"/>
      <c r="E340" s="71">
        <v>6</v>
      </c>
    </row>
    <row r="341" spans="1:5" x14ac:dyDescent="0.3">
      <c r="A341" s="70">
        <v>43786</v>
      </c>
      <c r="B341" s="71">
        <v>4</v>
      </c>
      <c r="C341" s="71"/>
      <c r="D341" s="71"/>
      <c r="E341" s="71">
        <v>4</v>
      </c>
    </row>
    <row r="342" spans="1:5" x14ac:dyDescent="0.3">
      <c r="A342" s="70">
        <v>43787</v>
      </c>
      <c r="B342" s="71">
        <v>4</v>
      </c>
      <c r="C342" s="71"/>
      <c r="D342" s="71"/>
      <c r="E342" s="71">
        <v>4</v>
      </c>
    </row>
    <row r="343" spans="1:5" x14ac:dyDescent="0.3">
      <c r="A343" s="70">
        <v>43788</v>
      </c>
      <c r="B343" s="71">
        <v>4</v>
      </c>
      <c r="C343" s="71">
        <v>1</v>
      </c>
      <c r="D343" s="71"/>
      <c r="E343" s="71">
        <v>5</v>
      </c>
    </row>
    <row r="344" spans="1:5" x14ac:dyDescent="0.3">
      <c r="A344" s="70">
        <v>43789</v>
      </c>
      <c r="B344" s="71">
        <v>2</v>
      </c>
      <c r="C344" s="71"/>
      <c r="D344" s="71"/>
      <c r="E344" s="71">
        <v>2</v>
      </c>
    </row>
    <row r="345" spans="1:5" x14ac:dyDescent="0.3">
      <c r="A345" s="70">
        <v>43790</v>
      </c>
      <c r="B345" s="71">
        <v>4</v>
      </c>
      <c r="C345" s="71">
        <v>1</v>
      </c>
      <c r="D345" s="71"/>
      <c r="E345" s="71">
        <v>5</v>
      </c>
    </row>
    <row r="346" spans="1:5" x14ac:dyDescent="0.3">
      <c r="A346" s="70">
        <v>43793</v>
      </c>
      <c r="B346" s="71">
        <v>2</v>
      </c>
      <c r="C346" s="71">
        <v>1</v>
      </c>
      <c r="D346" s="71"/>
      <c r="E346" s="71">
        <v>3</v>
      </c>
    </row>
    <row r="347" spans="1:5" x14ac:dyDescent="0.3">
      <c r="A347" s="70">
        <v>43794</v>
      </c>
      <c r="B347" s="71">
        <v>3</v>
      </c>
      <c r="C347" s="71"/>
      <c r="D347" s="71"/>
      <c r="E347" s="71">
        <v>3</v>
      </c>
    </row>
    <row r="348" spans="1:5" x14ac:dyDescent="0.3">
      <c r="A348" s="70">
        <v>43797</v>
      </c>
      <c r="B348" s="71">
        <v>2</v>
      </c>
      <c r="C348" s="71">
        <v>1</v>
      </c>
      <c r="D348" s="71"/>
      <c r="E348" s="71">
        <v>3</v>
      </c>
    </row>
    <row r="349" spans="1:5" x14ac:dyDescent="0.3">
      <c r="A349" s="70">
        <v>43799</v>
      </c>
      <c r="B349" s="71">
        <v>4</v>
      </c>
      <c r="C349" s="71">
        <v>2</v>
      </c>
      <c r="D349" s="71"/>
      <c r="E349" s="71">
        <v>6</v>
      </c>
    </row>
    <row r="350" spans="1:5" x14ac:dyDescent="0.3">
      <c r="A350" s="70">
        <v>43801</v>
      </c>
      <c r="B350" s="71">
        <v>2</v>
      </c>
      <c r="C350" s="71"/>
      <c r="D350" s="71"/>
      <c r="E350" s="71">
        <v>2</v>
      </c>
    </row>
    <row r="351" spans="1:5" x14ac:dyDescent="0.3">
      <c r="A351" s="70">
        <v>43803</v>
      </c>
      <c r="B351" s="71">
        <v>2</v>
      </c>
      <c r="C351" s="71">
        <v>1</v>
      </c>
      <c r="D351" s="71"/>
      <c r="E351" s="71">
        <v>3</v>
      </c>
    </row>
    <row r="352" spans="1:5" x14ac:dyDescent="0.3">
      <c r="A352" s="70">
        <v>43804</v>
      </c>
      <c r="B352" s="71">
        <v>1</v>
      </c>
      <c r="C352" s="71"/>
      <c r="D352" s="71"/>
      <c r="E352" s="71">
        <v>1</v>
      </c>
    </row>
    <row r="353" spans="1:5" x14ac:dyDescent="0.3">
      <c r="A353" s="70">
        <v>43805</v>
      </c>
      <c r="B353" s="71">
        <v>1</v>
      </c>
      <c r="C353" s="71"/>
      <c r="D353" s="71"/>
      <c r="E353" s="71">
        <v>1</v>
      </c>
    </row>
    <row r="354" spans="1:5" x14ac:dyDescent="0.3">
      <c r="A354" s="70">
        <v>43806</v>
      </c>
      <c r="B354" s="71">
        <v>1</v>
      </c>
      <c r="C354" s="71"/>
      <c r="D354" s="71"/>
      <c r="E354" s="71">
        <v>1</v>
      </c>
    </row>
    <row r="355" spans="1:5" x14ac:dyDescent="0.3">
      <c r="A355" s="70">
        <v>43810</v>
      </c>
      <c r="B355" s="71">
        <v>8</v>
      </c>
      <c r="C355" s="71">
        <v>1</v>
      </c>
      <c r="D355" s="71"/>
      <c r="E355" s="71">
        <v>9</v>
      </c>
    </row>
    <row r="356" spans="1:5" x14ac:dyDescent="0.3">
      <c r="A356" s="167">
        <v>43813</v>
      </c>
      <c r="B356" s="71">
        <v>1</v>
      </c>
      <c r="C356" s="71"/>
      <c r="D356" s="71"/>
      <c r="E356" s="71">
        <v>1</v>
      </c>
    </row>
    <row r="357" spans="1:5" x14ac:dyDescent="0.3">
      <c r="A357" s="149">
        <v>43815</v>
      </c>
      <c r="B357" s="71"/>
      <c r="C357" s="71">
        <v>1</v>
      </c>
      <c r="D357" s="71"/>
      <c r="E357" s="71">
        <v>1</v>
      </c>
    </row>
    <row r="358" spans="1:5" x14ac:dyDescent="0.3">
      <c r="A358" s="70">
        <v>43816</v>
      </c>
      <c r="B358" s="71">
        <v>2</v>
      </c>
      <c r="C358" s="71"/>
      <c r="D358" s="71"/>
      <c r="E358" s="71">
        <v>2</v>
      </c>
    </row>
    <row r="359" spans="1:5" x14ac:dyDescent="0.3">
      <c r="A359" s="70">
        <v>43818</v>
      </c>
      <c r="B359" s="71">
        <v>3</v>
      </c>
      <c r="C359" s="71">
        <v>2</v>
      </c>
      <c r="D359" s="71"/>
      <c r="E359" s="71">
        <v>5</v>
      </c>
    </row>
    <row r="360" spans="1:5" x14ac:dyDescent="0.3">
      <c r="A360" s="70">
        <v>43820</v>
      </c>
      <c r="B360" s="71">
        <v>1</v>
      </c>
      <c r="C360" s="71"/>
      <c r="D360" s="71"/>
      <c r="E360" s="71">
        <v>1</v>
      </c>
    </row>
    <row r="361" spans="1:5" x14ac:dyDescent="0.3">
      <c r="A361" s="70">
        <v>43822</v>
      </c>
      <c r="B361" s="71">
        <v>3</v>
      </c>
      <c r="C361" s="71"/>
      <c r="D361" s="71"/>
      <c r="E361" s="71">
        <v>3</v>
      </c>
    </row>
    <row r="362" spans="1:5" x14ac:dyDescent="0.3">
      <c r="A362" s="70">
        <v>43823</v>
      </c>
      <c r="B362" s="71">
        <v>4</v>
      </c>
      <c r="C362" s="71"/>
      <c r="D362" s="71"/>
      <c r="E362" s="71">
        <v>4</v>
      </c>
    </row>
    <row r="363" spans="1:5" x14ac:dyDescent="0.3">
      <c r="A363" s="70">
        <v>43825</v>
      </c>
      <c r="B363" s="71">
        <v>4</v>
      </c>
      <c r="C363" s="71">
        <v>1</v>
      </c>
      <c r="D363" s="71"/>
      <c r="E363" s="71">
        <v>5</v>
      </c>
    </row>
    <row r="364" spans="1:5" x14ac:dyDescent="0.3">
      <c r="A364" s="70">
        <v>43826</v>
      </c>
      <c r="B364" s="71">
        <v>2</v>
      </c>
      <c r="C364" s="71"/>
      <c r="D364" s="71"/>
      <c r="E364" s="71">
        <v>2</v>
      </c>
    </row>
    <row r="365" spans="1:5" x14ac:dyDescent="0.3">
      <c r="A365" s="70">
        <v>43830</v>
      </c>
      <c r="B365" s="71">
        <v>2</v>
      </c>
      <c r="C365" s="71"/>
      <c r="D365" s="71"/>
      <c r="E365" s="71">
        <v>2</v>
      </c>
    </row>
    <row r="366" spans="1:5" x14ac:dyDescent="0.3">
      <c r="A366" s="70">
        <v>43832</v>
      </c>
      <c r="B366" s="71"/>
      <c r="C366" s="71">
        <v>1</v>
      </c>
      <c r="D366" s="71"/>
      <c r="E366" s="71">
        <v>1</v>
      </c>
    </row>
    <row r="367" spans="1:5" x14ac:dyDescent="0.3">
      <c r="A367" s="70">
        <v>43834</v>
      </c>
      <c r="B367" s="71">
        <v>1</v>
      </c>
      <c r="C367" s="71">
        <v>1</v>
      </c>
      <c r="D367" s="71"/>
      <c r="E367" s="71">
        <v>2</v>
      </c>
    </row>
    <row r="368" spans="1:5" x14ac:dyDescent="0.3">
      <c r="A368" s="70">
        <v>43836</v>
      </c>
      <c r="B368" s="71">
        <v>2</v>
      </c>
      <c r="C368" s="71"/>
      <c r="D368" s="71"/>
      <c r="E368" s="71">
        <v>2</v>
      </c>
    </row>
    <row r="369" spans="1:5" x14ac:dyDescent="0.3">
      <c r="A369" s="167">
        <v>43837</v>
      </c>
      <c r="B369" s="71">
        <v>7</v>
      </c>
      <c r="C369" s="71">
        <v>2</v>
      </c>
      <c r="D369" s="71"/>
      <c r="E369" s="71">
        <v>9</v>
      </c>
    </row>
    <row r="370" spans="1:5" x14ac:dyDescent="0.3">
      <c r="A370" s="149">
        <v>43844</v>
      </c>
      <c r="B370" s="71">
        <v>1</v>
      </c>
      <c r="C370" s="71">
        <v>1</v>
      </c>
      <c r="D370" s="71"/>
      <c r="E370" s="71">
        <v>2</v>
      </c>
    </row>
    <row r="371" spans="1:5" x14ac:dyDescent="0.3">
      <c r="A371" s="149">
        <v>43845</v>
      </c>
      <c r="B371" s="71">
        <v>4</v>
      </c>
      <c r="C371" s="71"/>
      <c r="D371" s="71"/>
      <c r="E371" s="71">
        <v>4</v>
      </c>
    </row>
    <row r="372" spans="1:5" x14ac:dyDescent="0.3">
      <c r="A372" s="149">
        <v>43848</v>
      </c>
      <c r="B372" s="71">
        <v>3</v>
      </c>
      <c r="C372" s="71">
        <v>1</v>
      </c>
      <c r="D372" s="71"/>
      <c r="E372" s="71">
        <v>4</v>
      </c>
    </row>
    <row r="373" spans="1:5" x14ac:dyDescent="0.3">
      <c r="A373" s="149">
        <v>43850</v>
      </c>
      <c r="B373" s="71">
        <v>3</v>
      </c>
      <c r="C373" s="71">
        <v>1</v>
      </c>
      <c r="D373" s="71"/>
      <c r="E373" s="71">
        <v>4</v>
      </c>
    </row>
    <row r="374" spans="1:5" x14ac:dyDescent="0.3">
      <c r="A374" s="149">
        <v>43851</v>
      </c>
      <c r="B374" s="71">
        <v>2</v>
      </c>
      <c r="C374" s="71">
        <v>1</v>
      </c>
      <c r="D374" s="71"/>
      <c r="E374" s="71">
        <v>3</v>
      </c>
    </row>
    <row r="375" spans="1:5" x14ac:dyDescent="0.3">
      <c r="A375" s="149">
        <v>43855</v>
      </c>
      <c r="B375" s="71">
        <v>3</v>
      </c>
      <c r="C375" s="71"/>
      <c r="D375" s="71"/>
      <c r="E375" s="71">
        <v>3</v>
      </c>
    </row>
    <row r="376" spans="1:5" x14ac:dyDescent="0.3">
      <c r="A376" s="149">
        <v>43856</v>
      </c>
      <c r="B376" s="71">
        <v>3</v>
      </c>
      <c r="C376" s="71"/>
      <c r="D376" s="71"/>
      <c r="E376" s="71">
        <v>3</v>
      </c>
    </row>
    <row r="377" spans="1:5" x14ac:dyDescent="0.3">
      <c r="A377" s="149">
        <v>43859</v>
      </c>
      <c r="B377" s="71">
        <v>3</v>
      </c>
      <c r="C377" s="71">
        <v>1</v>
      </c>
      <c r="D377" s="71"/>
      <c r="E377" s="71">
        <v>4</v>
      </c>
    </row>
    <row r="378" spans="1:5" x14ac:dyDescent="0.3">
      <c r="A378" s="149">
        <v>43861</v>
      </c>
      <c r="B378" s="71">
        <v>1</v>
      </c>
      <c r="C378" s="71"/>
      <c r="D378" s="71"/>
      <c r="E378" s="71">
        <v>1</v>
      </c>
    </row>
    <row r="379" spans="1:5" x14ac:dyDescent="0.3">
      <c r="A379" s="149">
        <v>43862</v>
      </c>
      <c r="B379" s="71">
        <v>1</v>
      </c>
      <c r="C379" s="71"/>
      <c r="D379" s="71"/>
      <c r="E379" s="71">
        <v>1</v>
      </c>
    </row>
    <row r="380" spans="1:5" x14ac:dyDescent="0.3">
      <c r="A380" s="149">
        <v>43863</v>
      </c>
      <c r="B380" s="71">
        <v>2</v>
      </c>
      <c r="C380" s="71"/>
      <c r="D380" s="71"/>
      <c r="E380" s="71">
        <v>2</v>
      </c>
    </row>
    <row r="381" spans="1:5" x14ac:dyDescent="0.3">
      <c r="A381" s="149">
        <v>43864</v>
      </c>
      <c r="B381" s="71"/>
      <c r="C381" s="71">
        <v>1</v>
      </c>
      <c r="D381" s="71"/>
      <c r="E381" s="71">
        <v>1</v>
      </c>
    </row>
    <row r="382" spans="1:5" x14ac:dyDescent="0.3">
      <c r="A382" s="149">
        <v>43865</v>
      </c>
      <c r="B382" s="71">
        <v>2</v>
      </c>
      <c r="C382" s="71"/>
      <c r="D382" s="71"/>
      <c r="E382" s="71">
        <v>2</v>
      </c>
    </row>
    <row r="383" spans="1:5" x14ac:dyDescent="0.3">
      <c r="A383" s="149">
        <v>43869</v>
      </c>
      <c r="B383" s="71">
        <v>1</v>
      </c>
      <c r="C383" s="71"/>
      <c r="D383" s="71"/>
      <c r="E383" s="71">
        <v>1</v>
      </c>
    </row>
    <row r="384" spans="1:5" x14ac:dyDescent="0.3">
      <c r="A384" s="149">
        <v>43870</v>
      </c>
      <c r="B384" s="71">
        <v>5</v>
      </c>
      <c r="C384" s="71">
        <v>1</v>
      </c>
      <c r="D384" s="71"/>
      <c r="E384" s="71">
        <v>6</v>
      </c>
    </row>
    <row r="385" spans="1:5" x14ac:dyDescent="0.3">
      <c r="A385" s="149">
        <v>43872</v>
      </c>
      <c r="B385" s="71">
        <v>1</v>
      </c>
      <c r="C385" s="71">
        <v>1</v>
      </c>
      <c r="D385" s="71"/>
      <c r="E385" s="71">
        <v>2</v>
      </c>
    </row>
    <row r="386" spans="1:5" x14ac:dyDescent="0.3">
      <c r="A386" s="149">
        <v>43873</v>
      </c>
      <c r="B386" s="71">
        <v>1</v>
      </c>
      <c r="C386" s="71"/>
      <c r="D386" s="71"/>
      <c r="E386" s="71">
        <v>1</v>
      </c>
    </row>
    <row r="387" spans="1:5" x14ac:dyDescent="0.3">
      <c r="A387" s="149">
        <v>43874</v>
      </c>
      <c r="B387" s="71">
        <v>4</v>
      </c>
      <c r="C387" s="71">
        <v>1</v>
      </c>
      <c r="D387" s="71"/>
      <c r="E387" s="71">
        <v>5</v>
      </c>
    </row>
    <row r="388" spans="1:5" x14ac:dyDescent="0.3">
      <c r="A388" s="149">
        <v>43877</v>
      </c>
      <c r="B388" s="71">
        <v>3</v>
      </c>
      <c r="C388" s="71"/>
      <c r="D388" s="71"/>
      <c r="E388" s="71">
        <v>3</v>
      </c>
    </row>
    <row r="389" spans="1:5" x14ac:dyDescent="0.3">
      <c r="A389" s="149">
        <v>43879</v>
      </c>
      <c r="B389" s="71">
        <v>1</v>
      </c>
      <c r="C389" s="71"/>
      <c r="D389" s="71"/>
      <c r="E389" s="71">
        <v>1</v>
      </c>
    </row>
    <row r="390" spans="1:5" x14ac:dyDescent="0.3">
      <c r="A390" s="149">
        <v>43880</v>
      </c>
      <c r="B390" s="71">
        <v>1</v>
      </c>
      <c r="C390" s="71">
        <v>1</v>
      </c>
      <c r="D390" s="71"/>
      <c r="E390" s="71">
        <v>2</v>
      </c>
    </row>
    <row r="391" spans="1:5" x14ac:dyDescent="0.3">
      <c r="A391" s="149">
        <v>43881</v>
      </c>
      <c r="B391" s="71">
        <v>4</v>
      </c>
      <c r="C391" s="71">
        <v>1</v>
      </c>
      <c r="D391" s="71"/>
      <c r="E391" s="71">
        <v>5</v>
      </c>
    </row>
    <row r="392" spans="1:5" x14ac:dyDescent="0.3">
      <c r="A392" s="149">
        <v>43883</v>
      </c>
      <c r="B392" s="71">
        <v>3</v>
      </c>
      <c r="C392" s="71">
        <v>1</v>
      </c>
      <c r="D392" s="71"/>
      <c r="E392" s="71">
        <v>4</v>
      </c>
    </row>
    <row r="393" spans="1:5" x14ac:dyDescent="0.3">
      <c r="A393" s="149">
        <v>43886</v>
      </c>
      <c r="B393" s="71">
        <v>1</v>
      </c>
      <c r="C393" s="71"/>
      <c r="D393" s="71"/>
      <c r="E393" s="71">
        <v>1</v>
      </c>
    </row>
    <row r="394" spans="1:5" x14ac:dyDescent="0.3">
      <c r="A394" s="149">
        <v>43889</v>
      </c>
      <c r="B394" s="71">
        <v>2</v>
      </c>
      <c r="C394" s="71"/>
      <c r="D394" s="71"/>
      <c r="E394" s="71">
        <v>2</v>
      </c>
    </row>
    <row r="395" spans="1:5" x14ac:dyDescent="0.3">
      <c r="A395" s="149">
        <v>43892</v>
      </c>
      <c r="B395" s="71">
        <v>2</v>
      </c>
      <c r="C395" s="71">
        <v>1</v>
      </c>
      <c r="D395" s="71"/>
      <c r="E395" s="71">
        <v>3</v>
      </c>
    </row>
    <row r="396" spans="1:5" x14ac:dyDescent="0.3">
      <c r="A396" s="149">
        <v>43894</v>
      </c>
      <c r="B396" s="71">
        <v>1</v>
      </c>
      <c r="C396" s="71"/>
      <c r="D396" s="71"/>
      <c r="E396" s="71">
        <v>1</v>
      </c>
    </row>
    <row r="397" spans="1:5" x14ac:dyDescent="0.3">
      <c r="A397" s="149">
        <v>43900</v>
      </c>
      <c r="B397" s="71">
        <v>1</v>
      </c>
      <c r="C397" s="71"/>
      <c r="D397" s="71"/>
      <c r="E397" s="71">
        <v>1</v>
      </c>
    </row>
    <row r="398" spans="1:5" x14ac:dyDescent="0.3">
      <c r="A398" s="149">
        <v>43901</v>
      </c>
      <c r="B398" s="71">
        <v>1</v>
      </c>
      <c r="C398" s="71">
        <v>1</v>
      </c>
      <c r="D398" s="71"/>
      <c r="E398" s="71">
        <v>2</v>
      </c>
    </row>
    <row r="399" spans="1:5" x14ac:dyDescent="0.3">
      <c r="A399" s="149">
        <v>43902</v>
      </c>
      <c r="B399" s="71">
        <v>3</v>
      </c>
      <c r="C399" s="71">
        <v>1</v>
      </c>
      <c r="D399" s="71"/>
      <c r="E399" s="71">
        <v>4</v>
      </c>
    </row>
    <row r="400" spans="1:5" x14ac:dyDescent="0.3">
      <c r="A400" s="149">
        <v>43905</v>
      </c>
      <c r="B400" s="71">
        <v>3</v>
      </c>
      <c r="C400" s="71"/>
      <c r="D400" s="71"/>
      <c r="E400" s="71">
        <v>3</v>
      </c>
    </row>
    <row r="401" spans="1:5" x14ac:dyDescent="0.3">
      <c r="A401" s="149">
        <v>43908</v>
      </c>
      <c r="B401" s="71">
        <v>3</v>
      </c>
      <c r="C401" s="71">
        <v>1</v>
      </c>
      <c r="D401" s="71"/>
      <c r="E401" s="71">
        <v>4</v>
      </c>
    </row>
    <row r="402" spans="1:5" x14ac:dyDescent="0.3">
      <c r="A402" s="149">
        <v>43919</v>
      </c>
      <c r="B402" s="71">
        <v>1</v>
      </c>
      <c r="C402" s="71">
        <v>1</v>
      </c>
      <c r="D402" s="71"/>
      <c r="E402" s="71">
        <v>2</v>
      </c>
    </row>
    <row r="403" spans="1:5" x14ac:dyDescent="0.3">
      <c r="A403" s="149">
        <v>43923</v>
      </c>
      <c r="B403" s="71">
        <v>1</v>
      </c>
      <c r="C403" s="71"/>
      <c r="D403" s="71"/>
      <c r="E403" s="71">
        <v>1</v>
      </c>
    </row>
    <row r="404" spans="1:5" x14ac:dyDescent="0.3">
      <c r="A404" s="149">
        <v>43928</v>
      </c>
      <c r="B404" s="71">
        <v>1</v>
      </c>
      <c r="C404" s="71"/>
      <c r="D404" s="71"/>
      <c r="E404" s="71">
        <v>1</v>
      </c>
    </row>
    <row r="405" spans="1:5" x14ac:dyDescent="0.3">
      <c r="A405" s="149">
        <v>43939</v>
      </c>
      <c r="B405" s="71">
        <v>1</v>
      </c>
      <c r="C405" s="71"/>
      <c r="D405" s="71"/>
      <c r="E405" s="71">
        <v>1</v>
      </c>
    </row>
    <row r="406" spans="1:5" x14ac:dyDescent="0.3">
      <c r="A406" s="149">
        <v>43948</v>
      </c>
      <c r="B406" s="71">
        <v>3</v>
      </c>
      <c r="C406" s="71"/>
      <c r="D406" s="71"/>
      <c r="E406" s="71">
        <v>3</v>
      </c>
    </row>
    <row r="407" spans="1:5" x14ac:dyDescent="0.3">
      <c r="A407" s="149">
        <v>43950</v>
      </c>
      <c r="B407" s="71">
        <v>2</v>
      </c>
      <c r="C407" s="71">
        <v>1</v>
      </c>
      <c r="D407" s="71"/>
      <c r="E407" s="71">
        <v>3</v>
      </c>
    </row>
    <row r="408" spans="1:5" x14ac:dyDescent="0.3">
      <c r="A408" s="149">
        <v>43952</v>
      </c>
      <c r="B408" s="71">
        <v>1</v>
      </c>
      <c r="C408" s="71"/>
      <c r="D408" s="71"/>
      <c r="E408" s="71">
        <v>1</v>
      </c>
    </row>
    <row r="409" spans="1:5" x14ac:dyDescent="0.3">
      <c r="A409" s="149">
        <v>43953</v>
      </c>
      <c r="B409" s="71">
        <v>1</v>
      </c>
      <c r="C409" s="71"/>
      <c r="D409" s="71"/>
      <c r="E409" s="71">
        <v>1</v>
      </c>
    </row>
    <row r="410" spans="1:5" x14ac:dyDescent="0.3">
      <c r="A410" s="149">
        <v>43954</v>
      </c>
      <c r="B410" s="71"/>
      <c r="C410" s="71">
        <v>1</v>
      </c>
      <c r="D410" s="71"/>
      <c r="E410" s="71">
        <v>1</v>
      </c>
    </row>
    <row r="411" spans="1:5" x14ac:dyDescent="0.3">
      <c r="A411" s="149">
        <v>43955</v>
      </c>
      <c r="B411" s="71">
        <v>5</v>
      </c>
      <c r="C411" s="71"/>
      <c r="D411" s="71"/>
      <c r="E411" s="71">
        <v>5</v>
      </c>
    </row>
    <row r="412" spans="1:5" x14ac:dyDescent="0.3">
      <c r="A412" s="149">
        <v>43964</v>
      </c>
      <c r="B412" s="71">
        <v>2</v>
      </c>
      <c r="C412" s="71"/>
      <c r="D412" s="71"/>
      <c r="E412" s="71">
        <v>2</v>
      </c>
    </row>
    <row r="413" spans="1:5" x14ac:dyDescent="0.3">
      <c r="A413" s="149">
        <v>43965</v>
      </c>
      <c r="B413" s="71">
        <v>2</v>
      </c>
      <c r="C413" s="71">
        <v>1</v>
      </c>
      <c r="D413" s="71"/>
      <c r="E413" s="71">
        <v>3</v>
      </c>
    </row>
    <row r="414" spans="1:5" x14ac:dyDescent="0.3">
      <c r="A414" s="149">
        <v>43967</v>
      </c>
      <c r="B414" s="71">
        <v>2</v>
      </c>
      <c r="C414" s="71"/>
      <c r="D414" s="71"/>
      <c r="E414" s="71">
        <v>2</v>
      </c>
    </row>
    <row r="415" spans="1:5" x14ac:dyDescent="0.3">
      <c r="A415" s="149">
        <v>43968</v>
      </c>
      <c r="B415" s="71">
        <v>1</v>
      </c>
      <c r="C415" s="71"/>
      <c r="D415" s="71"/>
      <c r="E415" s="71">
        <v>1</v>
      </c>
    </row>
    <row r="416" spans="1:5" x14ac:dyDescent="0.3">
      <c r="A416" s="149">
        <v>43969</v>
      </c>
      <c r="B416" s="71"/>
      <c r="C416" s="71">
        <v>1</v>
      </c>
      <c r="D416" s="71"/>
      <c r="E416" s="71">
        <v>1</v>
      </c>
    </row>
    <row r="417" spans="1:5" x14ac:dyDescent="0.3">
      <c r="A417" s="149">
        <v>43970</v>
      </c>
      <c r="B417" s="71">
        <v>2</v>
      </c>
      <c r="C417" s="71"/>
      <c r="D417" s="71"/>
      <c r="E417" s="71">
        <v>2</v>
      </c>
    </row>
    <row r="418" spans="1:5" x14ac:dyDescent="0.3">
      <c r="A418" s="149">
        <v>43971</v>
      </c>
      <c r="B418" s="71">
        <v>3</v>
      </c>
      <c r="C418" s="71"/>
      <c r="D418" s="71"/>
      <c r="E418" s="71">
        <v>3</v>
      </c>
    </row>
    <row r="419" spans="1:5" x14ac:dyDescent="0.3">
      <c r="A419" s="149">
        <v>43984</v>
      </c>
      <c r="B419" s="71">
        <v>3</v>
      </c>
      <c r="C419" s="71"/>
      <c r="D419" s="71"/>
      <c r="E419" s="71">
        <v>3</v>
      </c>
    </row>
    <row r="420" spans="1:5" x14ac:dyDescent="0.3">
      <c r="A420" s="149">
        <v>43986</v>
      </c>
      <c r="B420" s="71">
        <v>1</v>
      </c>
      <c r="C420" s="71">
        <v>1</v>
      </c>
      <c r="D420" s="71"/>
      <c r="E420" s="71">
        <v>2</v>
      </c>
    </row>
    <row r="421" spans="1:5" x14ac:dyDescent="0.3">
      <c r="A421" s="149">
        <v>43989</v>
      </c>
      <c r="B421" s="71">
        <v>2</v>
      </c>
      <c r="C421" s="71"/>
      <c r="D421" s="71"/>
      <c r="E421" s="71">
        <v>2</v>
      </c>
    </row>
    <row r="422" spans="1:5" x14ac:dyDescent="0.3">
      <c r="A422" s="149">
        <v>43990</v>
      </c>
      <c r="B422" s="71">
        <v>1</v>
      </c>
      <c r="C422" s="71"/>
      <c r="D422" s="71"/>
      <c r="E422" s="71">
        <v>1</v>
      </c>
    </row>
    <row r="423" spans="1:5" x14ac:dyDescent="0.3">
      <c r="A423" s="149">
        <v>43997</v>
      </c>
      <c r="B423" s="71">
        <v>6</v>
      </c>
      <c r="C423" s="71"/>
      <c r="D423" s="71"/>
      <c r="E423" s="71">
        <v>6</v>
      </c>
    </row>
    <row r="424" spans="1:5" x14ac:dyDescent="0.3">
      <c r="A424" s="149">
        <v>44003</v>
      </c>
      <c r="B424" s="71">
        <v>3</v>
      </c>
      <c r="C424" s="71"/>
      <c r="D424" s="71"/>
      <c r="E424" s="71">
        <v>3</v>
      </c>
    </row>
    <row r="425" spans="1:5" x14ac:dyDescent="0.3">
      <c r="A425" s="149">
        <v>44004</v>
      </c>
      <c r="B425" s="71">
        <v>1</v>
      </c>
      <c r="C425" s="71">
        <v>1</v>
      </c>
      <c r="D425" s="71"/>
      <c r="E425" s="71">
        <v>2</v>
      </c>
    </row>
    <row r="426" spans="1:5" x14ac:dyDescent="0.3">
      <c r="A426" s="149">
        <v>44005</v>
      </c>
      <c r="B426" s="71">
        <v>9</v>
      </c>
      <c r="C426" s="71"/>
      <c r="D426" s="71"/>
      <c r="E426" s="71">
        <v>9</v>
      </c>
    </row>
    <row r="427" spans="1:5" x14ac:dyDescent="0.3">
      <c r="A427" s="149">
        <v>44013</v>
      </c>
      <c r="B427" s="71">
        <v>1</v>
      </c>
      <c r="C427" s="71"/>
      <c r="D427" s="71"/>
      <c r="E427" s="71">
        <v>1</v>
      </c>
    </row>
    <row r="428" spans="1:5" x14ac:dyDescent="0.3">
      <c r="A428" s="149">
        <v>44015</v>
      </c>
      <c r="B428" s="71">
        <v>1</v>
      </c>
      <c r="C428" s="71"/>
      <c r="D428" s="71"/>
      <c r="E428" s="71">
        <v>1</v>
      </c>
    </row>
    <row r="429" spans="1:5" x14ac:dyDescent="0.3">
      <c r="A429" s="149">
        <v>44019</v>
      </c>
      <c r="B429" s="71">
        <v>1</v>
      </c>
      <c r="C429" s="71"/>
      <c r="D429" s="71"/>
      <c r="E429" s="71">
        <v>1</v>
      </c>
    </row>
    <row r="430" spans="1:5" x14ac:dyDescent="0.3">
      <c r="A430" s="149">
        <v>44021</v>
      </c>
      <c r="B430" s="71">
        <v>1</v>
      </c>
      <c r="C430" s="71"/>
      <c r="D430" s="71"/>
      <c r="E430" s="71">
        <v>1</v>
      </c>
    </row>
    <row r="431" spans="1:5" x14ac:dyDescent="0.3">
      <c r="A431" s="149">
        <v>44023</v>
      </c>
      <c r="B431" s="71">
        <v>1</v>
      </c>
      <c r="C431" s="71"/>
      <c r="D431" s="71"/>
      <c r="E431" s="71">
        <v>1</v>
      </c>
    </row>
    <row r="432" spans="1:5" x14ac:dyDescent="0.3">
      <c r="A432" s="149">
        <v>44026</v>
      </c>
      <c r="B432" s="71">
        <v>1</v>
      </c>
      <c r="C432" s="71"/>
      <c r="D432" s="71"/>
      <c r="E432" s="71">
        <v>1</v>
      </c>
    </row>
    <row r="433" spans="1:5" x14ac:dyDescent="0.3">
      <c r="A433" s="149">
        <v>44029</v>
      </c>
      <c r="B433" s="71">
        <v>1</v>
      </c>
      <c r="C433" s="71"/>
      <c r="D433" s="71"/>
      <c r="E433" s="71">
        <v>1</v>
      </c>
    </row>
    <row r="434" spans="1:5" x14ac:dyDescent="0.3">
      <c r="A434" s="149">
        <v>44031</v>
      </c>
      <c r="B434" s="71"/>
      <c r="C434" s="71">
        <v>1</v>
      </c>
      <c r="D434" s="71"/>
      <c r="E434" s="71">
        <v>1</v>
      </c>
    </row>
    <row r="435" spans="1:5" x14ac:dyDescent="0.3">
      <c r="A435" s="149">
        <v>44033</v>
      </c>
      <c r="B435" s="71">
        <v>3</v>
      </c>
      <c r="C435" s="71"/>
      <c r="D435" s="71"/>
      <c r="E435" s="71">
        <v>3</v>
      </c>
    </row>
    <row r="436" spans="1:5" x14ac:dyDescent="0.3">
      <c r="A436" s="149">
        <v>44034</v>
      </c>
      <c r="B436" s="71">
        <v>2</v>
      </c>
      <c r="C436" s="71"/>
      <c r="D436" s="71"/>
      <c r="E436" s="71">
        <v>2</v>
      </c>
    </row>
    <row r="437" spans="1:5" x14ac:dyDescent="0.3">
      <c r="A437" s="149">
        <v>44037</v>
      </c>
      <c r="B437" s="71">
        <v>6</v>
      </c>
      <c r="C437" s="71"/>
      <c r="D437" s="71"/>
      <c r="E437" s="71">
        <v>6</v>
      </c>
    </row>
    <row r="438" spans="1:5" x14ac:dyDescent="0.3">
      <c r="A438" s="149">
        <v>44040</v>
      </c>
      <c r="B438" s="71">
        <v>3</v>
      </c>
      <c r="C438" s="71">
        <v>1</v>
      </c>
      <c r="D438" s="71"/>
      <c r="E438" s="71">
        <v>4</v>
      </c>
    </row>
    <row r="439" spans="1:5" x14ac:dyDescent="0.3">
      <c r="A439" s="149">
        <v>44041</v>
      </c>
      <c r="B439" s="71">
        <v>7</v>
      </c>
      <c r="C439" s="71"/>
      <c r="D439" s="71"/>
      <c r="E439" s="71">
        <v>7</v>
      </c>
    </row>
    <row r="440" spans="1:5" x14ac:dyDescent="0.3">
      <c r="A440" s="149">
        <v>44043</v>
      </c>
      <c r="B440" s="71">
        <v>2</v>
      </c>
      <c r="C440" s="71"/>
      <c r="D440" s="71"/>
      <c r="E440" s="71">
        <v>2</v>
      </c>
    </row>
    <row r="441" spans="1:5" x14ac:dyDescent="0.3">
      <c r="A441" s="149">
        <v>44053</v>
      </c>
      <c r="B441" s="71">
        <v>1</v>
      </c>
      <c r="C441" s="71"/>
      <c r="D441" s="71"/>
      <c r="E441" s="71">
        <v>1</v>
      </c>
    </row>
    <row r="442" spans="1:5" x14ac:dyDescent="0.3">
      <c r="A442" s="149">
        <v>44054</v>
      </c>
      <c r="B442" s="71">
        <v>3</v>
      </c>
      <c r="C442" s="71">
        <v>1</v>
      </c>
      <c r="D442" s="71"/>
      <c r="E442" s="71">
        <v>4</v>
      </c>
    </row>
    <row r="443" spans="1:5" x14ac:dyDescent="0.3">
      <c r="A443" s="149">
        <v>44056</v>
      </c>
      <c r="B443" s="71">
        <v>2</v>
      </c>
      <c r="C443" s="71"/>
      <c r="D443" s="71"/>
      <c r="E443" s="71">
        <v>2</v>
      </c>
    </row>
    <row r="444" spans="1:5" x14ac:dyDescent="0.3">
      <c r="A444" s="149">
        <v>44058</v>
      </c>
      <c r="B444" s="71">
        <v>1</v>
      </c>
      <c r="C444" s="71"/>
      <c r="D444" s="71"/>
      <c r="E444" s="71">
        <v>1</v>
      </c>
    </row>
    <row r="445" spans="1:5" x14ac:dyDescent="0.3">
      <c r="A445" s="149">
        <v>44059</v>
      </c>
      <c r="B445" s="71">
        <v>3</v>
      </c>
      <c r="C445" s="71"/>
      <c r="D445" s="71"/>
      <c r="E445" s="71">
        <v>3</v>
      </c>
    </row>
    <row r="446" spans="1:5" x14ac:dyDescent="0.3">
      <c r="A446" s="149">
        <v>44060</v>
      </c>
      <c r="B446" s="71">
        <v>1</v>
      </c>
      <c r="C446" s="71"/>
      <c r="D446" s="71"/>
      <c r="E446" s="71">
        <v>1</v>
      </c>
    </row>
    <row r="447" spans="1:5" x14ac:dyDescent="0.3">
      <c r="A447" s="149">
        <v>44062</v>
      </c>
      <c r="B447" s="71">
        <v>1</v>
      </c>
      <c r="C447" s="71"/>
      <c r="D447" s="71"/>
      <c r="E447" s="71">
        <v>1</v>
      </c>
    </row>
    <row r="448" spans="1:5" x14ac:dyDescent="0.3">
      <c r="A448" s="149">
        <v>44064</v>
      </c>
      <c r="B448" s="71">
        <v>1</v>
      </c>
      <c r="C448" s="71"/>
      <c r="D448" s="71"/>
      <c r="E448" s="71">
        <v>1</v>
      </c>
    </row>
    <row r="449" spans="1:5" x14ac:dyDescent="0.3">
      <c r="A449" s="149">
        <v>44065</v>
      </c>
      <c r="B449" s="71">
        <v>2</v>
      </c>
      <c r="C449" s="71"/>
      <c r="D449" s="71"/>
      <c r="E449" s="71">
        <v>2</v>
      </c>
    </row>
    <row r="450" spans="1:5" x14ac:dyDescent="0.3">
      <c r="A450" s="149">
        <v>44066</v>
      </c>
      <c r="B450" s="71">
        <v>2</v>
      </c>
      <c r="C450" s="71"/>
      <c r="D450" s="71"/>
      <c r="E450" s="71">
        <v>2</v>
      </c>
    </row>
    <row r="451" spans="1:5" x14ac:dyDescent="0.3">
      <c r="A451" s="149">
        <v>44067</v>
      </c>
      <c r="B451" s="71">
        <v>1</v>
      </c>
      <c r="C451" s="71">
        <v>1</v>
      </c>
      <c r="D451" s="71"/>
      <c r="E451" s="71">
        <v>2</v>
      </c>
    </row>
    <row r="452" spans="1:5" x14ac:dyDescent="0.3">
      <c r="A452" s="149">
        <v>44068</v>
      </c>
      <c r="B452" s="71">
        <v>2</v>
      </c>
      <c r="C452" s="71"/>
      <c r="D452" s="71"/>
      <c r="E452" s="71">
        <v>2</v>
      </c>
    </row>
    <row r="453" spans="1:5" x14ac:dyDescent="0.3">
      <c r="A453" s="149">
        <v>44069</v>
      </c>
      <c r="B453" s="71">
        <v>1</v>
      </c>
      <c r="C453" s="71"/>
      <c r="D453" s="71"/>
      <c r="E453" s="71">
        <v>1</v>
      </c>
    </row>
    <row r="454" spans="1:5" x14ac:dyDescent="0.3">
      <c r="A454" s="149">
        <v>44072</v>
      </c>
      <c r="B454" s="71">
        <v>1</v>
      </c>
      <c r="C454" s="71"/>
      <c r="D454" s="71"/>
      <c r="E454" s="71">
        <v>1</v>
      </c>
    </row>
    <row r="455" spans="1:5" x14ac:dyDescent="0.3">
      <c r="A455" s="149">
        <v>44074</v>
      </c>
      <c r="B455" s="71">
        <v>2</v>
      </c>
      <c r="C455" s="71"/>
      <c r="D455" s="71"/>
      <c r="E455" s="71">
        <v>2</v>
      </c>
    </row>
    <row r="456" spans="1:5" x14ac:dyDescent="0.3">
      <c r="A456" s="149">
        <v>44075</v>
      </c>
      <c r="B456" s="71">
        <v>4</v>
      </c>
      <c r="C456" s="71">
        <v>1</v>
      </c>
      <c r="D456" s="71"/>
      <c r="E456" s="71">
        <v>5</v>
      </c>
    </row>
    <row r="457" spans="1:5" x14ac:dyDescent="0.3">
      <c r="A457" s="149">
        <v>44076</v>
      </c>
      <c r="B457" s="71">
        <v>3</v>
      </c>
      <c r="C457" s="71"/>
      <c r="D457" s="71"/>
      <c r="E457" s="71">
        <v>3</v>
      </c>
    </row>
    <row r="458" spans="1:5" x14ac:dyDescent="0.3">
      <c r="A458" s="149">
        <v>44077</v>
      </c>
      <c r="B458" s="71">
        <v>3</v>
      </c>
      <c r="C458" s="71"/>
      <c r="D458" s="71"/>
      <c r="E458" s="71">
        <v>3</v>
      </c>
    </row>
    <row r="459" spans="1:5" x14ac:dyDescent="0.3">
      <c r="A459" s="149">
        <v>44078</v>
      </c>
      <c r="B459" s="71">
        <v>2</v>
      </c>
      <c r="C459" s="71"/>
      <c r="D459" s="71"/>
      <c r="E459" s="71">
        <v>2</v>
      </c>
    </row>
    <row r="460" spans="1:5" x14ac:dyDescent="0.3">
      <c r="A460" s="149">
        <v>44079</v>
      </c>
      <c r="B460" s="71">
        <v>2</v>
      </c>
      <c r="C460" s="71"/>
      <c r="D460" s="71"/>
      <c r="E460" s="71">
        <v>2</v>
      </c>
    </row>
    <row r="461" spans="1:5" x14ac:dyDescent="0.3">
      <c r="A461" s="149">
        <v>44083</v>
      </c>
      <c r="B461" s="71">
        <v>7</v>
      </c>
      <c r="C461" s="71">
        <v>1</v>
      </c>
      <c r="D461" s="71"/>
      <c r="E461" s="71">
        <v>8</v>
      </c>
    </row>
    <row r="462" spans="1:5" x14ac:dyDescent="0.3">
      <c r="A462" s="149">
        <v>44086</v>
      </c>
      <c r="B462" s="71">
        <v>1</v>
      </c>
      <c r="C462" s="71"/>
      <c r="D462" s="71"/>
      <c r="E462" s="71">
        <v>1</v>
      </c>
    </row>
    <row r="463" spans="1:5" x14ac:dyDescent="0.3">
      <c r="A463" s="149">
        <v>44088</v>
      </c>
      <c r="B463" s="71">
        <v>1</v>
      </c>
      <c r="C463" s="71">
        <v>1</v>
      </c>
      <c r="D463" s="71"/>
      <c r="E463" s="71">
        <v>2</v>
      </c>
    </row>
    <row r="464" spans="1:5" x14ac:dyDescent="0.3">
      <c r="A464" s="149">
        <v>44089</v>
      </c>
      <c r="B464" s="71">
        <v>3</v>
      </c>
      <c r="C464" s="71"/>
      <c r="D464" s="71"/>
      <c r="E464" s="71">
        <v>3</v>
      </c>
    </row>
    <row r="465" spans="1:5" x14ac:dyDescent="0.3">
      <c r="A465" s="149">
        <v>44090</v>
      </c>
      <c r="B465" s="71">
        <v>2</v>
      </c>
      <c r="C465" s="71"/>
      <c r="D465" s="71"/>
      <c r="E465" s="71">
        <v>2</v>
      </c>
    </row>
    <row r="466" spans="1:5" x14ac:dyDescent="0.3">
      <c r="A466" s="149">
        <v>44093</v>
      </c>
      <c r="B466" s="71">
        <v>4</v>
      </c>
      <c r="C466" s="71">
        <v>2</v>
      </c>
      <c r="D466" s="71"/>
      <c r="E466" s="71">
        <v>6</v>
      </c>
    </row>
    <row r="467" spans="1:5" x14ac:dyDescent="0.3">
      <c r="A467" s="149">
        <v>44095</v>
      </c>
      <c r="B467" s="71">
        <v>2</v>
      </c>
      <c r="C467" s="71"/>
      <c r="D467" s="71"/>
      <c r="E467" s="71">
        <v>2</v>
      </c>
    </row>
    <row r="468" spans="1:5" x14ac:dyDescent="0.3">
      <c r="A468" s="149">
        <v>44097</v>
      </c>
      <c r="B468" s="71">
        <v>1</v>
      </c>
      <c r="C468" s="71"/>
      <c r="D468" s="71"/>
      <c r="E468" s="71">
        <v>1</v>
      </c>
    </row>
    <row r="469" spans="1:5" x14ac:dyDescent="0.3">
      <c r="A469" s="149">
        <v>44098</v>
      </c>
      <c r="B469" s="71">
        <v>1</v>
      </c>
      <c r="C469" s="71"/>
      <c r="D469" s="71"/>
      <c r="E469" s="71">
        <v>1</v>
      </c>
    </row>
    <row r="470" spans="1:5" x14ac:dyDescent="0.3">
      <c r="A470" s="149">
        <v>44099</v>
      </c>
      <c r="B470" s="71">
        <v>1</v>
      </c>
      <c r="C470" s="71"/>
      <c r="D470" s="71"/>
      <c r="E470" s="71">
        <v>1</v>
      </c>
    </row>
    <row r="471" spans="1:5" x14ac:dyDescent="0.3">
      <c r="A471" s="149">
        <v>44100</v>
      </c>
      <c r="B471" s="71">
        <v>2</v>
      </c>
      <c r="C471" s="71">
        <v>1</v>
      </c>
      <c r="D471" s="71"/>
      <c r="E471" s="71">
        <v>3</v>
      </c>
    </row>
    <row r="472" spans="1:5" x14ac:dyDescent="0.3">
      <c r="A472" s="149">
        <v>44101</v>
      </c>
      <c r="B472" s="71">
        <v>2</v>
      </c>
      <c r="C472" s="71"/>
      <c r="D472" s="71"/>
      <c r="E472" s="71">
        <v>2</v>
      </c>
    </row>
    <row r="473" spans="1:5" x14ac:dyDescent="0.3">
      <c r="A473" s="149">
        <v>44103</v>
      </c>
      <c r="B473" s="71">
        <v>5</v>
      </c>
      <c r="C473" s="71"/>
      <c r="D473" s="71"/>
      <c r="E473" s="71">
        <v>5</v>
      </c>
    </row>
    <row r="474" spans="1:5" x14ac:dyDescent="0.3">
      <c r="A474" s="149">
        <v>44104</v>
      </c>
      <c r="B474" s="71">
        <v>2</v>
      </c>
      <c r="C474" s="71">
        <v>1</v>
      </c>
      <c r="D474" s="71"/>
      <c r="E474" s="71">
        <v>3</v>
      </c>
    </row>
    <row r="475" spans="1:5" x14ac:dyDescent="0.3">
      <c r="A475" s="149">
        <v>44105</v>
      </c>
      <c r="B475" s="71">
        <v>1</v>
      </c>
      <c r="C475" s="71">
        <v>1</v>
      </c>
      <c r="D475" s="71"/>
      <c r="E475" s="71">
        <v>2</v>
      </c>
    </row>
    <row r="476" spans="1:5" x14ac:dyDescent="0.3">
      <c r="A476" s="149">
        <v>44106</v>
      </c>
      <c r="B476" s="71">
        <v>1</v>
      </c>
      <c r="C476" s="71"/>
      <c r="D476" s="71"/>
      <c r="E476" s="71">
        <v>1</v>
      </c>
    </row>
    <row r="477" spans="1:5" x14ac:dyDescent="0.3">
      <c r="A477" s="149">
        <v>44109</v>
      </c>
      <c r="B477" s="71">
        <v>2</v>
      </c>
      <c r="C477" s="71"/>
      <c r="D477" s="71"/>
      <c r="E477" s="71">
        <v>2</v>
      </c>
    </row>
    <row r="478" spans="1:5" x14ac:dyDescent="0.3">
      <c r="A478" s="149">
        <v>44111</v>
      </c>
      <c r="B478" s="71">
        <v>1</v>
      </c>
      <c r="C478" s="71"/>
      <c r="D478" s="71"/>
      <c r="E478" s="71">
        <v>1</v>
      </c>
    </row>
    <row r="479" spans="1:5" x14ac:dyDescent="0.3">
      <c r="A479" s="149">
        <v>44113</v>
      </c>
      <c r="B479" s="71">
        <v>1</v>
      </c>
      <c r="C479" s="71"/>
      <c r="D479" s="71"/>
      <c r="E479" s="71">
        <v>1</v>
      </c>
    </row>
    <row r="480" spans="1:5" x14ac:dyDescent="0.3">
      <c r="A480" s="149">
        <v>44114</v>
      </c>
      <c r="B480" s="71">
        <v>2</v>
      </c>
      <c r="C480" s="71"/>
      <c r="D480" s="71"/>
      <c r="E480" s="71">
        <v>2</v>
      </c>
    </row>
    <row r="481" spans="1:5" x14ac:dyDescent="0.3">
      <c r="A481" s="149">
        <v>44115</v>
      </c>
      <c r="B481" s="71">
        <v>1</v>
      </c>
      <c r="C481" s="71">
        <v>2</v>
      </c>
      <c r="D481" s="71"/>
      <c r="E481" s="71">
        <v>3</v>
      </c>
    </row>
    <row r="482" spans="1:5" x14ac:dyDescent="0.3">
      <c r="A482" s="149">
        <v>44116</v>
      </c>
      <c r="B482" s="71">
        <v>1</v>
      </c>
      <c r="C482" s="71"/>
      <c r="D482" s="71"/>
      <c r="E482" s="71">
        <v>1</v>
      </c>
    </row>
    <row r="483" spans="1:5" x14ac:dyDescent="0.3">
      <c r="A483" s="149">
        <v>44117</v>
      </c>
      <c r="B483" s="71">
        <v>2</v>
      </c>
      <c r="C483" s="71"/>
      <c r="D483" s="71"/>
      <c r="E483" s="71">
        <v>2</v>
      </c>
    </row>
    <row r="484" spans="1:5" x14ac:dyDescent="0.3">
      <c r="A484" s="149">
        <v>44118</v>
      </c>
      <c r="B484" s="71">
        <v>2</v>
      </c>
      <c r="C484" s="71">
        <v>1</v>
      </c>
      <c r="D484" s="71"/>
      <c r="E484" s="71">
        <v>3</v>
      </c>
    </row>
    <row r="485" spans="1:5" x14ac:dyDescent="0.3">
      <c r="A485" s="149">
        <v>44119</v>
      </c>
      <c r="B485" s="71">
        <v>1</v>
      </c>
      <c r="C485" s="71">
        <v>2</v>
      </c>
      <c r="D485" s="71"/>
      <c r="E485" s="71">
        <v>3</v>
      </c>
    </row>
    <row r="486" spans="1:5" x14ac:dyDescent="0.3">
      <c r="A486" s="149">
        <v>44121</v>
      </c>
      <c r="B486" s="71">
        <v>1</v>
      </c>
      <c r="C486" s="71"/>
      <c r="D486" s="71"/>
      <c r="E486" s="71">
        <v>1</v>
      </c>
    </row>
    <row r="487" spans="1:5" x14ac:dyDescent="0.3">
      <c r="A487" s="149">
        <v>44123</v>
      </c>
      <c r="B487" s="71">
        <v>2</v>
      </c>
      <c r="C487" s="71"/>
      <c r="D487" s="71"/>
      <c r="E487" s="71">
        <v>2</v>
      </c>
    </row>
    <row r="488" spans="1:5" x14ac:dyDescent="0.3">
      <c r="A488" s="149">
        <v>44125</v>
      </c>
      <c r="B488" s="71">
        <v>5</v>
      </c>
      <c r="C488" s="71"/>
      <c r="D488" s="71"/>
      <c r="E488" s="71">
        <v>5</v>
      </c>
    </row>
    <row r="489" spans="1:5" x14ac:dyDescent="0.3">
      <c r="A489" s="149">
        <v>44126</v>
      </c>
      <c r="B489" s="71">
        <v>1</v>
      </c>
      <c r="C489" s="71"/>
      <c r="D489" s="71"/>
      <c r="E489" s="71">
        <v>1</v>
      </c>
    </row>
    <row r="490" spans="1:5" x14ac:dyDescent="0.3">
      <c r="A490" s="149">
        <v>44127</v>
      </c>
      <c r="B490" s="71">
        <v>2</v>
      </c>
      <c r="C490" s="71"/>
      <c r="D490" s="71"/>
      <c r="E490" s="71">
        <v>2</v>
      </c>
    </row>
    <row r="491" spans="1:5" x14ac:dyDescent="0.3">
      <c r="A491" s="149">
        <v>44129</v>
      </c>
      <c r="B491" s="71">
        <v>1</v>
      </c>
      <c r="C491" s="71"/>
      <c r="D491" s="71"/>
      <c r="E491" s="71">
        <v>1</v>
      </c>
    </row>
    <row r="492" spans="1:5" x14ac:dyDescent="0.3">
      <c r="A492" s="149">
        <v>44130</v>
      </c>
      <c r="B492" s="71">
        <v>4</v>
      </c>
      <c r="C492" s="71">
        <v>1</v>
      </c>
      <c r="D492" s="71"/>
      <c r="E492" s="71">
        <v>5</v>
      </c>
    </row>
    <row r="493" spans="1:5" x14ac:dyDescent="0.3">
      <c r="A493" s="149">
        <v>44131</v>
      </c>
      <c r="B493" s="71">
        <v>2</v>
      </c>
      <c r="C493" s="71"/>
      <c r="D493" s="71"/>
      <c r="E493" s="71">
        <v>2</v>
      </c>
    </row>
    <row r="494" spans="1:5" x14ac:dyDescent="0.3">
      <c r="A494" s="149">
        <v>44132</v>
      </c>
      <c r="B494" s="71">
        <v>1</v>
      </c>
      <c r="C494" s="71"/>
      <c r="D494" s="71"/>
      <c r="E494" s="71">
        <v>1</v>
      </c>
    </row>
    <row r="495" spans="1:5" x14ac:dyDescent="0.3">
      <c r="A495" s="149">
        <v>44133</v>
      </c>
      <c r="B495" s="71">
        <v>3</v>
      </c>
      <c r="C495" s="71">
        <v>1</v>
      </c>
      <c r="D495" s="71"/>
      <c r="E495" s="71">
        <v>4</v>
      </c>
    </row>
    <row r="496" spans="1:5" x14ac:dyDescent="0.3">
      <c r="A496" s="149">
        <v>44135</v>
      </c>
      <c r="B496" s="71">
        <v>2</v>
      </c>
      <c r="C496" s="71"/>
      <c r="D496" s="71"/>
      <c r="E496" s="71">
        <v>2</v>
      </c>
    </row>
    <row r="497" spans="1:5" x14ac:dyDescent="0.3">
      <c r="A497" s="149">
        <v>44136</v>
      </c>
      <c r="B497" s="71">
        <v>1</v>
      </c>
      <c r="C497" s="71"/>
      <c r="D497" s="71"/>
      <c r="E497" s="71">
        <v>1</v>
      </c>
    </row>
    <row r="498" spans="1:5" x14ac:dyDescent="0.3">
      <c r="A498" s="149">
        <v>44137</v>
      </c>
      <c r="B498" s="71">
        <v>1</v>
      </c>
      <c r="C498" s="71">
        <v>1</v>
      </c>
      <c r="D498" s="71"/>
      <c r="E498" s="71">
        <v>2</v>
      </c>
    </row>
    <row r="499" spans="1:5" x14ac:dyDescent="0.3">
      <c r="A499" s="149">
        <v>44138</v>
      </c>
      <c r="B499" s="71">
        <v>5</v>
      </c>
      <c r="C499" s="71"/>
      <c r="D499" s="71"/>
      <c r="E499" s="71">
        <v>5</v>
      </c>
    </row>
    <row r="500" spans="1:5" x14ac:dyDescent="0.3">
      <c r="A500" s="149">
        <v>44139</v>
      </c>
      <c r="B500" s="71">
        <v>1</v>
      </c>
      <c r="C500" s="71"/>
      <c r="D500" s="71"/>
      <c r="E500" s="71">
        <v>1</v>
      </c>
    </row>
    <row r="501" spans="1:5" x14ac:dyDescent="0.3">
      <c r="A501" s="149">
        <v>44140</v>
      </c>
      <c r="B501" s="71">
        <v>1</v>
      </c>
      <c r="C501" s="71"/>
      <c r="D501" s="71"/>
      <c r="E501" s="71">
        <v>1</v>
      </c>
    </row>
    <row r="502" spans="1:5" x14ac:dyDescent="0.3">
      <c r="A502" s="149">
        <v>44141</v>
      </c>
      <c r="B502" s="71">
        <v>1</v>
      </c>
      <c r="C502" s="71"/>
      <c r="D502" s="71"/>
      <c r="E502" s="71">
        <v>1</v>
      </c>
    </row>
    <row r="503" spans="1:5" x14ac:dyDescent="0.3">
      <c r="A503" s="149">
        <v>44142</v>
      </c>
      <c r="B503" s="71">
        <v>2</v>
      </c>
      <c r="C503" s="71"/>
      <c r="D503" s="71"/>
      <c r="E503" s="71">
        <v>2</v>
      </c>
    </row>
    <row r="504" spans="1:5" x14ac:dyDescent="0.3">
      <c r="A504" s="149">
        <v>44146</v>
      </c>
      <c r="B504" s="71">
        <v>1</v>
      </c>
      <c r="C504" s="71">
        <v>1</v>
      </c>
      <c r="D504" s="71"/>
      <c r="E504" s="71">
        <v>2</v>
      </c>
    </row>
    <row r="505" spans="1:5" x14ac:dyDescent="0.3">
      <c r="A505" s="149">
        <v>44147</v>
      </c>
      <c r="B505" s="71">
        <v>2</v>
      </c>
      <c r="C505" s="71"/>
      <c r="D505" s="71"/>
      <c r="E505" s="71">
        <v>2</v>
      </c>
    </row>
    <row r="506" spans="1:5" x14ac:dyDescent="0.3">
      <c r="A506" s="149">
        <v>44149</v>
      </c>
      <c r="B506" s="71">
        <v>1</v>
      </c>
      <c r="C506" s="71"/>
      <c r="D506" s="71"/>
      <c r="E506" s="71">
        <v>1</v>
      </c>
    </row>
    <row r="507" spans="1:5" x14ac:dyDescent="0.3">
      <c r="A507" s="149">
        <v>44152</v>
      </c>
      <c r="B507" s="71">
        <v>1</v>
      </c>
      <c r="C507" s="71"/>
      <c r="D507" s="71"/>
      <c r="E507" s="71">
        <v>1</v>
      </c>
    </row>
    <row r="508" spans="1:5" x14ac:dyDescent="0.3">
      <c r="A508" s="149">
        <v>44154</v>
      </c>
      <c r="B508" s="71">
        <v>3</v>
      </c>
      <c r="C508" s="71"/>
      <c r="D508" s="71"/>
      <c r="E508" s="71">
        <v>3</v>
      </c>
    </row>
    <row r="509" spans="1:5" x14ac:dyDescent="0.3">
      <c r="A509" s="149">
        <v>44156</v>
      </c>
      <c r="B509" s="71">
        <v>4</v>
      </c>
      <c r="C509" s="71">
        <v>1</v>
      </c>
      <c r="D509" s="71"/>
      <c r="E509" s="71">
        <v>5</v>
      </c>
    </row>
    <row r="510" spans="1:5" x14ac:dyDescent="0.3">
      <c r="A510" s="149">
        <v>44158</v>
      </c>
      <c r="B510" s="71">
        <v>4</v>
      </c>
      <c r="C510" s="71"/>
      <c r="D510" s="71"/>
      <c r="E510" s="71">
        <v>4</v>
      </c>
    </row>
    <row r="511" spans="1:5" x14ac:dyDescent="0.3">
      <c r="A511" s="149">
        <v>44159</v>
      </c>
      <c r="B511" s="71">
        <v>1</v>
      </c>
      <c r="C511" s="71"/>
      <c r="D511" s="71"/>
      <c r="E511" s="71">
        <v>1</v>
      </c>
    </row>
    <row r="512" spans="1:5" x14ac:dyDescent="0.3">
      <c r="A512" s="149">
        <v>44160</v>
      </c>
      <c r="B512" s="71">
        <v>1</v>
      </c>
      <c r="C512" s="71"/>
      <c r="D512" s="71"/>
      <c r="E512" s="71">
        <v>1</v>
      </c>
    </row>
    <row r="513" spans="1:5" x14ac:dyDescent="0.3">
      <c r="A513" s="149">
        <v>44161</v>
      </c>
      <c r="B513" s="71">
        <v>1</v>
      </c>
      <c r="C513" s="71">
        <v>1</v>
      </c>
      <c r="D513" s="71"/>
      <c r="E513" s="71">
        <v>2</v>
      </c>
    </row>
    <row r="514" spans="1:5" x14ac:dyDescent="0.3">
      <c r="A514" s="149">
        <v>44163</v>
      </c>
      <c r="B514" s="71">
        <v>1</v>
      </c>
      <c r="C514" s="71"/>
      <c r="D514" s="71"/>
      <c r="E514" s="71">
        <v>1</v>
      </c>
    </row>
    <row r="515" spans="1:5" x14ac:dyDescent="0.3">
      <c r="A515" s="149">
        <v>44164</v>
      </c>
      <c r="B515" s="71">
        <v>1</v>
      </c>
      <c r="C515" s="71"/>
      <c r="D515" s="71"/>
      <c r="E515" s="71">
        <v>1</v>
      </c>
    </row>
    <row r="516" spans="1:5" x14ac:dyDescent="0.3">
      <c r="A516" s="149">
        <v>44165</v>
      </c>
      <c r="B516" s="71">
        <v>3</v>
      </c>
      <c r="C516" s="71">
        <v>1</v>
      </c>
      <c r="D516" s="71"/>
      <c r="E516" s="71">
        <v>4</v>
      </c>
    </row>
    <row r="517" spans="1:5" x14ac:dyDescent="0.3">
      <c r="A517" s="149">
        <v>44166</v>
      </c>
      <c r="B517" s="71">
        <v>1</v>
      </c>
      <c r="C517" s="71"/>
      <c r="D517" s="71"/>
      <c r="E517" s="71">
        <v>1</v>
      </c>
    </row>
    <row r="518" spans="1:5" x14ac:dyDescent="0.3">
      <c r="A518" s="149">
        <v>44168</v>
      </c>
      <c r="B518" s="71">
        <v>1</v>
      </c>
      <c r="C518" s="71"/>
      <c r="D518" s="71"/>
      <c r="E518" s="71">
        <v>1</v>
      </c>
    </row>
    <row r="519" spans="1:5" x14ac:dyDescent="0.3">
      <c r="A519" s="149">
        <v>44171</v>
      </c>
      <c r="B519" s="71">
        <v>2</v>
      </c>
      <c r="C519" s="71">
        <v>1</v>
      </c>
      <c r="D519" s="71"/>
      <c r="E519" s="71">
        <v>3</v>
      </c>
    </row>
    <row r="520" spans="1:5" x14ac:dyDescent="0.3">
      <c r="A520" s="149">
        <v>44174</v>
      </c>
      <c r="B520" s="71">
        <v>1</v>
      </c>
      <c r="C520" s="71"/>
      <c r="D520" s="71"/>
      <c r="E520" s="71">
        <v>1</v>
      </c>
    </row>
    <row r="521" spans="1:5" x14ac:dyDescent="0.3">
      <c r="A521" s="149">
        <v>44178</v>
      </c>
      <c r="B521" s="71">
        <v>2</v>
      </c>
      <c r="C521" s="71">
        <v>1</v>
      </c>
      <c r="D521" s="71"/>
      <c r="E521" s="71">
        <v>3</v>
      </c>
    </row>
    <row r="522" spans="1:5" x14ac:dyDescent="0.3">
      <c r="A522" s="149">
        <v>44181</v>
      </c>
      <c r="B522" s="71">
        <v>1</v>
      </c>
      <c r="C522" s="71"/>
      <c r="D522" s="71"/>
      <c r="E522" s="71">
        <v>1</v>
      </c>
    </row>
    <row r="523" spans="1:5" x14ac:dyDescent="0.3">
      <c r="A523" s="149">
        <v>44183</v>
      </c>
      <c r="B523" s="71">
        <v>1</v>
      </c>
      <c r="C523" s="71"/>
      <c r="D523" s="71"/>
      <c r="E523" s="71">
        <v>1</v>
      </c>
    </row>
    <row r="524" spans="1:5" x14ac:dyDescent="0.3">
      <c r="A524" s="149">
        <v>44185</v>
      </c>
      <c r="B524" s="71">
        <v>2</v>
      </c>
      <c r="C524" s="71"/>
      <c r="D524" s="71"/>
      <c r="E524" s="71">
        <v>2</v>
      </c>
    </row>
    <row r="525" spans="1:5" x14ac:dyDescent="0.3">
      <c r="A525" s="149">
        <v>44186</v>
      </c>
      <c r="B525" s="71">
        <v>1</v>
      </c>
      <c r="C525" s="71"/>
      <c r="D525" s="71"/>
      <c r="E525" s="71">
        <v>1</v>
      </c>
    </row>
    <row r="526" spans="1:5" x14ac:dyDescent="0.3">
      <c r="A526" s="149">
        <v>44187</v>
      </c>
      <c r="B526" s="71">
        <v>1</v>
      </c>
      <c r="C526" s="71">
        <v>1</v>
      </c>
      <c r="D526" s="71"/>
      <c r="E526" s="71">
        <v>2</v>
      </c>
    </row>
    <row r="527" spans="1:5" x14ac:dyDescent="0.3">
      <c r="A527" s="149">
        <v>44192</v>
      </c>
      <c r="B527" s="71">
        <v>1</v>
      </c>
      <c r="C527" s="71">
        <v>1</v>
      </c>
      <c r="D527" s="71"/>
      <c r="E527" s="71">
        <v>2</v>
      </c>
    </row>
    <row r="528" spans="1:5" x14ac:dyDescent="0.3">
      <c r="A528" s="149">
        <v>44195</v>
      </c>
      <c r="B528" s="71">
        <v>1</v>
      </c>
      <c r="C528" s="71">
        <v>1</v>
      </c>
      <c r="D528" s="71"/>
      <c r="E528" s="71">
        <v>2</v>
      </c>
    </row>
    <row r="529" spans="1:5" x14ac:dyDescent="0.3">
      <c r="A529" s="149">
        <v>44196</v>
      </c>
      <c r="B529" s="71">
        <v>2</v>
      </c>
      <c r="C529" s="71"/>
      <c r="D529" s="71"/>
      <c r="E529" s="71">
        <v>2</v>
      </c>
    </row>
    <row r="530" spans="1:5" x14ac:dyDescent="0.3">
      <c r="A530" s="149">
        <v>44198</v>
      </c>
      <c r="B530" s="71">
        <v>1</v>
      </c>
      <c r="C530" s="71"/>
      <c r="D530" s="71"/>
      <c r="E530" s="71">
        <v>1</v>
      </c>
    </row>
    <row r="531" spans="1:5" x14ac:dyDescent="0.3">
      <c r="A531" s="149">
        <v>44199</v>
      </c>
      <c r="B531" s="71">
        <v>1</v>
      </c>
      <c r="C531" s="71"/>
      <c r="D531" s="71"/>
      <c r="E531" s="71">
        <v>1</v>
      </c>
    </row>
    <row r="532" spans="1:5" x14ac:dyDescent="0.3">
      <c r="A532" s="149">
        <v>44203</v>
      </c>
      <c r="B532" s="71">
        <v>1</v>
      </c>
      <c r="C532" s="71"/>
      <c r="D532" s="71"/>
      <c r="E532" s="71">
        <v>1</v>
      </c>
    </row>
    <row r="533" spans="1:5" x14ac:dyDescent="0.3">
      <c r="A533" s="149">
        <v>44222</v>
      </c>
      <c r="B533" s="71"/>
      <c r="C533" s="71">
        <v>1</v>
      </c>
      <c r="D533" s="71"/>
      <c r="E533" s="71">
        <v>1</v>
      </c>
    </row>
    <row r="534" spans="1:5" x14ac:dyDescent="0.3">
      <c r="A534" s="70" t="s">
        <v>1448</v>
      </c>
      <c r="B534" s="71">
        <v>1390</v>
      </c>
      <c r="C534" s="71">
        <v>172</v>
      </c>
      <c r="D534" s="71">
        <v>4</v>
      </c>
      <c r="E534" s="71">
        <v>1566</v>
      </c>
    </row>
  </sheetData>
  <customSheetViews>
    <customSheetView guid="{80F19098-3ACC-4F0A-B214-68DF3421AAAA}">
      <pane ySplit="4" topLeftCell="A332" activePane="bottomLeft" state="frozen"/>
      <selection pane="bottomLeft" activeCell="H337" sqref="H337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65"/>
  <sheetViews>
    <sheetView view="pageBreakPreview" zoomScale="115" zoomScaleNormal="115" zoomScaleSheetLayoutView="115" workbookViewId="0">
      <pane ySplit="4" topLeftCell="A57" activePane="bottomLeft" state="frozen"/>
      <selection pane="bottomLeft" activeCell="E2" sqref="E2"/>
    </sheetView>
  </sheetViews>
  <sheetFormatPr defaultRowHeight="14.4" x14ac:dyDescent="0.3"/>
  <cols>
    <col min="1" max="1" width="5.33203125" style="18" customWidth="1"/>
    <col min="2" max="2" width="12.6640625" style="28" customWidth="1"/>
    <col min="3" max="3" width="41.88671875" customWidth="1"/>
    <col min="4" max="4" width="15.6640625" style="78" customWidth="1"/>
    <col min="5" max="5" width="15.33203125" style="77" bestFit="1" customWidth="1"/>
    <col min="7" max="7" width="14" bestFit="1" customWidth="1"/>
  </cols>
  <sheetData>
    <row r="1" spans="1:5" ht="15.6" x14ac:dyDescent="0.3">
      <c r="A1" s="33"/>
      <c r="B1" s="21"/>
      <c r="C1" s="19"/>
      <c r="D1" s="76"/>
    </row>
    <row r="2" spans="1:5" ht="18" x14ac:dyDescent="0.35">
      <c r="A2" s="34" t="s">
        <v>0</v>
      </c>
    </row>
    <row r="3" spans="1:5" ht="18" x14ac:dyDescent="0.35">
      <c r="A3" s="113" t="s">
        <v>1514</v>
      </c>
      <c r="B3" s="22"/>
      <c r="C3" s="20"/>
      <c r="D3" s="79"/>
    </row>
    <row r="4" spans="1:5" s="4" customFormat="1" ht="30.75" customHeight="1" x14ac:dyDescent="0.3">
      <c r="A4" s="1" t="s">
        <v>1</v>
      </c>
      <c r="B4" s="23" t="s">
        <v>2</v>
      </c>
      <c r="C4" s="1" t="s">
        <v>3</v>
      </c>
      <c r="D4" s="80" t="s">
        <v>1148</v>
      </c>
      <c r="E4" s="81" t="s">
        <v>1138</v>
      </c>
    </row>
    <row r="5" spans="1:5" s="4" customFormat="1" ht="15" customHeight="1" x14ac:dyDescent="0.3">
      <c r="A5" s="5">
        <v>1</v>
      </c>
      <c r="B5" s="24">
        <v>43160</v>
      </c>
      <c r="C5" s="99" t="s">
        <v>8</v>
      </c>
      <c r="D5" s="82"/>
      <c r="E5" s="83">
        <v>13200</v>
      </c>
    </row>
    <row r="6" spans="1:5" s="4" customFormat="1" ht="15" customHeight="1" x14ac:dyDescent="0.3">
      <c r="A6" s="5">
        <v>2</v>
      </c>
      <c r="B6" s="31">
        <v>43160</v>
      </c>
      <c r="C6" s="99" t="s">
        <v>1140</v>
      </c>
      <c r="D6" s="82"/>
      <c r="E6" s="83">
        <v>2400</v>
      </c>
    </row>
    <row r="7" spans="1:5" s="4" customFormat="1" ht="15" customHeight="1" x14ac:dyDescent="0.3">
      <c r="A7" s="5">
        <v>3</v>
      </c>
      <c r="B7" s="32">
        <v>43160</v>
      </c>
      <c r="C7" s="99" t="s">
        <v>11</v>
      </c>
      <c r="D7" s="82"/>
      <c r="E7" s="83">
        <v>9350</v>
      </c>
    </row>
    <row r="8" spans="1:5" s="4" customFormat="1" ht="15" customHeight="1" x14ac:dyDescent="0.3">
      <c r="A8" s="5">
        <v>4</v>
      </c>
      <c r="B8" s="24">
        <v>43160</v>
      </c>
      <c r="C8" s="99" t="s">
        <v>1143</v>
      </c>
      <c r="D8" s="82"/>
      <c r="E8" s="83">
        <v>16500</v>
      </c>
    </row>
    <row r="9" spans="1:5" s="4" customFormat="1" ht="15" customHeight="1" x14ac:dyDescent="0.3">
      <c r="A9" s="5">
        <v>5</v>
      </c>
      <c r="B9" s="24">
        <v>43160</v>
      </c>
      <c r="C9" s="99" t="s">
        <v>1145</v>
      </c>
      <c r="D9" s="82"/>
      <c r="E9" s="83">
        <v>1600</v>
      </c>
    </row>
    <row r="10" spans="1:5" s="4" customFormat="1" ht="15" customHeight="1" x14ac:dyDescent="0.3">
      <c r="A10" s="5">
        <v>6</v>
      </c>
      <c r="B10" s="24">
        <v>43180</v>
      </c>
      <c r="C10" s="99" t="s">
        <v>1147</v>
      </c>
      <c r="D10" s="84">
        <v>134700</v>
      </c>
      <c r="E10" s="85"/>
    </row>
    <row r="11" spans="1:5" s="4" customFormat="1" ht="15" customHeight="1" x14ac:dyDescent="0.3">
      <c r="A11" s="5">
        <v>7</v>
      </c>
      <c r="B11" s="24">
        <v>43191</v>
      </c>
      <c r="C11" s="100" t="s">
        <v>1150</v>
      </c>
      <c r="D11" s="82"/>
      <c r="E11" s="83">
        <v>100000</v>
      </c>
    </row>
    <row r="12" spans="1:5" s="4" customFormat="1" ht="15" customHeight="1" x14ac:dyDescent="0.3">
      <c r="A12" s="5">
        <v>8</v>
      </c>
      <c r="B12" s="24">
        <v>43191</v>
      </c>
      <c r="C12" s="100" t="s">
        <v>1152</v>
      </c>
      <c r="D12" s="82"/>
      <c r="E12" s="83">
        <v>54800</v>
      </c>
    </row>
    <row r="13" spans="1:5" s="4" customFormat="1" ht="15" customHeight="1" x14ac:dyDescent="0.3">
      <c r="A13" s="5">
        <v>9</v>
      </c>
      <c r="B13" s="24">
        <v>43191</v>
      </c>
      <c r="C13" s="100" t="s">
        <v>1154</v>
      </c>
      <c r="D13" s="82"/>
      <c r="E13" s="83">
        <v>8000</v>
      </c>
    </row>
    <row r="14" spans="1:5" s="4" customFormat="1" ht="15" customHeight="1" x14ac:dyDescent="0.3">
      <c r="A14" s="5">
        <v>10</v>
      </c>
      <c r="B14" s="24">
        <v>43191</v>
      </c>
      <c r="C14" s="100" t="s">
        <v>1154</v>
      </c>
      <c r="D14" s="82"/>
      <c r="E14" s="83">
        <v>1500</v>
      </c>
    </row>
    <row r="15" spans="1:5" s="4" customFormat="1" ht="15" customHeight="1" x14ac:dyDescent="0.3">
      <c r="A15" s="5">
        <v>11</v>
      </c>
      <c r="B15" s="24">
        <v>43191</v>
      </c>
      <c r="C15" s="100" t="s">
        <v>1157</v>
      </c>
      <c r="D15" s="82"/>
      <c r="E15" s="83">
        <v>2500</v>
      </c>
    </row>
    <row r="16" spans="1:5" s="4" customFormat="1" ht="15" customHeight="1" x14ac:dyDescent="0.3">
      <c r="A16" s="5">
        <v>12</v>
      </c>
      <c r="B16" s="24">
        <v>43191</v>
      </c>
      <c r="C16" s="100" t="s">
        <v>1159</v>
      </c>
      <c r="D16" s="82"/>
      <c r="E16" s="83">
        <v>22000</v>
      </c>
    </row>
    <row r="17" spans="1:5" s="4" customFormat="1" ht="15" customHeight="1" x14ac:dyDescent="0.3">
      <c r="A17" s="5">
        <v>13</v>
      </c>
      <c r="B17" s="24">
        <v>43191</v>
      </c>
      <c r="C17" s="100" t="s">
        <v>1161</v>
      </c>
      <c r="D17" s="82"/>
      <c r="E17" s="83">
        <v>2500</v>
      </c>
    </row>
    <row r="18" spans="1:5" ht="15.6" x14ac:dyDescent="0.3">
      <c r="A18" s="5">
        <v>14</v>
      </c>
      <c r="B18" s="24">
        <v>43191</v>
      </c>
      <c r="C18" s="100" t="s">
        <v>1163</v>
      </c>
      <c r="D18" s="82"/>
      <c r="E18" s="83">
        <v>200</v>
      </c>
    </row>
    <row r="19" spans="1:5" ht="15.6" x14ac:dyDescent="0.3">
      <c r="A19" s="5">
        <v>15</v>
      </c>
      <c r="B19" s="24">
        <v>43191</v>
      </c>
      <c r="C19" s="100" t="s">
        <v>1165</v>
      </c>
      <c r="D19" s="82"/>
      <c r="E19" s="83">
        <v>4500</v>
      </c>
    </row>
    <row r="20" spans="1:5" ht="15.6" x14ac:dyDescent="0.3">
      <c r="A20" s="5">
        <v>16</v>
      </c>
      <c r="B20" s="24">
        <v>43191</v>
      </c>
      <c r="C20" s="100" t="s">
        <v>1167</v>
      </c>
      <c r="D20" s="82"/>
      <c r="E20" s="83">
        <v>500</v>
      </c>
    </row>
    <row r="21" spans="1:5" ht="15.6" x14ac:dyDescent="0.3">
      <c r="A21" s="5">
        <v>17</v>
      </c>
      <c r="B21" s="24">
        <v>43191</v>
      </c>
      <c r="C21" s="100" t="s">
        <v>1169</v>
      </c>
      <c r="D21" s="82"/>
      <c r="E21" s="83">
        <v>500</v>
      </c>
    </row>
    <row r="22" spans="1:5" ht="15.6" x14ac:dyDescent="0.3">
      <c r="A22" s="5">
        <v>18</v>
      </c>
      <c r="B22" s="24">
        <v>43191</v>
      </c>
      <c r="C22" s="100" t="s">
        <v>1171</v>
      </c>
      <c r="D22" s="82"/>
      <c r="E22" s="83">
        <v>3380</v>
      </c>
    </row>
    <row r="23" spans="1:5" ht="15.6" x14ac:dyDescent="0.3">
      <c r="A23" s="5">
        <v>19</v>
      </c>
      <c r="B23" s="24">
        <v>43191</v>
      </c>
      <c r="C23" s="100" t="s">
        <v>1173</v>
      </c>
      <c r="D23" s="82"/>
      <c r="E23" s="83">
        <v>200</v>
      </c>
    </row>
    <row r="24" spans="1:5" ht="15.6" x14ac:dyDescent="0.3">
      <c r="A24" s="5">
        <v>20</v>
      </c>
      <c r="B24" s="24">
        <v>43191</v>
      </c>
      <c r="C24" s="100" t="s">
        <v>1175</v>
      </c>
      <c r="D24" s="82"/>
      <c r="E24" s="83">
        <v>2200</v>
      </c>
    </row>
    <row r="25" spans="1:5" ht="15.6" x14ac:dyDescent="0.3">
      <c r="A25" s="5">
        <v>21</v>
      </c>
      <c r="B25" s="24">
        <v>43191</v>
      </c>
      <c r="C25" s="100" t="s">
        <v>1163</v>
      </c>
      <c r="D25" s="82"/>
      <c r="E25" s="83">
        <v>300</v>
      </c>
    </row>
    <row r="26" spans="1:5" ht="15.6" x14ac:dyDescent="0.3">
      <c r="A26" s="5">
        <v>22</v>
      </c>
      <c r="B26" s="24">
        <v>43191</v>
      </c>
      <c r="C26" s="100" t="s">
        <v>1178</v>
      </c>
      <c r="D26" s="82"/>
      <c r="E26" s="83">
        <v>1210</v>
      </c>
    </row>
    <row r="27" spans="1:5" ht="15.6" x14ac:dyDescent="0.3">
      <c r="A27" s="5">
        <v>23</v>
      </c>
      <c r="B27" s="24">
        <v>43191</v>
      </c>
      <c r="C27" s="100" t="s">
        <v>139</v>
      </c>
      <c r="D27" s="82"/>
      <c r="E27" s="83">
        <v>300</v>
      </c>
    </row>
    <row r="28" spans="1:5" ht="15.6" x14ac:dyDescent="0.3">
      <c r="A28" s="5">
        <v>24</v>
      </c>
      <c r="B28" s="24">
        <v>43191</v>
      </c>
      <c r="C28" s="100" t="s">
        <v>1181</v>
      </c>
      <c r="D28" s="82"/>
      <c r="E28" s="83">
        <v>85</v>
      </c>
    </row>
    <row r="29" spans="1:5" ht="15.6" x14ac:dyDescent="0.3">
      <c r="A29" s="5">
        <v>25</v>
      </c>
      <c r="B29" s="24">
        <v>43191</v>
      </c>
      <c r="C29" s="100" t="s">
        <v>1183</v>
      </c>
      <c r="D29" s="82"/>
      <c r="E29" s="83">
        <v>30</v>
      </c>
    </row>
    <row r="30" spans="1:5" ht="15.6" x14ac:dyDescent="0.3">
      <c r="A30" s="5">
        <v>26</v>
      </c>
      <c r="B30" s="24">
        <v>43191</v>
      </c>
      <c r="C30" s="100" t="s">
        <v>1185</v>
      </c>
      <c r="D30" s="82"/>
      <c r="E30" s="83">
        <v>450</v>
      </c>
    </row>
    <row r="31" spans="1:5" ht="15.6" x14ac:dyDescent="0.3">
      <c r="A31" s="5">
        <v>27</v>
      </c>
      <c r="B31" s="24">
        <v>43191</v>
      </c>
      <c r="C31" s="100" t="s">
        <v>62</v>
      </c>
      <c r="D31" s="82"/>
      <c r="E31" s="83">
        <v>300</v>
      </c>
    </row>
    <row r="32" spans="1:5" ht="15.6" x14ac:dyDescent="0.3">
      <c r="A32" s="5">
        <v>28</v>
      </c>
      <c r="B32" s="24">
        <v>43191</v>
      </c>
      <c r="C32" s="100" t="s">
        <v>1188</v>
      </c>
      <c r="D32" s="82"/>
      <c r="E32" s="83">
        <v>600</v>
      </c>
    </row>
    <row r="33" spans="1:5" ht="15.6" x14ac:dyDescent="0.3">
      <c r="A33" s="5">
        <v>29</v>
      </c>
      <c r="B33" s="24">
        <v>43191</v>
      </c>
      <c r="C33" s="100" t="s">
        <v>1190</v>
      </c>
      <c r="D33" s="82"/>
      <c r="E33" s="83">
        <v>340</v>
      </c>
    </row>
    <row r="34" spans="1:5" ht="15.6" x14ac:dyDescent="0.3">
      <c r="A34" s="5">
        <v>30</v>
      </c>
      <c r="B34" s="24">
        <v>43191</v>
      </c>
      <c r="C34" s="100" t="s">
        <v>1192</v>
      </c>
      <c r="D34" s="82"/>
      <c r="E34" s="83">
        <v>60</v>
      </c>
    </row>
    <row r="35" spans="1:5" ht="15.6" x14ac:dyDescent="0.3">
      <c r="A35" s="5">
        <v>31</v>
      </c>
      <c r="B35" s="24">
        <v>43191</v>
      </c>
      <c r="C35" s="100" t="s">
        <v>1194</v>
      </c>
      <c r="D35" s="82"/>
      <c r="E35" s="83">
        <v>510</v>
      </c>
    </row>
    <row r="36" spans="1:5" ht="15.6" x14ac:dyDescent="0.3">
      <c r="A36" s="5">
        <v>32</v>
      </c>
      <c r="B36" s="24">
        <v>43191</v>
      </c>
      <c r="C36" s="100" t="s">
        <v>1196</v>
      </c>
      <c r="D36" s="82"/>
      <c r="E36" s="83">
        <v>340</v>
      </c>
    </row>
    <row r="37" spans="1:5" ht="15.6" x14ac:dyDescent="0.3">
      <c r="A37" s="5">
        <v>33</v>
      </c>
      <c r="B37" s="24">
        <v>43191</v>
      </c>
      <c r="C37" s="100" t="s">
        <v>1198</v>
      </c>
      <c r="D37" s="82"/>
      <c r="E37" s="83">
        <v>330</v>
      </c>
    </row>
    <row r="38" spans="1:5" ht="15.6" x14ac:dyDescent="0.3">
      <c r="A38" s="5">
        <v>34</v>
      </c>
      <c r="B38" s="24">
        <v>43191</v>
      </c>
      <c r="C38" s="99" t="s">
        <v>1140</v>
      </c>
      <c r="D38" s="82"/>
      <c r="E38" s="83">
        <v>3900</v>
      </c>
    </row>
    <row r="39" spans="1:5" ht="15.6" x14ac:dyDescent="0.3">
      <c r="A39" s="5">
        <v>35</v>
      </c>
      <c r="B39" s="24">
        <v>43191</v>
      </c>
      <c r="C39" s="99" t="s">
        <v>1201</v>
      </c>
      <c r="D39" s="82"/>
      <c r="E39" s="83">
        <v>2400</v>
      </c>
    </row>
    <row r="40" spans="1:5" ht="15.6" x14ac:dyDescent="0.3">
      <c r="A40" s="5">
        <v>36</v>
      </c>
      <c r="B40" s="24">
        <v>43191</v>
      </c>
      <c r="C40" s="99" t="s">
        <v>8</v>
      </c>
      <c r="D40" s="82"/>
      <c r="E40" s="83">
        <v>13575</v>
      </c>
    </row>
    <row r="41" spans="1:5" ht="15.6" x14ac:dyDescent="0.3">
      <c r="A41" s="5">
        <v>37</v>
      </c>
      <c r="B41" s="24">
        <v>43191</v>
      </c>
      <c r="C41" s="99" t="s">
        <v>11</v>
      </c>
      <c r="D41" s="82"/>
      <c r="E41" s="83">
        <v>9828</v>
      </c>
    </row>
    <row r="42" spans="1:5" ht="15.6" x14ac:dyDescent="0.3">
      <c r="A42" s="5">
        <v>38</v>
      </c>
      <c r="B42" s="31">
        <v>43191</v>
      </c>
      <c r="C42" s="99" t="s">
        <v>1205</v>
      </c>
      <c r="D42" s="82"/>
      <c r="E42" s="83">
        <v>25446</v>
      </c>
    </row>
    <row r="43" spans="1:5" ht="15.6" x14ac:dyDescent="0.3">
      <c r="A43" s="5">
        <v>39</v>
      </c>
      <c r="B43" s="31">
        <v>43191</v>
      </c>
      <c r="C43" s="99" t="s">
        <v>9</v>
      </c>
      <c r="D43" s="82"/>
      <c r="E43" s="83">
        <v>18050</v>
      </c>
    </row>
    <row r="44" spans="1:5" ht="15.6" x14ac:dyDescent="0.3">
      <c r="A44" s="5">
        <v>40</v>
      </c>
      <c r="B44" s="31">
        <v>43191</v>
      </c>
      <c r="C44" s="99" t="s">
        <v>1208</v>
      </c>
      <c r="D44" s="82"/>
      <c r="E44" s="83">
        <v>2400</v>
      </c>
    </row>
    <row r="45" spans="1:5" ht="15.6" x14ac:dyDescent="0.3">
      <c r="A45" s="5">
        <v>41</v>
      </c>
      <c r="B45" s="31">
        <v>43191</v>
      </c>
      <c r="C45" s="99" t="s">
        <v>1210</v>
      </c>
      <c r="D45" s="82"/>
      <c r="E45" s="83">
        <v>5000</v>
      </c>
    </row>
    <row r="46" spans="1:5" ht="15.6" x14ac:dyDescent="0.3">
      <c r="A46" s="5">
        <v>42</v>
      </c>
      <c r="B46" s="31">
        <v>43191</v>
      </c>
      <c r="C46" s="99" t="s">
        <v>1212</v>
      </c>
      <c r="D46" s="82"/>
      <c r="E46" s="83">
        <v>1000</v>
      </c>
    </row>
    <row r="47" spans="1:5" ht="15.6" x14ac:dyDescent="0.3">
      <c r="A47" s="5">
        <v>43</v>
      </c>
      <c r="B47" s="24">
        <v>43191</v>
      </c>
      <c r="C47" s="99" t="s">
        <v>12</v>
      </c>
      <c r="D47" s="82"/>
      <c r="E47" s="83">
        <v>4250</v>
      </c>
    </row>
    <row r="48" spans="1:5" ht="15.6" x14ac:dyDescent="0.3">
      <c r="A48" s="5">
        <v>44</v>
      </c>
      <c r="B48" s="31">
        <v>43191</v>
      </c>
      <c r="C48" s="99" t="s">
        <v>1215</v>
      </c>
      <c r="D48" s="82"/>
      <c r="E48" s="83">
        <v>1800</v>
      </c>
    </row>
    <row r="49" spans="1:5" ht="15.6" x14ac:dyDescent="0.3">
      <c r="A49" s="5">
        <v>45</v>
      </c>
      <c r="B49" s="32">
        <v>43191</v>
      </c>
      <c r="C49" s="99" t="s">
        <v>1143</v>
      </c>
      <c r="D49" s="82"/>
      <c r="E49" s="83">
        <v>45000</v>
      </c>
    </row>
    <row r="50" spans="1:5" ht="15.6" x14ac:dyDescent="0.3">
      <c r="A50" s="5">
        <v>46</v>
      </c>
      <c r="B50" s="31">
        <v>43191</v>
      </c>
      <c r="C50" s="99" t="s">
        <v>7</v>
      </c>
      <c r="D50" s="82"/>
      <c r="E50" s="83">
        <v>1000</v>
      </c>
    </row>
    <row r="51" spans="1:5" ht="15.6" x14ac:dyDescent="0.3">
      <c r="A51" s="5">
        <v>47</v>
      </c>
      <c r="B51" s="32">
        <v>43191</v>
      </c>
      <c r="C51" s="99" t="s">
        <v>1219</v>
      </c>
      <c r="D51" s="82"/>
      <c r="E51" s="83">
        <v>2000</v>
      </c>
    </row>
    <row r="52" spans="1:5" x14ac:dyDescent="0.3">
      <c r="A52" s="5">
        <v>48</v>
      </c>
      <c r="B52" s="31">
        <v>43201</v>
      </c>
      <c r="C52" s="100" t="s">
        <v>1221</v>
      </c>
      <c r="D52" s="91">
        <v>300000</v>
      </c>
      <c r="E52" s="65"/>
    </row>
    <row r="53" spans="1:5" x14ac:dyDescent="0.3">
      <c r="A53" s="5">
        <v>49</v>
      </c>
      <c r="B53" s="31">
        <v>43204</v>
      </c>
      <c r="C53" s="100" t="s">
        <v>1223</v>
      </c>
      <c r="D53" s="91">
        <v>250000</v>
      </c>
      <c r="E53" s="65"/>
    </row>
    <row r="54" spans="1:5" ht="15.6" x14ac:dyDescent="0.3">
      <c r="A54" s="5">
        <v>50</v>
      </c>
      <c r="B54" s="31">
        <v>43204</v>
      </c>
      <c r="C54" s="100" t="s">
        <v>1225</v>
      </c>
      <c r="D54" s="82"/>
      <c r="E54" s="83">
        <v>2000</v>
      </c>
    </row>
    <row r="55" spans="1:5" x14ac:dyDescent="0.3">
      <c r="A55" s="5">
        <v>51</v>
      </c>
      <c r="B55" s="24">
        <v>43208</v>
      </c>
      <c r="C55" s="100" t="s">
        <v>1227</v>
      </c>
      <c r="D55" s="93">
        <v>400000</v>
      </c>
      <c r="E55" s="65"/>
    </row>
    <row r="56" spans="1:5" ht="28.8" x14ac:dyDescent="0.3">
      <c r="A56" s="5">
        <v>52</v>
      </c>
      <c r="B56" s="24">
        <v>43209</v>
      </c>
      <c r="C56" s="100" t="s">
        <v>1229</v>
      </c>
      <c r="D56" s="93">
        <v>500000</v>
      </c>
      <c r="E56" s="65"/>
    </row>
    <row r="57" spans="1:5" x14ac:dyDescent="0.3">
      <c r="A57" s="5">
        <v>53</v>
      </c>
      <c r="B57" s="24">
        <v>43213</v>
      </c>
      <c r="C57" s="100" t="s">
        <v>1231</v>
      </c>
      <c r="D57" s="93">
        <v>300000</v>
      </c>
      <c r="E57" s="65"/>
    </row>
    <row r="58" spans="1:5" x14ac:dyDescent="0.3">
      <c r="A58" s="5">
        <v>54</v>
      </c>
      <c r="B58" s="24">
        <v>43219</v>
      </c>
      <c r="C58" s="100" t="s">
        <v>1233</v>
      </c>
      <c r="D58" s="93">
        <v>300000</v>
      </c>
      <c r="E58" s="65"/>
    </row>
    <row r="59" spans="1:5" ht="15.6" x14ac:dyDescent="0.3">
      <c r="A59" s="5">
        <v>55</v>
      </c>
      <c r="B59" s="24">
        <v>43221</v>
      </c>
      <c r="C59" s="100" t="s">
        <v>1235</v>
      </c>
      <c r="D59" s="82"/>
      <c r="E59" s="83">
        <v>8000</v>
      </c>
    </row>
    <row r="60" spans="1:5" ht="15.6" x14ac:dyDescent="0.3">
      <c r="A60" s="5">
        <v>56</v>
      </c>
      <c r="B60" s="24">
        <v>43221</v>
      </c>
      <c r="C60" s="100" t="s">
        <v>1237</v>
      </c>
      <c r="D60" s="82"/>
      <c r="E60" s="83">
        <v>5500</v>
      </c>
    </row>
    <row r="61" spans="1:5" ht="15.6" x14ac:dyDescent="0.3">
      <c r="A61" s="5">
        <v>57</v>
      </c>
      <c r="B61" s="24">
        <v>43221</v>
      </c>
      <c r="C61" s="100" t="s">
        <v>1239</v>
      </c>
      <c r="D61" s="82"/>
      <c r="E61" s="83">
        <v>500</v>
      </c>
    </row>
    <row r="62" spans="1:5" ht="15.6" x14ac:dyDescent="0.3">
      <c r="A62" s="5">
        <v>58</v>
      </c>
      <c r="B62" s="24">
        <v>43221</v>
      </c>
      <c r="C62" s="100" t="s">
        <v>1163</v>
      </c>
      <c r="D62" s="82"/>
      <c r="E62" s="83">
        <v>1000</v>
      </c>
    </row>
    <row r="63" spans="1:5" ht="15.6" x14ac:dyDescent="0.3">
      <c r="A63" s="5">
        <v>59</v>
      </c>
      <c r="B63" s="31">
        <v>43221</v>
      </c>
      <c r="C63" s="100" t="s">
        <v>1163</v>
      </c>
      <c r="D63" s="82"/>
      <c r="E63" s="83">
        <v>300</v>
      </c>
    </row>
    <row r="64" spans="1:5" ht="15.6" x14ac:dyDescent="0.3">
      <c r="A64" s="5">
        <v>60</v>
      </c>
      <c r="B64" s="24">
        <v>43221</v>
      </c>
      <c r="C64" s="100" t="s">
        <v>1163</v>
      </c>
      <c r="D64" s="82"/>
      <c r="E64" s="83">
        <v>100</v>
      </c>
    </row>
    <row r="65" spans="1:5" ht="15.6" x14ac:dyDescent="0.3">
      <c r="A65" s="5">
        <v>61</v>
      </c>
      <c r="B65" s="24">
        <v>43221</v>
      </c>
      <c r="C65" s="100" t="s">
        <v>1244</v>
      </c>
      <c r="D65" s="82"/>
      <c r="E65" s="83">
        <v>300</v>
      </c>
    </row>
    <row r="66" spans="1:5" ht="15.6" x14ac:dyDescent="0.3">
      <c r="A66" s="5">
        <v>62</v>
      </c>
      <c r="B66" s="24">
        <v>43221</v>
      </c>
      <c r="C66" s="100" t="s">
        <v>1246</v>
      </c>
      <c r="D66" s="82"/>
      <c r="E66" s="83">
        <v>5000</v>
      </c>
    </row>
    <row r="67" spans="1:5" ht="15.6" x14ac:dyDescent="0.3">
      <c r="A67" s="5">
        <v>63</v>
      </c>
      <c r="B67" s="24">
        <v>43221</v>
      </c>
      <c r="C67" s="100" t="s">
        <v>1248</v>
      </c>
      <c r="D67" s="82"/>
      <c r="E67" s="83">
        <v>5500</v>
      </c>
    </row>
    <row r="68" spans="1:5" ht="15.6" x14ac:dyDescent="0.3">
      <c r="A68" s="5">
        <v>64</v>
      </c>
      <c r="B68" s="24">
        <v>43221</v>
      </c>
      <c r="C68" s="100" t="s">
        <v>1250</v>
      </c>
      <c r="D68" s="82"/>
      <c r="E68" s="83">
        <v>9000</v>
      </c>
    </row>
    <row r="69" spans="1:5" ht="15.6" x14ac:dyDescent="0.3">
      <c r="A69" s="5">
        <v>65</v>
      </c>
      <c r="B69" s="24">
        <v>43221</v>
      </c>
      <c r="C69" s="100" t="s">
        <v>1252</v>
      </c>
      <c r="D69" s="82"/>
      <c r="E69" s="83">
        <v>340</v>
      </c>
    </row>
    <row r="70" spans="1:5" x14ac:dyDescent="0.3">
      <c r="A70" s="5">
        <v>66</v>
      </c>
      <c r="B70" s="24">
        <v>43221</v>
      </c>
      <c r="C70" s="99" t="s">
        <v>7</v>
      </c>
      <c r="D70" s="82">
        <v>0</v>
      </c>
      <c r="E70" s="65"/>
    </row>
    <row r="71" spans="1:5" ht="15.6" x14ac:dyDescent="0.3">
      <c r="A71" s="5">
        <v>67</v>
      </c>
      <c r="B71" s="24">
        <v>43221</v>
      </c>
      <c r="C71" s="99" t="s">
        <v>9</v>
      </c>
      <c r="D71" s="82"/>
      <c r="E71" s="83">
        <v>21600</v>
      </c>
    </row>
    <row r="72" spans="1:5" ht="15.6" x14ac:dyDescent="0.3">
      <c r="A72" s="5">
        <v>68</v>
      </c>
      <c r="B72" s="24">
        <v>43221</v>
      </c>
      <c r="C72" s="99" t="s">
        <v>12</v>
      </c>
      <c r="D72" s="82"/>
      <c r="E72" s="83">
        <v>16800</v>
      </c>
    </row>
    <row r="73" spans="1:5" ht="15.6" x14ac:dyDescent="0.3">
      <c r="A73" s="5">
        <v>69</v>
      </c>
      <c r="B73" s="31">
        <v>43221</v>
      </c>
      <c r="C73" s="99" t="s">
        <v>8</v>
      </c>
      <c r="D73" s="82"/>
      <c r="E73" s="83">
        <v>3600</v>
      </c>
    </row>
    <row r="74" spans="1:5" ht="15.6" x14ac:dyDescent="0.3">
      <c r="A74" s="5">
        <v>70</v>
      </c>
      <c r="B74" s="43">
        <v>43221</v>
      </c>
      <c r="C74" s="99" t="s">
        <v>1143</v>
      </c>
      <c r="D74" s="82"/>
      <c r="E74" s="83">
        <v>1500</v>
      </c>
    </row>
    <row r="75" spans="1:5" ht="15.6" x14ac:dyDescent="0.3">
      <c r="A75" s="5">
        <v>71</v>
      </c>
      <c r="B75" s="32">
        <v>43221</v>
      </c>
      <c r="C75" s="99" t="s">
        <v>11</v>
      </c>
      <c r="D75" s="82"/>
      <c r="E75" s="83">
        <v>15300</v>
      </c>
    </row>
    <row r="76" spans="1:5" ht="15.6" x14ac:dyDescent="0.3">
      <c r="A76" s="5">
        <v>72</v>
      </c>
      <c r="B76" s="24">
        <v>43221</v>
      </c>
      <c r="C76" s="99" t="s">
        <v>1260</v>
      </c>
      <c r="D76" s="82"/>
      <c r="E76" s="83">
        <v>6000</v>
      </c>
    </row>
    <row r="77" spans="1:5" ht="15.6" x14ac:dyDescent="0.3">
      <c r="A77" s="5">
        <v>73</v>
      </c>
      <c r="B77" s="24">
        <v>43221</v>
      </c>
      <c r="C77" s="99" t="s">
        <v>1262</v>
      </c>
      <c r="D77" s="82"/>
      <c r="E77" s="83">
        <v>1600</v>
      </c>
    </row>
    <row r="78" spans="1:5" ht="15.6" x14ac:dyDescent="0.3">
      <c r="A78" s="5">
        <v>74</v>
      </c>
      <c r="B78" s="24">
        <v>43221</v>
      </c>
      <c r="C78" s="99" t="s">
        <v>1208</v>
      </c>
      <c r="D78" s="82"/>
      <c r="E78" s="83">
        <v>1200</v>
      </c>
    </row>
    <row r="79" spans="1:5" ht="15.6" x14ac:dyDescent="0.3">
      <c r="A79" s="5">
        <v>75</v>
      </c>
      <c r="B79" s="24">
        <v>43221</v>
      </c>
      <c r="C79" s="99" t="s">
        <v>1265</v>
      </c>
      <c r="D79" s="82"/>
      <c r="E79" s="83">
        <v>2400</v>
      </c>
    </row>
    <row r="80" spans="1:5" ht="15.6" x14ac:dyDescent="0.3">
      <c r="A80" s="5">
        <v>76</v>
      </c>
      <c r="B80" s="24">
        <v>43224</v>
      </c>
      <c r="C80" s="100" t="s">
        <v>1267</v>
      </c>
      <c r="D80" s="82"/>
      <c r="E80" s="83">
        <v>150</v>
      </c>
    </row>
    <row r="81" spans="1:5" ht="15.6" x14ac:dyDescent="0.3">
      <c r="A81" s="5">
        <v>77</v>
      </c>
      <c r="B81" s="24">
        <v>43227</v>
      </c>
      <c r="C81" s="100" t="s">
        <v>1269</v>
      </c>
      <c r="D81" s="82"/>
      <c r="E81" s="83">
        <v>100</v>
      </c>
    </row>
    <row r="82" spans="1:5" ht="15.6" x14ac:dyDescent="0.3">
      <c r="A82" s="5">
        <v>78</v>
      </c>
      <c r="B82" s="24">
        <v>43229</v>
      </c>
      <c r="C82" s="100" t="s">
        <v>1248</v>
      </c>
      <c r="D82" s="82"/>
      <c r="E82" s="83">
        <v>300</v>
      </c>
    </row>
    <row r="83" spans="1:5" ht="15.6" x14ac:dyDescent="0.3">
      <c r="A83" s="5">
        <v>79</v>
      </c>
      <c r="B83" s="24">
        <v>43230</v>
      </c>
      <c r="C83" s="100" t="s">
        <v>1269</v>
      </c>
      <c r="D83" s="82"/>
      <c r="E83" s="83">
        <v>50</v>
      </c>
    </row>
    <row r="84" spans="1:5" x14ac:dyDescent="0.3">
      <c r="A84" s="5">
        <v>80</v>
      </c>
      <c r="B84" s="24">
        <v>43236</v>
      </c>
      <c r="C84" s="100" t="s">
        <v>1273</v>
      </c>
      <c r="D84" s="93">
        <v>500000</v>
      </c>
      <c r="E84" s="65"/>
    </row>
    <row r="85" spans="1:5" ht="15.6" x14ac:dyDescent="0.3">
      <c r="A85" s="5">
        <v>81</v>
      </c>
      <c r="B85" s="24">
        <v>43250</v>
      </c>
      <c r="C85" s="101" t="s">
        <v>1275</v>
      </c>
      <c r="D85" s="82"/>
      <c r="E85" s="83">
        <v>33150</v>
      </c>
    </row>
    <row r="86" spans="1:5" ht="15.6" x14ac:dyDescent="0.3">
      <c r="A86" s="5">
        <v>82</v>
      </c>
      <c r="B86" s="24">
        <v>43252</v>
      </c>
      <c r="C86" s="99" t="s">
        <v>9</v>
      </c>
      <c r="D86" s="82"/>
      <c r="E86" s="83">
        <v>12000</v>
      </c>
    </row>
    <row r="87" spans="1:5" ht="15.6" x14ac:dyDescent="0.3">
      <c r="A87" s="5">
        <v>83</v>
      </c>
      <c r="B87" s="24">
        <v>43252</v>
      </c>
      <c r="C87" s="99" t="s">
        <v>8</v>
      </c>
      <c r="D87" s="82"/>
      <c r="E87" s="83">
        <v>2400</v>
      </c>
    </row>
    <row r="88" spans="1:5" ht="15.6" x14ac:dyDescent="0.3">
      <c r="A88" s="5">
        <v>84</v>
      </c>
      <c r="B88" s="24">
        <v>43252</v>
      </c>
      <c r="C88" s="99" t="s">
        <v>7</v>
      </c>
      <c r="D88" s="82"/>
      <c r="E88" s="83">
        <v>4000</v>
      </c>
    </row>
    <row r="89" spans="1:5" ht="15.6" x14ac:dyDescent="0.3">
      <c r="A89" s="5">
        <v>85</v>
      </c>
      <c r="B89" s="24">
        <v>43252</v>
      </c>
      <c r="C89" s="99" t="s">
        <v>12</v>
      </c>
      <c r="D89" s="82"/>
      <c r="E89" s="83">
        <v>6400</v>
      </c>
    </row>
    <row r="90" spans="1:5" ht="15.6" x14ac:dyDescent="0.3">
      <c r="A90" s="5">
        <v>86</v>
      </c>
      <c r="B90" s="24">
        <v>43252</v>
      </c>
      <c r="C90" s="99" t="s">
        <v>11</v>
      </c>
      <c r="D90" s="82"/>
      <c r="E90" s="83">
        <v>2550</v>
      </c>
    </row>
    <row r="91" spans="1:5" ht="15.6" x14ac:dyDescent="0.3">
      <c r="A91" s="5">
        <v>87</v>
      </c>
      <c r="B91" s="24">
        <v>43252</v>
      </c>
      <c r="C91" s="99" t="s">
        <v>1262</v>
      </c>
      <c r="D91" s="82"/>
      <c r="E91" s="83">
        <v>1600</v>
      </c>
    </row>
    <row r="92" spans="1:5" ht="15.6" x14ac:dyDescent="0.3">
      <c r="A92" s="5">
        <v>88</v>
      </c>
      <c r="B92" s="24">
        <v>43252</v>
      </c>
      <c r="C92" s="99" t="s">
        <v>1283</v>
      </c>
      <c r="D92" s="82"/>
      <c r="E92" s="83">
        <v>8000</v>
      </c>
    </row>
    <row r="93" spans="1:5" ht="15.6" x14ac:dyDescent="0.3">
      <c r="A93" s="5">
        <v>89</v>
      </c>
      <c r="B93" s="24">
        <v>43252</v>
      </c>
      <c r="C93" s="99" t="s">
        <v>1212</v>
      </c>
      <c r="D93" s="82"/>
      <c r="E93" s="83">
        <v>2000</v>
      </c>
    </row>
    <row r="94" spans="1:5" ht="15.6" x14ac:dyDescent="0.3">
      <c r="A94" s="5">
        <v>90</v>
      </c>
      <c r="B94" s="24">
        <v>43252</v>
      </c>
      <c r="C94" s="99" t="s">
        <v>1286</v>
      </c>
      <c r="D94" s="82"/>
      <c r="E94" s="83">
        <v>4000</v>
      </c>
    </row>
    <row r="95" spans="1:5" ht="15.6" x14ac:dyDescent="0.3">
      <c r="A95" s="5">
        <v>91</v>
      </c>
      <c r="B95" s="24">
        <v>43252</v>
      </c>
      <c r="C95" s="99" t="s">
        <v>1288</v>
      </c>
      <c r="D95" s="82"/>
      <c r="E95" s="83">
        <v>800</v>
      </c>
    </row>
    <row r="96" spans="1:5" ht="15.6" x14ac:dyDescent="0.3">
      <c r="A96" s="5">
        <v>92</v>
      </c>
      <c r="B96" s="24">
        <v>43252</v>
      </c>
      <c r="C96" s="99" t="s">
        <v>1290</v>
      </c>
      <c r="D96" s="82"/>
      <c r="E96" s="83">
        <v>1600</v>
      </c>
    </row>
    <row r="97" spans="1:7" ht="15.6" x14ac:dyDescent="0.3">
      <c r="A97" s="5">
        <v>93</v>
      </c>
      <c r="B97" s="24">
        <v>43252</v>
      </c>
      <c r="C97" s="99" t="s">
        <v>1292</v>
      </c>
      <c r="D97" s="82"/>
      <c r="E97" s="83">
        <v>3000</v>
      </c>
    </row>
    <row r="98" spans="1:7" ht="15.6" x14ac:dyDescent="0.3">
      <c r="A98" s="5">
        <v>94</v>
      </c>
      <c r="B98" s="24">
        <v>43252</v>
      </c>
      <c r="C98" s="99" t="s">
        <v>1294</v>
      </c>
      <c r="D98" s="82"/>
      <c r="E98" s="83">
        <v>3000</v>
      </c>
    </row>
    <row r="99" spans="1:7" ht="15.6" x14ac:dyDescent="0.3">
      <c r="A99" s="5">
        <v>95</v>
      </c>
      <c r="B99" s="24">
        <v>43258</v>
      </c>
      <c r="C99" s="102" t="s">
        <v>9</v>
      </c>
      <c r="D99" s="82"/>
      <c r="E99" s="83">
        <v>1200</v>
      </c>
    </row>
    <row r="100" spans="1:7" ht="15.6" x14ac:dyDescent="0.3">
      <c r="A100" s="5">
        <v>96</v>
      </c>
      <c r="B100" s="24">
        <v>43258</v>
      </c>
      <c r="C100" s="102" t="s">
        <v>11</v>
      </c>
      <c r="D100" s="82"/>
      <c r="E100" s="83">
        <v>2000</v>
      </c>
    </row>
    <row r="101" spans="1:7" x14ac:dyDescent="0.3">
      <c r="A101" s="5">
        <v>97</v>
      </c>
      <c r="B101" s="24">
        <v>43264</v>
      </c>
      <c r="C101" s="100" t="s">
        <v>1298</v>
      </c>
      <c r="D101" s="93">
        <v>300000</v>
      </c>
      <c r="E101" s="65"/>
    </row>
    <row r="102" spans="1:7" ht="15.6" x14ac:dyDescent="0.3">
      <c r="A102" s="5">
        <v>98</v>
      </c>
      <c r="B102" s="24">
        <v>43282</v>
      </c>
      <c r="C102" s="103" t="s">
        <v>1300</v>
      </c>
      <c r="D102" s="82"/>
      <c r="E102" s="83">
        <v>3200</v>
      </c>
    </row>
    <row r="103" spans="1:7" ht="15.6" x14ac:dyDescent="0.3">
      <c r="A103" s="5">
        <v>99</v>
      </c>
      <c r="B103" s="24">
        <v>43282</v>
      </c>
      <c r="C103" s="99" t="s">
        <v>1302</v>
      </c>
      <c r="D103" s="82"/>
      <c r="E103" s="114">
        <v>401000</v>
      </c>
      <c r="F103" t="s">
        <v>1467</v>
      </c>
    </row>
    <row r="104" spans="1:7" ht="15.6" x14ac:dyDescent="0.3">
      <c r="A104" s="5">
        <v>100</v>
      </c>
      <c r="B104" s="24">
        <v>43282</v>
      </c>
      <c r="C104" s="99" t="s">
        <v>1304</v>
      </c>
      <c r="D104" s="82"/>
      <c r="E104" s="114">
        <v>80000</v>
      </c>
      <c r="F104" t="s">
        <v>1468</v>
      </c>
    </row>
    <row r="105" spans="1:7" x14ac:dyDescent="0.3">
      <c r="A105" s="5">
        <v>101</v>
      </c>
      <c r="B105" s="24">
        <v>43282</v>
      </c>
      <c r="C105" s="99" t="s">
        <v>1306</v>
      </c>
      <c r="D105" s="82">
        <v>0</v>
      </c>
      <c r="E105" s="65"/>
    </row>
    <row r="106" spans="1:7" ht="15.6" x14ac:dyDescent="0.3">
      <c r="A106" s="5">
        <v>102</v>
      </c>
      <c r="B106" s="24">
        <v>43282</v>
      </c>
      <c r="C106" s="99" t="s">
        <v>1308</v>
      </c>
      <c r="D106" s="82"/>
      <c r="E106" s="114">
        <v>510800</v>
      </c>
      <c r="F106" t="s">
        <v>1469</v>
      </c>
    </row>
    <row r="107" spans="1:7" x14ac:dyDescent="0.3">
      <c r="A107" s="5">
        <v>103</v>
      </c>
      <c r="B107" s="24">
        <v>43282</v>
      </c>
      <c r="C107" s="99" t="s">
        <v>1310</v>
      </c>
      <c r="D107" s="82">
        <v>0</v>
      </c>
      <c r="E107" s="65"/>
    </row>
    <row r="108" spans="1:7" ht="15.6" x14ac:dyDescent="0.3">
      <c r="A108" s="5">
        <v>104</v>
      </c>
      <c r="B108" s="24">
        <v>43282</v>
      </c>
      <c r="C108" s="99" t="s">
        <v>1312</v>
      </c>
      <c r="D108" s="82"/>
      <c r="E108" s="114">
        <v>1992000</v>
      </c>
      <c r="F108" t="s">
        <v>1470</v>
      </c>
      <c r="G108" s="74"/>
    </row>
    <row r="109" spans="1:7" ht="15.6" x14ac:dyDescent="0.3">
      <c r="A109" s="5">
        <v>105</v>
      </c>
      <c r="B109" s="24">
        <v>43282</v>
      </c>
      <c r="C109" s="99" t="s">
        <v>1314</v>
      </c>
      <c r="D109" s="82"/>
      <c r="E109" s="114">
        <v>700000</v>
      </c>
    </row>
    <row r="110" spans="1:7" ht="15.6" x14ac:dyDescent="0.3">
      <c r="A110" s="5">
        <v>106</v>
      </c>
      <c r="B110" s="24">
        <v>43298</v>
      </c>
      <c r="C110" s="102" t="s">
        <v>7</v>
      </c>
      <c r="D110" s="82"/>
      <c r="E110" s="83">
        <v>1000</v>
      </c>
    </row>
    <row r="111" spans="1:7" ht="15.6" x14ac:dyDescent="0.3">
      <c r="A111" s="5">
        <v>107</v>
      </c>
      <c r="B111" s="24">
        <v>43299</v>
      </c>
      <c r="C111" s="102" t="s">
        <v>7</v>
      </c>
      <c r="D111" s="82"/>
      <c r="E111" s="83">
        <v>1000</v>
      </c>
    </row>
    <row r="112" spans="1:7" ht="15.6" x14ac:dyDescent="0.3">
      <c r="A112" s="5">
        <v>108</v>
      </c>
      <c r="B112" s="24">
        <v>43305</v>
      </c>
      <c r="C112" s="104" t="s">
        <v>1318</v>
      </c>
      <c r="D112" s="82"/>
      <c r="E112" s="83">
        <v>500</v>
      </c>
    </row>
    <row r="113" spans="1:5" ht="15.6" x14ac:dyDescent="0.3">
      <c r="A113" s="5">
        <v>109</v>
      </c>
      <c r="B113" s="24">
        <v>43305</v>
      </c>
      <c r="C113" s="105" t="s">
        <v>1163</v>
      </c>
      <c r="D113" s="82"/>
      <c r="E113" s="83">
        <v>100</v>
      </c>
    </row>
    <row r="114" spans="1:5" ht="15.6" x14ac:dyDescent="0.3">
      <c r="A114" s="5">
        <v>110</v>
      </c>
      <c r="B114" s="24">
        <v>43305</v>
      </c>
      <c r="C114" s="105" t="s">
        <v>1321</v>
      </c>
      <c r="D114" s="82"/>
      <c r="E114" s="83">
        <v>60</v>
      </c>
    </row>
    <row r="115" spans="1:5" ht="15.6" x14ac:dyDescent="0.3">
      <c r="A115" s="5">
        <v>111</v>
      </c>
      <c r="B115" s="24">
        <v>43305</v>
      </c>
      <c r="C115" s="100" t="s">
        <v>1250</v>
      </c>
      <c r="D115" s="82"/>
      <c r="E115" s="83">
        <v>5000</v>
      </c>
    </row>
    <row r="116" spans="1:5" ht="15.6" x14ac:dyDescent="0.3">
      <c r="A116" s="5">
        <v>112</v>
      </c>
      <c r="B116" s="24">
        <v>43305</v>
      </c>
      <c r="C116" s="100" t="s">
        <v>1324</v>
      </c>
      <c r="D116" s="82"/>
      <c r="E116" s="83">
        <v>3200</v>
      </c>
    </row>
    <row r="117" spans="1:5" ht="15.6" x14ac:dyDescent="0.3">
      <c r="A117" s="5">
        <v>113</v>
      </c>
      <c r="B117" s="24">
        <v>43305</v>
      </c>
      <c r="C117" s="100" t="s">
        <v>219</v>
      </c>
      <c r="D117" s="82"/>
      <c r="E117" s="83">
        <v>200</v>
      </c>
    </row>
    <row r="118" spans="1:5" ht="15.6" x14ac:dyDescent="0.3">
      <c r="A118" s="5">
        <v>114</v>
      </c>
      <c r="B118" s="24">
        <v>43305</v>
      </c>
      <c r="C118" s="100" t="s">
        <v>1327</v>
      </c>
      <c r="D118" s="82"/>
      <c r="E118" s="83">
        <v>1500</v>
      </c>
    </row>
    <row r="119" spans="1:5" ht="15.6" x14ac:dyDescent="0.3">
      <c r="A119" s="5">
        <v>115</v>
      </c>
      <c r="B119" s="24">
        <v>43312</v>
      </c>
      <c r="C119" s="100" t="s">
        <v>1329</v>
      </c>
      <c r="D119" s="82"/>
      <c r="E119" s="83">
        <v>2000</v>
      </c>
    </row>
    <row r="120" spans="1:5" ht="15.6" x14ac:dyDescent="0.3">
      <c r="A120" s="5">
        <v>116</v>
      </c>
      <c r="B120" s="24">
        <v>43312</v>
      </c>
      <c r="C120" s="99" t="s">
        <v>1331</v>
      </c>
      <c r="D120" s="82"/>
      <c r="E120" s="83">
        <v>1600</v>
      </c>
    </row>
    <row r="121" spans="1:5" ht="15.6" x14ac:dyDescent="0.3">
      <c r="A121" s="5">
        <v>117</v>
      </c>
      <c r="B121" s="24">
        <v>43329</v>
      </c>
      <c r="C121" s="106" t="s">
        <v>9</v>
      </c>
      <c r="D121" s="82"/>
      <c r="E121" s="83">
        <v>1000</v>
      </c>
    </row>
    <row r="122" spans="1:5" ht="15.6" x14ac:dyDescent="0.3">
      <c r="A122" s="5">
        <v>118</v>
      </c>
      <c r="B122" s="24">
        <v>43329</v>
      </c>
      <c r="C122" s="106" t="s">
        <v>1334</v>
      </c>
      <c r="D122" s="82"/>
      <c r="E122" s="83">
        <v>200</v>
      </c>
    </row>
    <row r="123" spans="1:5" x14ac:dyDescent="0.3">
      <c r="A123" s="5">
        <v>119</v>
      </c>
      <c r="B123" s="24">
        <v>43331</v>
      </c>
      <c r="C123" s="100" t="s">
        <v>1336</v>
      </c>
      <c r="D123" s="93">
        <v>400000</v>
      </c>
      <c r="E123" s="65"/>
    </row>
    <row r="124" spans="1:5" ht="15.6" x14ac:dyDescent="0.3">
      <c r="A124" s="5">
        <v>120</v>
      </c>
      <c r="B124" s="24">
        <v>43333</v>
      </c>
      <c r="C124" s="106" t="s">
        <v>1338</v>
      </c>
      <c r="D124" s="82"/>
      <c r="E124" s="83">
        <v>550</v>
      </c>
    </row>
    <row r="125" spans="1:5" ht="15.6" x14ac:dyDescent="0.3">
      <c r="A125" s="5">
        <v>121</v>
      </c>
      <c r="B125" s="24">
        <v>43333</v>
      </c>
      <c r="C125" s="106" t="s">
        <v>1321</v>
      </c>
      <c r="D125" s="82"/>
      <c r="E125" s="83">
        <v>200</v>
      </c>
    </row>
    <row r="126" spans="1:5" ht="15.6" x14ac:dyDescent="0.3">
      <c r="A126" s="5">
        <v>122</v>
      </c>
      <c r="B126" s="24">
        <v>43333</v>
      </c>
      <c r="C126" s="106" t="s">
        <v>1341</v>
      </c>
      <c r="D126" s="82"/>
      <c r="E126" s="83">
        <v>2000</v>
      </c>
    </row>
    <row r="127" spans="1:5" ht="15.6" x14ac:dyDescent="0.3">
      <c r="A127" s="5">
        <v>123</v>
      </c>
      <c r="B127" s="24">
        <v>43333</v>
      </c>
      <c r="C127" s="106" t="s">
        <v>9</v>
      </c>
      <c r="D127" s="82"/>
      <c r="E127" s="83">
        <v>2000</v>
      </c>
    </row>
    <row r="128" spans="1:5" ht="15.6" x14ac:dyDescent="0.3">
      <c r="A128" s="5">
        <v>124</v>
      </c>
      <c r="B128" s="24">
        <v>43333</v>
      </c>
      <c r="C128" s="106" t="s">
        <v>1452</v>
      </c>
      <c r="D128" s="82"/>
      <c r="E128" s="83">
        <v>2500</v>
      </c>
    </row>
    <row r="129" spans="1:5" ht="15.6" x14ac:dyDescent="0.3">
      <c r="A129" s="5">
        <v>125</v>
      </c>
      <c r="B129" s="24">
        <v>43333</v>
      </c>
      <c r="C129" s="106" t="s">
        <v>12</v>
      </c>
      <c r="D129" s="82"/>
      <c r="E129" s="83">
        <v>2500</v>
      </c>
    </row>
    <row r="130" spans="1:5" ht="15.6" x14ac:dyDescent="0.3">
      <c r="A130" s="5">
        <v>126</v>
      </c>
      <c r="B130" s="24">
        <v>43333</v>
      </c>
      <c r="C130" s="106" t="s">
        <v>1347</v>
      </c>
      <c r="D130" s="82"/>
      <c r="E130" s="83">
        <v>1200</v>
      </c>
    </row>
    <row r="131" spans="1:5" ht="15.6" x14ac:dyDescent="0.3">
      <c r="A131" s="5">
        <v>127</v>
      </c>
      <c r="B131" s="24">
        <v>43333</v>
      </c>
      <c r="C131" s="106" t="s">
        <v>1349</v>
      </c>
      <c r="D131" s="82"/>
      <c r="E131" s="114">
        <v>100000</v>
      </c>
    </row>
    <row r="132" spans="1:5" ht="15.6" x14ac:dyDescent="0.3">
      <c r="A132" s="5">
        <v>128</v>
      </c>
      <c r="B132" s="24">
        <v>43333</v>
      </c>
      <c r="C132" s="106" t="s">
        <v>32</v>
      </c>
      <c r="D132" s="82"/>
      <c r="E132" s="90">
        <v>40000</v>
      </c>
    </row>
    <row r="133" spans="1:5" ht="15.6" x14ac:dyDescent="0.3">
      <c r="A133" s="5">
        <v>129</v>
      </c>
      <c r="B133" s="24">
        <v>43333</v>
      </c>
      <c r="C133" s="106" t="s">
        <v>1352</v>
      </c>
      <c r="D133" s="82"/>
      <c r="E133" s="83">
        <v>20000</v>
      </c>
    </row>
    <row r="134" spans="1:5" ht="15.6" x14ac:dyDescent="0.3">
      <c r="A134" s="5">
        <v>130</v>
      </c>
      <c r="B134" s="24">
        <v>43338</v>
      </c>
      <c r="C134" s="106" t="s">
        <v>29</v>
      </c>
      <c r="D134" s="82"/>
      <c r="E134" s="83">
        <v>2500</v>
      </c>
    </row>
    <row r="135" spans="1:5" ht="15.6" x14ac:dyDescent="0.3">
      <c r="A135" s="5">
        <v>131</v>
      </c>
      <c r="B135" s="24">
        <v>43338</v>
      </c>
      <c r="C135" s="106" t="s">
        <v>104</v>
      </c>
      <c r="D135" s="82"/>
      <c r="E135" s="83">
        <v>270</v>
      </c>
    </row>
    <row r="136" spans="1:5" ht="15.6" x14ac:dyDescent="0.3">
      <c r="A136" s="5">
        <v>132</v>
      </c>
      <c r="B136" s="24">
        <v>43340</v>
      </c>
      <c r="C136" s="106" t="s">
        <v>1356</v>
      </c>
      <c r="D136" s="82"/>
      <c r="E136" s="83">
        <v>30</v>
      </c>
    </row>
    <row r="137" spans="1:5" ht="15.6" x14ac:dyDescent="0.3">
      <c r="A137" s="5">
        <v>133</v>
      </c>
      <c r="B137" s="24">
        <v>43342</v>
      </c>
      <c r="C137" s="106" t="s">
        <v>1358</v>
      </c>
      <c r="D137" s="82"/>
      <c r="E137" s="83">
        <v>170</v>
      </c>
    </row>
    <row r="138" spans="1:5" ht="15.6" x14ac:dyDescent="0.3">
      <c r="A138" s="5">
        <v>134</v>
      </c>
      <c r="B138" s="24">
        <v>43342</v>
      </c>
      <c r="C138" s="106" t="s">
        <v>9</v>
      </c>
      <c r="D138" s="82"/>
      <c r="E138" s="83">
        <v>1000</v>
      </c>
    </row>
    <row r="139" spans="1:5" ht="15.6" x14ac:dyDescent="0.3">
      <c r="A139" s="5">
        <v>135</v>
      </c>
      <c r="B139" s="24">
        <v>43342</v>
      </c>
      <c r="C139" s="106" t="s">
        <v>32</v>
      </c>
      <c r="D139" s="82"/>
      <c r="E139" s="90">
        <v>5000</v>
      </c>
    </row>
    <row r="140" spans="1:5" ht="15.6" x14ac:dyDescent="0.3">
      <c r="A140" s="5">
        <v>136</v>
      </c>
      <c r="B140" s="24">
        <v>43343</v>
      </c>
      <c r="C140" s="106" t="s">
        <v>9</v>
      </c>
      <c r="D140" s="82"/>
      <c r="E140" s="83">
        <v>500</v>
      </c>
    </row>
    <row r="141" spans="1:5" ht="15.6" x14ac:dyDescent="0.3">
      <c r="A141" s="5">
        <v>137</v>
      </c>
      <c r="B141" s="24">
        <v>43343</v>
      </c>
      <c r="C141" s="106" t="s">
        <v>1329</v>
      </c>
      <c r="D141" s="82"/>
      <c r="E141" s="83">
        <v>1000</v>
      </c>
    </row>
    <row r="142" spans="1:5" ht="15.6" x14ac:dyDescent="0.3">
      <c r="A142" s="5">
        <v>138</v>
      </c>
      <c r="B142" s="24">
        <v>43344</v>
      </c>
      <c r="C142" s="99" t="s">
        <v>29</v>
      </c>
      <c r="D142" s="82"/>
      <c r="E142" s="83">
        <v>1000</v>
      </c>
    </row>
    <row r="143" spans="1:5" ht="15.6" x14ac:dyDescent="0.3">
      <c r="A143" s="5">
        <v>139</v>
      </c>
      <c r="B143" s="24">
        <v>43348</v>
      </c>
      <c r="C143" s="99" t="s">
        <v>34</v>
      </c>
      <c r="D143" s="82"/>
      <c r="E143" s="83">
        <v>468</v>
      </c>
    </row>
    <row r="144" spans="1:5" ht="15.6" x14ac:dyDescent="0.3">
      <c r="A144" s="5">
        <v>140</v>
      </c>
      <c r="B144" s="24">
        <v>43348</v>
      </c>
      <c r="C144" s="99" t="s">
        <v>9</v>
      </c>
      <c r="D144" s="82"/>
      <c r="E144" s="83">
        <v>500</v>
      </c>
    </row>
    <row r="145" spans="1:5" ht="15.6" x14ac:dyDescent="0.3">
      <c r="A145" s="5">
        <v>141</v>
      </c>
      <c r="B145" s="24">
        <v>43350</v>
      </c>
      <c r="C145" s="99" t="s">
        <v>1367</v>
      </c>
      <c r="D145" s="82"/>
      <c r="E145" s="83">
        <v>350</v>
      </c>
    </row>
    <row r="146" spans="1:5" ht="15.6" x14ac:dyDescent="0.3">
      <c r="A146" s="5">
        <v>142</v>
      </c>
      <c r="B146" s="24">
        <v>43353</v>
      </c>
      <c r="C146" s="99" t="s">
        <v>1369</v>
      </c>
      <c r="D146" s="82"/>
      <c r="E146" s="83">
        <v>500</v>
      </c>
    </row>
    <row r="147" spans="1:5" ht="15.6" x14ac:dyDescent="0.3">
      <c r="A147" s="5">
        <v>143</v>
      </c>
      <c r="B147" s="24">
        <v>43353</v>
      </c>
      <c r="C147" s="102" t="s">
        <v>1371</v>
      </c>
      <c r="D147" s="82"/>
      <c r="E147" s="83">
        <v>200</v>
      </c>
    </row>
    <row r="148" spans="1:5" ht="15.6" x14ac:dyDescent="0.3">
      <c r="A148" s="5">
        <v>144</v>
      </c>
      <c r="B148" s="24">
        <v>43354</v>
      </c>
      <c r="C148" s="99" t="s">
        <v>9</v>
      </c>
      <c r="D148" s="82"/>
      <c r="E148" s="83">
        <v>1000</v>
      </c>
    </row>
    <row r="149" spans="1:5" ht="15.6" x14ac:dyDescent="0.3">
      <c r="A149" s="5">
        <v>145</v>
      </c>
      <c r="B149" s="24">
        <v>43355</v>
      </c>
      <c r="C149" s="102" t="s">
        <v>1374</v>
      </c>
      <c r="D149" s="82"/>
      <c r="E149" s="83">
        <v>3000</v>
      </c>
    </row>
    <row r="150" spans="1:5" ht="15.6" x14ac:dyDescent="0.3">
      <c r="A150" s="5">
        <v>146</v>
      </c>
      <c r="B150" s="24">
        <v>43358</v>
      </c>
      <c r="C150" s="99" t="s">
        <v>1163</v>
      </c>
      <c r="D150" s="82"/>
      <c r="E150" s="83">
        <v>500</v>
      </c>
    </row>
    <row r="151" spans="1:5" ht="15.6" x14ac:dyDescent="0.3">
      <c r="A151" s="5">
        <v>147</v>
      </c>
      <c r="B151" s="24">
        <v>43358</v>
      </c>
      <c r="C151" s="99" t="s">
        <v>9</v>
      </c>
      <c r="D151" s="82"/>
      <c r="E151" s="83">
        <v>1000</v>
      </c>
    </row>
    <row r="152" spans="1:5" ht="15.6" x14ac:dyDescent="0.3">
      <c r="A152" s="5">
        <v>148</v>
      </c>
      <c r="B152" s="24">
        <v>43358</v>
      </c>
      <c r="C152" s="99" t="s">
        <v>1453</v>
      </c>
      <c r="D152" s="82"/>
      <c r="E152" s="83">
        <v>900</v>
      </c>
    </row>
    <row r="153" spans="1:5" ht="28.8" x14ac:dyDescent="0.3">
      <c r="A153" s="5">
        <v>149</v>
      </c>
      <c r="B153" s="24">
        <v>43367</v>
      </c>
      <c r="C153" s="100" t="s">
        <v>1382</v>
      </c>
      <c r="D153" s="93">
        <v>150000</v>
      </c>
      <c r="E153" s="65"/>
    </row>
    <row r="154" spans="1:5" x14ac:dyDescent="0.3">
      <c r="A154" s="5">
        <v>150</v>
      </c>
      <c r="B154" s="31">
        <v>43402</v>
      </c>
      <c r="C154" s="99" t="s">
        <v>1384</v>
      </c>
      <c r="D154" s="92">
        <v>100000</v>
      </c>
      <c r="E154" s="65"/>
    </row>
    <row r="155" spans="1:5" ht="15.6" x14ac:dyDescent="0.3">
      <c r="A155" s="5">
        <v>151</v>
      </c>
      <c r="B155" s="43">
        <v>43427</v>
      </c>
      <c r="C155" s="103" t="s">
        <v>1386</v>
      </c>
      <c r="D155" s="82"/>
      <c r="E155" s="83">
        <v>9000</v>
      </c>
    </row>
    <row r="156" spans="1:5" x14ac:dyDescent="0.3">
      <c r="A156" s="5">
        <v>152</v>
      </c>
      <c r="B156" s="31">
        <v>43536</v>
      </c>
      <c r="C156" s="99" t="s">
        <v>1388</v>
      </c>
      <c r="D156" s="92">
        <v>300000</v>
      </c>
      <c r="E156" s="65"/>
    </row>
    <row r="157" spans="1:5" x14ac:dyDescent="0.3">
      <c r="A157" s="5">
        <v>153</v>
      </c>
      <c r="B157" s="43">
        <v>43601</v>
      </c>
      <c r="C157" s="99" t="s">
        <v>1390</v>
      </c>
      <c r="D157" s="92">
        <v>150000</v>
      </c>
      <c r="E157" s="65"/>
    </row>
    <row r="158" spans="1:5" x14ac:dyDescent="0.3">
      <c r="A158" s="5">
        <v>154</v>
      </c>
      <c r="B158" s="24">
        <v>43687</v>
      </c>
      <c r="C158" s="99" t="s">
        <v>1392</v>
      </c>
      <c r="D158" s="92">
        <v>200000</v>
      </c>
      <c r="E158" s="65"/>
    </row>
    <row r="159" spans="1:5" x14ac:dyDescent="0.3">
      <c r="A159" s="50"/>
      <c r="B159" s="51"/>
      <c r="C159" s="55"/>
      <c r="D159" s="86"/>
    </row>
    <row r="160" spans="1:5" x14ac:dyDescent="0.3">
      <c r="A160" s="50"/>
      <c r="B160" s="51"/>
      <c r="C160" s="55"/>
      <c r="D160" s="87">
        <f>SUM(D5:D158)</f>
        <v>4284700</v>
      </c>
      <c r="E160" s="87">
        <f>SUM(E5:E158)</f>
        <v>4486372</v>
      </c>
    </row>
    <row r="161" spans="1:5" x14ac:dyDescent="0.3">
      <c r="A161" s="50"/>
      <c r="B161" s="51"/>
      <c r="C161" s="55"/>
      <c r="D161" s="87"/>
      <c r="E161" s="88">
        <f>E160-D160</f>
        <v>201672</v>
      </c>
    </row>
    <row r="162" spans="1:5" x14ac:dyDescent="0.3">
      <c r="A162" s="50"/>
      <c r="B162" s="51"/>
      <c r="C162" s="55"/>
      <c r="D162" s="87"/>
    </row>
    <row r="163" spans="1:5" x14ac:dyDescent="0.3">
      <c r="A163" s="50"/>
      <c r="B163" s="51"/>
      <c r="C163" s="55"/>
      <c r="D163" s="87"/>
      <c r="E163" s="88"/>
    </row>
    <row r="164" spans="1:5" x14ac:dyDescent="0.3">
      <c r="A164" s="50"/>
      <c r="B164" s="51"/>
      <c r="C164" s="55"/>
      <c r="D164" s="87"/>
    </row>
    <row r="165" spans="1:5" x14ac:dyDescent="0.3">
      <c r="A165" s="50"/>
      <c r="B165" s="51"/>
      <c r="C165" s="55"/>
      <c r="D165" s="87"/>
    </row>
    <row r="166" spans="1:5" x14ac:dyDescent="0.3">
      <c r="A166" s="50"/>
      <c r="B166" s="51"/>
      <c r="C166" s="55"/>
      <c r="D166" s="87"/>
    </row>
    <row r="167" spans="1:5" x14ac:dyDescent="0.3">
      <c r="A167" s="50"/>
      <c r="B167" s="51"/>
      <c r="C167" s="55"/>
      <c r="D167" s="87"/>
    </row>
    <row r="168" spans="1:5" x14ac:dyDescent="0.3">
      <c r="A168" s="50"/>
      <c r="B168" s="51"/>
      <c r="C168" s="55"/>
      <c r="D168" s="87"/>
    </row>
    <row r="169" spans="1:5" x14ac:dyDescent="0.3">
      <c r="A169" s="50"/>
      <c r="B169" s="51"/>
      <c r="C169" s="55"/>
      <c r="D169" s="87"/>
    </row>
    <row r="170" spans="1:5" x14ac:dyDescent="0.3">
      <c r="A170" s="50"/>
      <c r="B170" s="51"/>
      <c r="C170" s="55"/>
      <c r="D170" s="87"/>
    </row>
    <row r="171" spans="1:5" x14ac:dyDescent="0.3">
      <c r="A171" s="50"/>
      <c r="B171" s="51"/>
      <c r="C171" s="55"/>
      <c r="D171" s="87"/>
    </row>
    <row r="172" spans="1:5" x14ac:dyDescent="0.3">
      <c r="A172" s="50"/>
      <c r="B172" s="51"/>
      <c r="C172" s="55"/>
      <c r="D172" s="87"/>
    </row>
    <row r="173" spans="1:5" x14ac:dyDescent="0.3">
      <c r="A173" s="50"/>
      <c r="B173" s="51"/>
      <c r="C173" s="55"/>
      <c r="D173" s="87"/>
    </row>
    <row r="174" spans="1:5" x14ac:dyDescent="0.3">
      <c r="A174" s="50"/>
      <c r="B174" s="51"/>
      <c r="C174" s="55"/>
      <c r="D174" s="87"/>
    </row>
    <row r="175" spans="1:5" x14ac:dyDescent="0.3">
      <c r="A175" s="50"/>
      <c r="B175" s="51"/>
      <c r="C175" s="55"/>
      <c r="D175" s="87"/>
    </row>
    <row r="176" spans="1:5" x14ac:dyDescent="0.3">
      <c r="A176" s="50"/>
      <c r="B176" s="51"/>
      <c r="C176" s="52"/>
      <c r="D176" s="87"/>
    </row>
    <row r="177" spans="1:4" x14ac:dyDescent="0.3">
      <c r="A177" s="50"/>
      <c r="B177" s="51"/>
      <c r="C177" s="52"/>
      <c r="D177" s="87"/>
    </row>
    <row r="178" spans="1:4" x14ac:dyDescent="0.3">
      <c r="A178" s="50"/>
      <c r="B178" s="51"/>
      <c r="C178" s="52"/>
      <c r="D178" s="87"/>
    </row>
    <row r="179" spans="1:4" x14ac:dyDescent="0.3">
      <c r="A179" s="50"/>
      <c r="B179" s="51"/>
      <c r="C179" s="52"/>
      <c r="D179" s="87"/>
    </row>
    <row r="180" spans="1:4" x14ac:dyDescent="0.3">
      <c r="A180" s="50"/>
      <c r="B180" s="51"/>
      <c r="C180" s="52"/>
      <c r="D180" s="87"/>
    </row>
    <row r="181" spans="1:4" x14ac:dyDescent="0.3">
      <c r="A181" s="50"/>
      <c r="B181" s="51"/>
      <c r="C181" s="52"/>
      <c r="D181" s="87"/>
    </row>
    <row r="182" spans="1:4" x14ac:dyDescent="0.3">
      <c r="A182" s="50"/>
      <c r="B182" s="51"/>
      <c r="C182" s="52"/>
      <c r="D182" s="87"/>
    </row>
    <row r="183" spans="1:4" x14ac:dyDescent="0.3">
      <c r="A183" s="50"/>
      <c r="B183" s="51"/>
      <c r="C183" s="52"/>
      <c r="D183" s="87"/>
    </row>
    <row r="184" spans="1:4" x14ac:dyDescent="0.3">
      <c r="A184" s="50"/>
      <c r="B184" s="51"/>
      <c r="C184" s="52"/>
      <c r="D184" s="87"/>
    </row>
    <row r="185" spans="1:4" x14ac:dyDescent="0.3">
      <c r="A185" s="50"/>
      <c r="B185" s="51"/>
      <c r="C185" s="52"/>
      <c r="D185" s="87"/>
    </row>
    <row r="186" spans="1:4" x14ac:dyDescent="0.3">
      <c r="A186" s="50"/>
      <c r="B186" s="51"/>
      <c r="C186" s="55"/>
      <c r="D186" s="87"/>
    </row>
    <row r="187" spans="1:4" x14ac:dyDescent="0.3">
      <c r="A187" s="50"/>
      <c r="B187" s="51"/>
      <c r="C187" s="55"/>
      <c r="D187" s="87"/>
    </row>
    <row r="188" spans="1:4" x14ac:dyDescent="0.3">
      <c r="A188" s="50"/>
      <c r="B188" s="51"/>
      <c r="C188" s="55"/>
      <c r="D188" s="87"/>
    </row>
    <row r="189" spans="1:4" x14ac:dyDescent="0.3">
      <c r="A189" s="50"/>
      <c r="B189" s="51"/>
      <c r="C189" s="55"/>
      <c r="D189" s="87"/>
    </row>
    <row r="190" spans="1:4" x14ac:dyDescent="0.3">
      <c r="A190" s="50"/>
      <c r="B190" s="51"/>
      <c r="C190" s="55"/>
      <c r="D190" s="87"/>
    </row>
    <row r="191" spans="1:4" x14ac:dyDescent="0.3">
      <c r="A191" s="50"/>
      <c r="B191" s="51"/>
      <c r="C191" s="57"/>
      <c r="D191" s="87"/>
    </row>
    <row r="192" spans="1:4" x14ac:dyDescent="0.3">
      <c r="A192" s="50"/>
      <c r="B192" s="51"/>
      <c r="C192" s="52"/>
      <c r="D192" s="87"/>
    </row>
    <row r="193" spans="1:4" x14ac:dyDescent="0.3">
      <c r="A193" s="50"/>
      <c r="B193" s="51"/>
      <c r="C193" s="52"/>
      <c r="D193" s="87"/>
    </row>
    <row r="194" spans="1:4" x14ac:dyDescent="0.3">
      <c r="A194" s="50"/>
      <c r="B194" s="51"/>
      <c r="C194" s="52"/>
      <c r="D194" s="87"/>
    </row>
    <row r="195" spans="1:4" x14ac:dyDescent="0.3">
      <c r="A195" s="50"/>
      <c r="B195" s="51"/>
      <c r="C195" s="52"/>
      <c r="D195" s="87"/>
    </row>
    <row r="196" spans="1:4" x14ac:dyDescent="0.3">
      <c r="A196" s="50"/>
      <c r="B196" s="51"/>
      <c r="C196" s="52"/>
      <c r="D196" s="87"/>
    </row>
    <row r="197" spans="1:4" x14ac:dyDescent="0.3">
      <c r="A197" s="50"/>
      <c r="B197" s="51"/>
      <c r="C197" s="52"/>
      <c r="D197" s="87"/>
    </row>
    <row r="198" spans="1:4" x14ac:dyDescent="0.3">
      <c r="A198" s="50"/>
      <c r="B198" s="51"/>
      <c r="C198" s="52"/>
      <c r="D198" s="87"/>
    </row>
    <row r="199" spans="1:4" x14ac:dyDescent="0.3">
      <c r="A199" s="50"/>
      <c r="B199" s="51"/>
      <c r="C199" s="52"/>
      <c r="D199" s="87"/>
    </row>
    <row r="200" spans="1:4" x14ac:dyDescent="0.3">
      <c r="A200" s="50"/>
      <c r="B200" s="51"/>
      <c r="C200" s="52"/>
      <c r="D200" s="87"/>
    </row>
    <row r="201" spans="1:4" x14ac:dyDescent="0.3">
      <c r="A201" s="50"/>
      <c r="B201" s="51"/>
      <c r="C201" s="52"/>
      <c r="D201" s="87"/>
    </row>
    <row r="202" spans="1:4" x14ac:dyDescent="0.3">
      <c r="A202" s="50"/>
      <c r="B202" s="51"/>
      <c r="C202" s="52"/>
      <c r="D202" s="87"/>
    </row>
    <row r="203" spans="1:4" x14ac:dyDescent="0.3">
      <c r="A203" s="50"/>
      <c r="B203" s="51"/>
      <c r="C203" s="52"/>
      <c r="D203" s="87"/>
    </row>
    <row r="204" spans="1:4" x14ac:dyDescent="0.3">
      <c r="A204" s="50"/>
      <c r="B204" s="51"/>
      <c r="C204" s="52"/>
      <c r="D204" s="87"/>
    </row>
    <row r="205" spans="1:4" x14ac:dyDescent="0.3">
      <c r="A205" s="50"/>
      <c r="B205" s="51"/>
      <c r="C205" s="58"/>
      <c r="D205" s="87"/>
    </row>
    <row r="206" spans="1:4" x14ac:dyDescent="0.3">
      <c r="A206" s="50"/>
      <c r="B206" s="51"/>
      <c r="C206" s="58"/>
      <c r="D206" s="87"/>
    </row>
    <row r="207" spans="1:4" x14ac:dyDescent="0.3">
      <c r="A207" s="50"/>
      <c r="B207" s="51"/>
      <c r="C207" s="55"/>
      <c r="D207" s="87"/>
    </row>
    <row r="208" spans="1:4" x14ac:dyDescent="0.3">
      <c r="A208" s="50"/>
      <c r="B208" s="51"/>
      <c r="C208" s="59"/>
      <c r="D208" s="87"/>
    </row>
    <row r="209" spans="1:4" x14ac:dyDescent="0.3">
      <c r="A209" s="50"/>
      <c r="B209" s="51"/>
      <c r="C209" s="52"/>
      <c r="D209" s="87"/>
    </row>
    <row r="210" spans="1:4" x14ac:dyDescent="0.3">
      <c r="A210" s="50"/>
      <c r="B210" s="51"/>
      <c r="C210" s="52"/>
      <c r="D210" s="87"/>
    </row>
    <row r="211" spans="1:4" x14ac:dyDescent="0.3">
      <c r="A211" s="50"/>
      <c r="B211" s="51"/>
      <c r="C211" s="52"/>
      <c r="D211" s="87"/>
    </row>
    <row r="212" spans="1:4" x14ac:dyDescent="0.3">
      <c r="A212" s="50"/>
      <c r="B212" s="51"/>
      <c r="C212" s="52"/>
      <c r="D212" s="87"/>
    </row>
    <row r="213" spans="1:4" x14ac:dyDescent="0.3">
      <c r="A213" s="50"/>
      <c r="B213" s="51"/>
      <c r="C213" s="52"/>
      <c r="D213" s="87"/>
    </row>
    <row r="214" spans="1:4" x14ac:dyDescent="0.3">
      <c r="A214" s="50"/>
      <c r="B214" s="51"/>
      <c r="C214" s="52"/>
      <c r="D214" s="87"/>
    </row>
    <row r="215" spans="1:4" x14ac:dyDescent="0.3">
      <c r="A215" s="50"/>
      <c r="B215" s="51"/>
      <c r="C215" s="52"/>
      <c r="D215" s="87"/>
    </row>
    <row r="216" spans="1:4" x14ac:dyDescent="0.3">
      <c r="A216" s="50"/>
      <c r="B216" s="51"/>
      <c r="C216" s="58"/>
      <c r="D216" s="87"/>
    </row>
    <row r="217" spans="1:4" x14ac:dyDescent="0.3">
      <c r="A217" s="50"/>
      <c r="B217" s="51"/>
      <c r="C217" s="58"/>
      <c r="D217" s="87"/>
    </row>
    <row r="218" spans="1:4" x14ac:dyDescent="0.3">
      <c r="A218" s="50"/>
      <c r="B218" s="51"/>
      <c r="C218" s="60"/>
      <c r="D218" s="87"/>
    </row>
    <row r="219" spans="1:4" x14ac:dyDescent="0.3">
      <c r="A219" s="50"/>
      <c r="B219" s="51"/>
      <c r="C219" s="61"/>
      <c r="D219" s="87"/>
    </row>
    <row r="220" spans="1:4" x14ac:dyDescent="0.3">
      <c r="A220" s="50"/>
      <c r="B220" s="51"/>
      <c r="C220" s="61"/>
      <c r="D220" s="87"/>
    </row>
    <row r="221" spans="1:4" x14ac:dyDescent="0.3">
      <c r="A221" s="50"/>
      <c r="B221" s="51"/>
      <c r="C221" s="55"/>
      <c r="D221" s="87"/>
    </row>
    <row r="222" spans="1:4" x14ac:dyDescent="0.3">
      <c r="A222" s="50"/>
      <c r="B222" s="51"/>
      <c r="C222" s="55"/>
      <c r="D222" s="87"/>
    </row>
    <row r="223" spans="1:4" x14ac:dyDescent="0.3">
      <c r="A223" s="50"/>
      <c r="B223" s="51"/>
      <c r="C223" s="55"/>
      <c r="D223" s="87"/>
    </row>
    <row r="224" spans="1:4" x14ac:dyDescent="0.3">
      <c r="A224" s="50"/>
      <c r="B224" s="51"/>
      <c r="C224" s="55"/>
      <c r="D224" s="87"/>
    </row>
    <row r="225" spans="1:4" x14ac:dyDescent="0.3">
      <c r="A225" s="50"/>
      <c r="B225" s="51"/>
      <c r="C225" s="55"/>
      <c r="D225" s="87"/>
    </row>
    <row r="226" spans="1:4" x14ac:dyDescent="0.3">
      <c r="A226" s="50"/>
      <c r="B226" s="51"/>
      <c r="C226" s="52"/>
      <c r="D226" s="87"/>
    </row>
    <row r="227" spans="1:4" x14ac:dyDescent="0.3">
      <c r="A227" s="50"/>
      <c r="B227" s="51"/>
      <c r="C227" s="62"/>
      <c r="D227" s="87"/>
    </row>
    <row r="228" spans="1:4" x14ac:dyDescent="0.3">
      <c r="A228" s="50"/>
      <c r="B228" s="51"/>
      <c r="C228" s="62"/>
      <c r="D228" s="87"/>
    </row>
    <row r="229" spans="1:4" x14ac:dyDescent="0.3">
      <c r="A229" s="50"/>
      <c r="B229" s="51"/>
      <c r="C229" s="55"/>
      <c r="D229" s="87"/>
    </row>
    <row r="230" spans="1:4" x14ac:dyDescent="0.3">
      <c r="A230" s="50"/>
      <c r="B230" s="51"/>
      <c r="C230" s="62"/>
      <c r="D230" s="87"/>
    </row>
    <row r="231" spans="1:4" x14ac:dyDescent="0.3">
      <c r="A231" s="50"/>
      <c r="B231" s="51"/>
      <c r="C231" s="62"/>
      <c r="D231" s="87"/>
    </row>
    <row r="232" spans="1:4" x14ac:dyDescent="0.3">
      <c r="A232" s="50"/>
      <c r="B232" s="51"/>
      <c r="C232" s="62"/>
      <c r="D232" s="87"/>
    </row>
    <row r="233" spans="1:4" x14ac:dyDescent="0.3">
      <c r="A233" s="50"/>
      <c r="B233" s="51"/>
      <c r="C233" s="62"/>
      <c r="D233" s="87"/>
    </row>
    <row r="234" spans="1:4" x14ac:dyDescent="0.3">
      <c r="A234" s="50"/>
      <c r="B234" s="51"/>
      <c r="C234" s="62"/>
      <c r="D234" s="87"/>
    </row>
    <row r="235" spans="1:4" x14ac:dyDescent="0.3">
      <c r="A235" s="50"/>
      <c r="B235" s="51"/>
      <c r="C235" s="62"/>
      <c r="D235" s="87"/>
    </row>
    <row r="236" spans="1:4" x14ac:dyDescent="0.3">
      <c r="A236" s="50"/>
      <c r="B236" s="51"/>
      <c r="C236" s="62"/>
      <c r="D236" s="87"/>
    </row>
    <row r="237" spans="1:4" x14ac:dyDescent="0.3">
      <c r="A237" s="50"/>
      <c r="B237" s="51"/>
      <c r="C237" s="62"/>
      <c r="D237" s="87"/>
    </row>
    <row r="238" spans="1:4" x14ac:dyDescent="0.3">
      <c r="A238" s="50"/>
      <c r="B238" s="51"/>
      <c r="C238" s="62"/>
      <c r="D238" s="87"/>
    </row>
    <row r="239" spans="1:4" x14ac:dyDescent="0.3">
      <c r="A239" s="50"/>
      <c r="B239" s="51"/>
      <c r="C239" s="62"/>
      <c r="D239" s="87"/>
    </row>
    <row r="240" spans="1:4" x14ac:dyDescent="0.3">
      <c r="A240" s="50"/>
      <c r="B240" s="51"/>
      <c r="C240" s="62"/>
      <c r="D240" s="87"/>
    </row>
    <row r="241" spans="1:4" x14ac:dyDescent="0.3">
      <c r="A241" s="50"/>
      <c r="B241" s="51"/>
      <c r="C241" s="62"/>
      <c r="D241" s="87"/>
    </row>
    <row r="242" spans="1:4" x14ac:dyDescent="0.3">
      <c r="A242" s="50"/>
      <c r="B242" s="51"/>
      <c r="C242" s="62"/>
      <c r="D242" s="87"/>
    </row>
    <row r="243" spans="1:4" x14ac:dyDescent="0.3">
      <c r="A243" s="50"/>
      <c r="B243" s="51"/>
      <c r="C243" s="62"/>
      <c r="D243" s="87"/>
    </row>
    <row r="244" spans="1:4" x14ac:dyDescent="0.3">
      <c r="A244" s="50"/>
      <c r="B244" s="51"/>
      <c r="C244" s="62"/>
      <c r="D244" s="87"/>
    </row>
    <row r="245" spans="1:4" x14ac:dyDescent="0.3">
      <c r="A245" s="50"/>
      <c r="B245" s="51"/>
      <c r="C245" s="62"/>
      <c r="D245" s="87"/>
    </row>
    <row r="246" spans="1:4" x14ac:dyDescent="0.3">
      <c r="A246" s="50"/>
      <c r="B246" s="51"/>
      <c r="C246" s="62"/>
      <c r="D246" s="87"/>
    </row>
    <row r="247" spans="1:4" x14ac:dyDescent="0.3">
      <c r="A247" s="50"/>
      <c r="B247" s="51"/>
      <c r="C247" s="62"/>
      <c r="D247" s="87"/>
    </row>
    <row r="248" spans="1:4" x14ac:dyDescent="0.3">
      <c r="A248" s="50"/>
      <c r="B248" s="51"/>
      <c r="C248" s="52"/>
      <c r="D248" s="87"/>
    </row>
    <row r="249" spans="1:4" x14ac:dyDescent="0.3">
      <c r="A249" s="50"/>
      <c r="B249" s="51"/>
      <c r="C249" s="52"/>
      <c r="D249" s="87"/>
    </row>
    <row r="250" spans="1:4" x14ac:dyDescent="0.3">
      <c r="A250" s="50"/>
      <c r="B250" s="51"/>
      <c r="C250" s="52"/>
      <c r="D250" s="87"/>
    </row>
    <row r="251" spans="1:4" x14ac:dyDescent="0.3">
      <c r="A251" s="50"/>
      <c r="B251" s="51"/>
      <c r="C251" s="52"/>
      <c r="D251" s="87"/>
    </row>
    <row r="252" spans="1:4" x14ac:dyDescent="0.3">
      <c r="A252" s="50"/>
      <c r="B252" s="51"/>
      <c r="C252" s="52"/>
      <c r="D252" s="87"/>
    </row>
    <row r="253" spans="1:4" x14ac:dyDescent="0.3">
      <c r="A253" s="50"/>
      <c r="B253" s="51"/>
      <c r="C253" s="63"/>
      <c r="D253" s="87"/>
    </row>
    <row r="254" spans="1:4" x14ac:dyDescent="0.3">
      <c r="A254" s="50"/>
      <c r="B254" s="51"/>
      <c r="C254" s="52"/>
      <c r="D254" s="87"/>
    </row>
    <row r="255" spans="1:4" x14ac:dyDescent="0.3">
      <c r="A255" s="50"/>
      <c r="B255" s="51"/>
      <c r="C255" s="63"/>
      <c r="D255" s="87"/>
    </row>
    <row r="256" spans="1:4" x14ac:dyDescent="0.3">
      <c r="A256" s="50"/>
      <c r="B256" s="51"/>
      <c r="C256" s="55"/>
      <c r="D256" s="87"/>
    </row>
    <row r="257" spans="1:4" x14ac:dyDescent="0.3">
      <c r="A257" s="50"/>
      <c r="B257" s="51"/>
      <c r="C257" s="52"/>
      <c r="D257" s="87"/>
    </row>
    <row r="258" spans="1:4" x14ac:dyDescent="0.3">
      <c r="A258" s="50"/>
      <c r="B258" s="51"/>
      <c r="C258" s="52"/>
      <c r="D258" s="87"/>
    </row>
    <row r="259" spans="1:4" x14ac:dyDescent="0.3">
      <c r="A259" s="50"/>
      <c r="B259" s="51"/>
      <c r="C259" s="52"/>
      <c r="D259" s="87"/>
    </row>
    <row r="260" spans="1:4" x14ac:dyDescent="0.3">
      <c r="A260" s="50"/>
      <c r="B260" s="51"/>
      <c r="C260" s="55"/>
      <c r="D260" s="87"/>
    </row>
    <row r="261" spans="1:4" x14ac:dyDescent="0.3">
      <c r="A261" s="50"/>
      <c r="B261" s="51"/>
      <c r="C261" s="52"/>
      <c r="D261" s="89"/>
    </row>
    <row r="262" spans="1:4" x14ac:dyDescent="0.3">
      <c r="A262" s="50"/>
      <c r="B262" s="51"/>
      <c r="C262" s="59"/>
      <c r="D262" s="87"/>
    </row>
    <row r="263" spans="1:4" x14ac:dyDescent="0.3">
      <c r="A263" s="50"/>
      <c r="B263" s="51"/>
      <c r="C263" s="52"/>
      <c r="D263" s="89"/>
    </row>
    <row r="264" spans="1:4" x14ac:dyDescent="0.3">
      <c r="A264" s="50"/>
      <c r="B264" s="51"/>
      <c r="C264" s="52"/>
      <c r="D264" s="89"/>
    </row>
    <row r="265" spans="1:4" x14ac:dyDescent="0.3">
      <c r="A265" s="50"/>
      <c r="B265" s="51"/>
      <c r="C265" s="52"/>
      <c r="D265" s="89"/>
    </row>
  </sheetData>
  <autoFilter ref="A4:E158"/>
  <customSheetViews>
    <customSheetView guid="{80F19098-3ACC-4F0A-B214-68DF3421AAAA}" scale="115" showPageBreaks="1" printArea="1" showAutoFilter="1" state="hidden" view="pageBreakPreview">
      <pane ySplit="4" topLeftCell="A57" activePane="bottomLeft" state="frozen"/>
      <selection pane="bottomLeft" activeCell="E2" sqref="E2"/>
      <pageMargins left="0.33" right="0.18" top="0.37" bottom="0.25" header="0.18" footer="0.17"/>
      <pageSetup paperSize="9" orientation="portrait" r:id="rId1"/>
      <autoFilter ref="A4:E158"/>
    </customSheetView>
  </customSheetViews>
  <pageMargins left="0.33" right="0.18" top="0.37" bottom="0.25" header="0.18" footer="0.17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914"/>
  <sheetViews>
    <sheetView view="pageBreakPreview" zoomScaleNormal="100" zoomScaleSheetLayoutView="100" workbookViewId="0">
      <selection activeCell="D17" sqref="D17"/>
    </sheetView>
  </sheetViews>
  <sheetFormatPr defaultRowHeight="14.4" x14ac:dyDescent="0.3"/>
  <cols>
    <col min="1" max="1" width="5.5546875" bestFit="1" customWidth="1"/>
    <col min="2" max="2" width="10.6640625" bestFit="1" customWidth="1"/>
    <col min="3" max="3" width="43.33203125" style="107" customWidth="1"/>
    <col min="4" max="4" width="13.6640625" customWidth="1"/>
    <col min="5" max="5" width="14" style="94" bestFit="1" customWidth="1"/>
  </cols>
  <sheetData>
    <row r="1" spans="1:5" ht="18" x14ac:dyDescent="0.35">
      <c r="A1" s="34" t="s">
        <v>0</v>
      </c>
    </row>
    <row r="2" spans="1:5" x14ac:dyDescent="0.3">
      <c r="A2" t="s">
        <v>1454</v>
      </c>
    </row>
    <row r="4" spans="1:5" ht="15.6" x14ac:dyDescent="0.3">
      <c r="A4" s="1" t="s">
        <v>1450</v>
      </c>
      <c r="B4" s="23" t="s">
        <v>2</v>
      </c>
      <c r="C4" s="2" t="s">
        <v>3</v>
      </c>
      <c r="D4" s="3" t="s">
        <v>1456</v>
      </c>
      <c r="E4" s="96" t="s">
        <v>1455</v>
      </c>
    </row>
    <row r="5" spans="1:5" ht="15.6" x14ac:dyDescent="0.3">
      <c r="A5" s="95">
        <v>1</v>
      </c>
      <c r="B5" s="24">
        <v>43180</v>
      </c>
      <c r="C5" s="104" t="s">
        <v>4</v>
      </c>
      <c r="D5" s="7"/>
      <c r="E5" s="97">
        <v>2000</v>
      </c>
    </row>
    <row r="6" spans="1:5" ht="15.6" x14ac:dyDescent="0.3">
      <c r="A6" s="95">
        <v>2</v>
      </c>
      <c r="B6" s="98">
        <v>43201</v>
      </c>
      <c r="C6" s="105" t="s">
        <v>5</v>
      </c>
      <c r="D6" s="7">
        <v>200000</v>
      </c>
      <c r="E6" s="97"/>
    </row>
    <row r="7" spans="1:5" ht="15.6" x14ac:dyDescent="0.3">
      <c r="A7" s="95">
        <v>3</v>
      </c>
      <c r="B7" s="98">
        <v>43201</v>
      </c>
      <c r="C7" s="105" t="s">
        <v>6</v>
      </c>
      <c r="D7" s="7"/>
      <c r="E7" s="97">
        <v>200000</v>
      </c>
    </row>
    <row r="8" spans="1:5" ht="15.6" x14ac:dyDescent="0.3">
      <c r="A8" s="95">
        <v>4</v>
      </c>
      <c r="B8" s="24">
        <v>43236</v>
      </c>
      <c r="C8" s="105" t="s">
        <v>6</v>
      </c>
      <c r="D8" s="7"/>
      <c r="E8" s="97">
        <v>23000</v>
      </c>
    </row>
    <row r="9" spans="1:5" ht="15.6" x14ac:dyDescent="0.3">
      <c r="A9" s="95">
        <v>5</v>
      </c>
      <c r="B9" s="24">
        <v>43236</v>
      </c>
      <c r="C9" s="104" t="s">
        <v>13</v>
      </c>
      <c r="D9" s="7"/>
      <c r="E9" s="97">
        <v>50000</v>
      </c>
    </row>
    <row r="10" spans="1:5" ht="15.6" x14ac:dyDescent="0.3">
      <c r="A10" s="95">
        <v>6</v>
      </c>
      <c r="B10" s="24">
        <v>43250</v>
      </c>
      <c r="C10" s="104" t="s">
        <v>15</v>
      </c>
      <c r="D10" s="7"/>
      <c r="E10" s="97">
        <v>2500</v>
      </c>
    </row>
    <row r="11" spans="1:5" ht="15.6" x14ac:dyDescent="0.3">
      <c r="A11" s="95">
        <v>7</v>
      </c>
      <c r="B11" s="25">
        <v>43289</v>
      </c>
      <c r="C11" s="100" t="s">
        <v>22</v>
      </c>
      <c r="D11" s="7"/>
      <c r="E11" s="97">
        <v>60000</v>
      </c>
    </row>
    <row r="12" spans="1:5" ht="15.6" x14ac:dyDescent="0.3">
      <c r="A12" s="95">
        <v>8</v>
      </c>
      <c r="B12" s="24">
        <v>43299</v>
      </c>
      <c r="C12" s="105" t="s">
        <v>5</v>
      </c>
      <c r="D12" s="10">
        <v>400000</v>
      </c>
      <c r="E12" s="97"/>
    </row>
    <row r="13" spans="1:5" ht="15.6" x14ac:dyDescent="0.3">
      <c r="A13" s="95">
        <v>9</v>
      </c>
      <c r="B13" s="24">
        <v>43299</v>
      </c>
      <c r="C13" s="105" t="s">
        <v>6</v>
      </c>
      <c r="D13" s="7"/>
      <c r="E13" s="97">
        <v>50000</v>
      </c>
    </row>
    <row r="14" spans="1:5" ht="15.6" x14ac:dyDescent="0.3">
      <c r="A14" s="95">
        <v>10</v>
      </c>
      <c r="B14" s="24">
        <v>43299</v>
      </c>
      <c r="C14" s="100" t="s">
        <v>17</v>
      </c>
      <c r="D14" s="7"/>
      <c r="E14" s="97">
        <v>38000</v>
      </c>
    </row>
    <row r="15" spans="1:5" ht="15.6" x14ac:dyDescent="0.3">
      <c r="A15" s="95">
        <v>11</v>
      </c>
      <c r="B15" s="24">
        <v>43299</v>
      </c>
      <c r="C15" s="99" t="s">
        <v>7</v>
      </c>
      <c r="D15" s="7"/>
      <c r="E15" s="97">
        <v>1000</v>
      </c>
    </row>
    <row r="16" spans="1:5" ht="15.6" x14ac:dyDescent="0.3">
      <c r="A16" s="95">
        <v>12</v>
      </c>
      <c r="B16" s="24">
        <v>43299</v>
      </c>
      <c r="C16" s="99" t="s">
        <v>8</v>
      </c>
      <c r="D16" s="7"/>
      <c r="E16" s="97">
        <v>2000</v>
      </c>
    </row>
    <row r="17" spans="1:5" ht="15.6" x14ac:dyDescent="0.3">
      <c r="A17" s="95">
        <v>13</v>
      </c>
      <c r="B17" s="24">
        <v>43299</v>
      </c>
      <c r="C17" s="99" t="s">
        <v>9</v>
      </c>
      <c r="D17" s="7"/>
      <c r="E17" s="97">
        <v>2000</v>
      </c>
    </row>
    <row r="18" spans="1:5" ht="15.6" x14ac:dyDescent="0.3">
      <c r="A18" s="95">
        <v>14</v>
      </c>
      <c r="B18" s="25">
        <v>43302</v>
      </c>
      <c r="C18" s="100" t="s">
        <v>18</v>
      </c>
      <c r="D18" s="7"/>
      <c r="E18" s="97">
        <v>100000</v>
      </c>
    </row>
    <row r="19" spans="1:5" ht="15.6" x14ac:dyDescent="0.3">
      <c r="A19" s="95">
        <v>15</v>
      </c>
      <c r="B19" s="25">
        <v>43305</v>
      </c>
      <c r="C19" s="100" t="s">
        <v>19</v>
      </c>
      <c r="D19" s="7"/>
      <c r="E19" s="97">
        <v>21000</v>
      </c>
    </row>
    <row r="20" spans="1:5" ht="15.6" x14ac:dyDescent="0.3">
      <c r="A20" s="95">
        <v>16</v>
      </c>
      <c r="B20" s="25">
        <v>43305</v>
      </c>
      <c r="C20" s="100" t="s">
        <v>20</v>
      </c>
      <c r="D20" s="7"/>
      <c r="E20" s="97">
        <v>25000</v>
      </c>
    </row>
    <row r="21" spans="1:5" ht="15.6" x14ac:dyDescent="0.3">
      <c r="A21" s="95">
        <v>17</v>
      </c>
      <c r="B21" s="25">
        <v>43305</v>
      </c>
      <c r="C21" s="100" t="s">
        <v>21</v>
      </c>
      <c r="D21" s="7"/>
      <c r="E21" s="97">
        <v>2000</v>
      </c>
    </row>
    <row r="22" spans="1:5" ht="15.6" x14ac:dyDescent="0.3">
      <c r="A22" s="95">
        <v>18</v>
      </c>
      <c r="B22" s="25">
        <v>43305</v>
      </c>
      <c r="C22" s="100" t="s">
        <v>12</v>
      </c>
      <c r="D22" s="7"/>
      <c r="E22" s="97">
        <v>2000</v>
      </c>
    </row>
    <row r="23" spans="1:5" ht="15.6" x14ac:dyDescent="0.3">
      <c r="A23" s="95">
        <v>19</v>
      </c>
      <c r="B23" s="24">
        <v>43318</v>
      </c>
      <c r="C23" s="104" t="s">
        <v>16</v>
      </c>
      <c r="D23" s="7"/>
      <c r="E23" s="97">
        <v>120</v>
      </c>
    </row>
    <row r="24" spans="1:5" ht="15.6" x14ac:dyDescent="0.3">
      <c r="A24" s="95">
        <v>20</v>
      </c>
      <c r="B24" s="25">
        <v>43320</v>
      </c>
      <c r="C24" s="100" t="s">
        <v>23</v>
      </c>
      <c r="D24" s="7"/>
      <c r="E24" s="97">
        <v>100000</v>
      </c>
    </row>
    <row r="25" spans="1:5" ht="15.6" x14ac:dyDescent="0.3">
      <c r="A25" s="95">
        <v>21</v>
      </c>
      <c r="B25" s="25">
        <v>43325</v>
      </c>
      <c r="C25" s="100" t="s">
        <v>24</v>
      </c>
      <c r="D25" s="7"/>
      <c r="E25" s="97">
        <v>11000</v>
      </c>
    </row>
    <row r="26" spans="1:5" ht="15.6" x14ac:dyDescent="0.3">
      <c r="A26" s="95">
        <v>22</v>
      </c>
      <c r="B26" s="25">
        <v>43325</v>
      </c>
      <c r="C26" s="100" t="s">
        <v>25</v>
      </c>
      <c r="D26" s="7"/>
      <c r="E26" s="97">
        <v>24000</v>
      </c>
    </row>
    <row r="27" spans="1:5" ht="15.6" x14ac:dyDescent="0.3">
      <c r="A27" s="95">
        <v>23</v>
      </c>
      <c r="B27" s="25">
        <v>43325</v>
      </c>
      <c r="C27" s="99" t="s">
        <v>9</v>
      </c>
      <c r="D27" s="7"/>
      <c r="E27" s="97">
        <v>2000</v>
      </c>
    </row>
    <row r="28" spans="1:5" ht="15.6" x14ac:dyDescent="0.3">
      <c r="A28" s="95">
        <v>24</v>
      </c>
      <c r="B28" s="25">
        <v>43325</v>
      </c>
      <c r="C28" s="99" t="s">
        <v>26</v>
      </c>
      <c r="D28" s="7"/>
      <c r="E28" s="97">
        <v>20000</v>
      </c>
    </row>
    <row r="29" spans="1:5" ht="15.6" x14ac:dyDescent="0.3">
      <c r="A29" s="95">
        <v>25</v>
      </c>
      <c r="B29" s="25">
        <v>43325</v>
      </c>
      <c r="C29" s="100" t="s">
        <v>27</v>
      </c>
      <c r="D29" s="7"/>
      <c r="E29" s="97">
        <v>118000</v>
      </c>
    </row>
    <row r="30" spans="1:5" ht="15.6" x14ac:dyDescent="0.3">
      <c r="A30" s="95">
        <v>26</v>
      </c>
      <c r="B30" s="25">
        <v>43327</v>
      </c>
      <c r="C30" s="100" t="s">
        <v>26</v>
      </c>
      <c r="D30" s="7"/>
      <c r="E30" s="97">
        <v>30000</v>
      </c>
    </row>
    <row r="31" spans="1:5" ht="15.6" x14ac:dyDescent="0.3">
      <c r="A31" s="95">
        <v>27</v>
      </c>
      <c r="B31" s="25">
        <v>43328</v>
      </c>
      <c r="C31" s="99" t="s">
        <v>7</v>
      </c>
      <c r="D31" s="7"/>
      <c r="E31" s="97">
        <v>2000</v>
      </c>
    </row>
    <row r="32" spans="1:5" ht="15.6" x14ac:dyDescent="0.3">
      <c r="A32" s="95">
        <v>28</v>
      </c>
      <c r="B32" s="25">
        <v>43328</v>
      </c>
      <c r="C32" s="99" t="s">
        <v>9</v>
      </c>
      <c r="D32" s="7"/>
      <c r="E32" s="97">
        <v>2000</v>
      </c>
    </row>
    <row r="33" spans="1:5" ht="15.6" x14ac:dyDescent="0.3">
      <c r="A33" s="95">
        <v>29</v>
      </c>
      <c r="B33" s="25">
        <v>43328</v>
      </c>
      <c r="C33" s="100" t="s">
        <v>28</v>
      </c>
      <c r="D33" s="7"/>
      <c r="E33" s="97">
        <v>1000</v>
      </c>
    </row>
    <row r="34" spans="1:5" ht="15.6" x14ac:dyDescent="0.3">
      <c r="A34" s="95">
        <v>30</v>
      </c>
      <c r="B34" s="25">
        <v>43332</v>
      </c>
      <c r="C34" s="99" t="s">
        <v>7</v>
      </c>
      <c r="D34" s="7"/>
      <c r="E34" s="97">
        <v>1500</v>
      </c>
    </row>
    <row r="35" spans="1:5" ht="15.6" x14ac:dyDescent="0.3">
      <c r="A35" s="95">
        <v>31</v>
      </c>
      <c r="B35" s="25">
        <v>43332</v>
      </c>
      <c r="C35" s="100" t="s">
        <v>28</v>
      </c>
      <c r="D35" s="7"/>
      <c r="E35" s="97">
        <v>5000</v>
      </c>
    </row>
    <row r="36" spans="1:5" ht="15.6" x14ac:dyDescent="0.3">
      <c r="A36" s="95">
        <v>32</v>
      </c>
      <c r="B36" s="25">
        <v>43358</v>
      </c>
      <c r="C36" s="99" t="s">
        <v>29</v>
      </c>
      <c r="D36" s="7"/>
      <c r="E36" s="97">
        <v>1000</v>
      </c>
    </row>
    <row r="37" spans="1:5" ht="15.6" x14ac:dyDescent="0.3">
      <c r="A37" s="95">
        <v>33</v>
      </c>
      <c r="B37" s="25">
        <v>43358</v>
      </c>
      <c r="C37" s="99" t="s">
        <v>30</v>
      </c>
      <c r="D37" s="7"/>
      <c r="E37" s="97">
        <v>800</v>
      </c>
    </row>
    <row r="38" spans="1:5" ht="15.6" x14ac:dyDescent="0.3">
      <c r="A38" s="95">
        <v>34</v>
      </c>
      <c r="B38" s="25">
        <v>43358</v>
      </c>
      <c r="C38" s="99" t="s">
        <v>31</v>
      </c>
      <c r="D38" s="7"/>
      <c r="E38" s="97">
        <v>10000</v>
      </c>
    </row>
    <row r="39" spans="1:5" ht="15.6" x14ac:dyDescent="0.3">
      <c r="A39" s="95">
        <v>35</v>
      </c>
      <c r="B39" s="25">
        <v>43358</v>
      </c>
      <c r="C39" s="99" t="s">
        <v>32</v>
      </c>
      <c r="D39" s="7"/>
      <c r="E39" s="97">
        <v>15000</v>
      </c>
    </row>
    <row r="40" spans="1:5" ht="15.6" x14ac:dyDescent="0.3">
      <c r="A40" s="95">
        <v>36</v>
      </c>
      <c r="B40" s="25">
        <v>43358</v>
      </c>
      <c r="C40" s="99" t="s">
        <v>33</v>
      </c>
      <c r="D40" s="7"/>
      <c r="E40" s="97">
        <v>40000</v>
      </c>
    </row>
    <row r="41" spans="1:5" ht="15.6" x14ac:dyDescent="0.3">
      <c r="A41" s="95">
        <v>37</v>
      </c>
      <c r="B41" s="24">
        <v>43358</v>
      </c>
      <c r="C41" s="100" t="s">
        <v>1376</v>
      </c>
      <c r="D41" s="35">
        <v>100000</v>
      </c>
      <c r="E41" s="97"/>
    </row>
    <row r="42" spans="1:5" ht="15.6" x14ac:dyDescent="0.3">
      <c r="A42" s="95">
        <v>38</v>
      </c>
      <c r="B42" s="25">
        <v>43360</v>
      </c>
      <c r="C42" s="99" t="s">
        <v>29</v>
      </c>
      <c r="D42" s="7"/>
      <c r="E42" s="97">
        <v>1000</v>
      </c>
    </row>
    <row r="43" spans="1:5" ht="15.6" x14ac:dyDescent="0.3">
      <c r="A43" s="95">
        <v>39</v>
      </c>
      <c r="B43" s="24">
        <v>43366</v>
      </c>
      <c r="C43" s="99" t="s">
        <v>31</v>
      </c>
      <c r="D43" s="7"/>
      <c r="E43" s="97">
        <v>10000</v>
      </c>
    </row>
    <row r="44" spans="1:5" ht="15.6" x14ac:dyDescent="0.3">
      <c r="A44" s="95">
        <v>40</v>
      </c>
      <c r="B44" s="24">
        <v>43366</v>
      </c>
      <c r="C44" s="99" t="s">
        <v>29</v>
      </c>
      <c r="D44" s="7"/>
      <c r="E44" s="97">
        <v>2000</v>
      </c>
    </row>
    <row r="45" spans="1:5" ht="15.6" x14ac:dyDescent="0.3">
      <c r="A45" s="95">
        <v>41</v>
      </c>
      <c r="B45" s="24">
        <v>43368</v>
      </c>
      <c r="C45" s="99" t="s">
        <v>31</v>
      </c>
      <c r="D45" s="7"/>
      <c r="E45" s="97">
        <v>15000</v>
      </c>
    </row>
    <row r="46" spans="1:5" ht="15.6" x14ac:dyDescent="0.3">
      <c r="A46" s="95">
        <v>42</v>
      </c>
      <c r="B46" s="24">
        <v>43368</v>
      </c>
      <c r="C46" s="99" t="s">
        <v>29</v>
      </c>
      <c r="D46" s="7"/>
      <c r="E46" s="97">
        <v>1000</v>
      </c>
    </row>
    <row r="47" spans="1:5" ht="15.6" x14ac:dyDescent="0.3">
      <c r="A47" s="95">
        <v>43</v>
      </c>
      <c r="B47" s="24">
        <v>43372</v>
      </c>
      <c r="C47" s="99" t="s">
        <v>34</v>
      </c>
      <c r="D47" s="7"/>
      <c r="E47" s="97">
        <v>540</v>
      </c>
    </row>
    <row r="48" spans="1:5" ht="15.6" x14ac:dyDescent="0.3">
      <c r="A48" s="95">
        <v>44</v>
      </c>
      <c r="B48" s="24">
        <v>43372</v>
      </c>
      <c r="C48" s="99" t="s">
        <v>35</v>
      </c>
      <c r="D48" s="7"/>
      <c r="E48" s="97">
        <v>100</v>
      </c>
    </row>
    <row r="49" spans="1:5" ht="15.6" x14ac:dyDescent="0.3">
      <c r="A49" s="95">
        <v>45</v>
      </c>
      <c r="B49" s="24">
        <v>43372</v>
      </c>
      <c r="C49" s="99" t="s">
        <v>31</v>
      </c>
      <c r="D49" s="7"/>
      <c r="E49" s="97">
        <v>50000</v>
      </c>
    </row>
    <row r="50" spans="1:5" ht="15.6" x14ac:dyDescent="0.3">
      <c r="A50" s="95">
        <v>46</v>
      </c>
      <c r="B50" s="24">
        <v>43372</v>
      </c>
      <c r="C50" s="99" t="s">
        <v>29</v>
      </c>
      <c r="D50" s="7"/>
      <c r="E50" s="97">
        <v>1000</v>
      </c>
    </row>
    <row r="51" spans="1:5" ht="15.6" x14ac:dyDescent="0.3">
      <c r="A51" s="95">
        <v>47</v>
      </c>
      <c r="B51" s="24">
        <v>43372</v>
      </c>
      <c r="C51" s="105" t="s">
        <v>36</v>
      </c>
      <c r="D51" s="12">
        <v>100000</v>
      </c>
      <c r="E51" s="97"/>
    </row>
    <row r="52" spans="1:5" ht="15.6" x14ac:dyDescent="0.3">
      <c r="A52" s="95">
        <v>48</v>
      </c>
      <c r="B52" s="25">
        <v>43376</v>
      </c>
      <c r="C52" s="100" t="s">
        <v>37</v>
      </c>
      <c r="D52" s="7"/>
      <c r="E52" s="97">
        <v>10000</v>
      </c>
    </row>
    <row r="53" spans="1:5" ht="15.6" x14ac:dyDescent="0.3">
      <c r="A53" s="95">
        <v>49</v>
      </c>
      <c r="B53" s="25">
        <v>43376</v>
      </c>
      <c r="C53" s="100" t="s">
        <v>38</v>
      </c>
      <c r="D53" s="7"/>
      <c r="E53" s="97">
        <v>1000</v>
      </c>
    </row>
    <row r="54" spans="1:5" ht="15.6" x14ac:dyDescent="0.3">
      <c r="A54" s="95">
        <v>50</v>
      </c>
      <c r="B54" s="25">
        <v>43377</v>
      </c>
      <c r="C54" s="105" t="s">
        <v>39</v>
      </c>
      <c r="D54" s="12">
        <v>50000</v>
      </c>
      <c r="E54" s="97"/>
    </row>
    <row r="55" spans="1:5" ht="15.6" x14ac:dyDescent="0.3">
      <c r="A55" s="95">
        <v>51</v>
      </c>
      <c r="B55" s="25">
        <v>43377</v>
      </c>
      <c r="C55" s="105" t="s">
        <v>40</v>
      </c>
      <c r="D55" s="7"/>
      <c r="E55" s="97">
        <v>200000</v>
      </c>
    </row>
    <row r="56" spans="1:5" ht="15.6" x14ac:dyDescent="0.3">
      <c r="A56" s="95">
        <v>52</v>
      </c>
      <c r="B56" s="25">
        <v>43377</v>
      </c>
      <c r="C56" s="100" t="s">
        <v>31</v>
      </c>
      <c r="D56" s="7"/>
      <c r="E56" s="97">
        <v>20000</v>
      </c>
    </row>
    <row r="57" spans="1:5" ht="15.6" x14ac:dyDescent="0.3">
      <c r="A57" s="95">
        <v>53</v>
      </c>
      <c r="B57" s="25">
        <v>43377</v>
      </c>
      <c r="C57" s="100" t="s">
        <v>41</v>
      </c>
      <c r="D57" s="7"/>
      <c r="E57" s="97">
        <v>4000</v>
      </c>
    </row>
    <row r="58" spans="1:5" ht="15.6" x14ac:dyDescent="0.3">
      <c r="A58" s="95">
        <v>54</v>
      </c>
      <c r="B58" s="25">
        <v>43377</v>
      </c>
      <c r="C58" s="100" t="s">
        <v>42</v>
      </c>
      <c r="D58" s="7"/>
      <c r="E58" s="97">
        <v>200</v>
      </c>
    </row>
    <row r="59" spans="1:5" ht="15.6" x14ac:dyDescent="0.3">
      <c r="A59" s="95">
        <v>55</v>
      </c>
      <c r="B59" s="25">
        <v>43378</v>
      </c>
      <c r="C59" s="108" t="s">
        <v>43</v>
      </c>
      <c r="D59" s="7"/>
      <c r="E59" s="97">
        <v>60000</v>
      </c>
    </row>
    <row r="60" spans="1:5" ht="15.6" x14ac:dyDescent="0.3">
      <c r="A60" s="95">
        <v>56</v>
      </c>
      <c r="B60" s="25">
        <v>43378</v>
      </c>
      <c r="C60" s="99" t="s">
        <v>44</v>
      </c>
      <c r="D60" s="7"/>
      <c r="E60" s="97">
        <v>4900</v>
      </c>
    </row>
    <row r="61" spans="1:5" ht="15.6" x14ac:dyDescent="0.3">
      <c r="A61" s="95">
        <v>57</v>
      </c>
      <c r="B61" s="25">
        <v>43380</v>
      </c>
      <c r="C61" s="99" t="s">
        <v>45</v>
      </c>
      <c r="D61" s="7"/>
      <c r="E61" s="97">
        <v>520</v>
      </c>
    </row>
    <row r="62" spans="1:5" ht="15.6" x14ac:dyDescent="0.3">
      <c r="A62" s="95">
        <v>58</v>
      </c>
      <c r="B62" s="25">
        <v>43380</v>
      </c>
      <c r="C62" s="99" t="s">
        <v>46</v>
      </c>
      <c r="D62" s="7"/>
      <c r="E62" s="97">
        <v>550</v>
      </c>
    </row>
    <row r="63" spans="1:5" ht="15.6" x14ac:dyDescent="0.3">
      <c r="A63" s="95">
        <v>59</v>
      </c>
      <c r="B63" s="25">
        <v>43381</v>
      </c>
      <c r="C63" s="99" t="s">
        <v>7</v>
      </c>
      <c r="D63" s="7"/>
      <c r="E63" s="97">
        <v>1000</v>
      </c>
    </row>
    <row r="64" spans="1:5" ht="15.6" x14ac:dyDescent="0.3">
      <c r="A64" s="95">
        <v>60</v>
      </c>
      <c r="B64" s="25">
        <v>43382</v>
      </c>
      <c r="C64" s="99" t="s">
        <v>47</v>
      </c>
      <c r="D64" s="7"/>
      <c r="E64" s="97">
        <v>20</v>
      </c>
    </row>
    <row r="65" spans="1:5" ht="15.6" x14ac:dyDescent="0.3">
      <c r="A65" s="95">
        <v>61</v>
      </c>
      <c r="B65" s="25">
        <v>43382</v>
      </c>
      <c r="C65" s="100" t="s">
        <v>26</v>
      </c>
      <c r="D65" s="7"/>
      <c r="E65" s="97">
        <v>15000</v>
      </c>
    </row>
    <row r="66" spans="1:5" ht="15.6" x14ac:dyDescent="0.3">
      <c r="A66" s="95">
        <v>62</v>
      </c>
      <c r="B66" s="25">
        <v>43382</v>
      </c>
      <c r="C66" s="99" t="s">
        <v>46</v>
      </c>
      <c r="D66" s="7"/>
      <c r="E66" s="97">
        <v>220</v>
      </c>
    </row>
    <row r="67" spans="1:5" ht="15.6" x14ac:dyDescent="0.3">
      <c r="A67" s="95">
        <v>63</v>
      </c>
      <c r="B67" s="25">
        <v>43382</v>
      </c>
      <c r="C67" s="99" t="s">
        <v>48</v>
      </c>
      <c r="D67" s="7"/>
      <c r="E67" s="97">
        <v>9850</v>
      </c>
    </row>
    <row r="68" spans="1:5" ht="15.6" x14ac:dyDescent="0.3">
      <c r="A68" s="95">
        <v>64</v>
      </c>
      <c r="B68" s="25">
        <v>43386</v>
      </c>
      <c r="C68" s="100" t="s">
        <v>37</v>
      </c>
      <c r="D68" s="7"/>
      <c r="E68" s="97">
        <v>3000</v>
      </c>
    </row>
    <row r="69" spans="1:5" ht="15.6" x14ac:dyDescent="0.3">
      <c r="A69" s="95">
        <v>65</v>
      </c>
      <c r="B69" s="25">
        <v>43386</v>
      </c>
      <c r="C69" s="100" t="s">
        <v>49</v>
      </c>
      <c r="D69" s="7"/>
      <c r="E69" s="97">
        <v>150</v>
      </c>
    </row>
    <row r="70" spans="1:5" ht="15.6" x14ac:dyDescent="0.3">
      <c r="A70" s="95">
        <v>66</v>
      </c>
      <c r="B70" s="25">
        <v>43388</v>
      </c>
      <c r="C70" s="100" t="s">
        <v>37</v>
      </c>
      <c r="D70" s="7"/>
      <c r="E70" s="97">
        <v>7000</v>
      </c>
    </row>
    <row r="71" spans="1:5" ht="15.6" x14ac:dyDescent="0.3">
      <c r="A71" s="95">
        <v>67</v>
      </c>
      <c r="B71" s="25">
        <v>43388</v>
      </c>
      <c r="C71" s="100" t="s">
        <v>31</v>
      </c>
      <c r="D71" s="7"/>
      <c r="E71" s="97">
        <v>20000</v>
      </c>
    </row>
    <row r="72" spans="1:5" ht="15.6" x14ac:dyDescent="0.3">
      <c r="A72" s="95">
        <v>68</v>
      </c>
      <c r="B72" s="25">
        <v>43388</v>
      </c>
      <c r="C72" s="99" t="s">
        <v>9</v>
      </c>
      <c r="D72" s="7"/>
      <c r="E72" s="97">
        <v>1000</v>
      </c>
    </row>
    <row r="73" spans="1:5" ht="15.6" x14ac:dyDescent="0.3">
      <c r="A73" s="95">
        <v>69</v>
      </c>
      <c r="B73" s="25">
        <v>43389</v>
      </c>
      <c r="C73" s="100" t="s">
        <v>26</v>
      </c>
      <c r="D73" s="7"/>
      <c r="E73" s="97">
        <v>10000</v>
      </c>
    </row>
    <row r="74" spans="1:5" ht="15.6" x14ac:dyDescent="0.3">
      <c r="A74" s="95">
        <v>70</v>
      </c>
      <c r="B74" s="25">
        <v>43392</v>
      </c>
      <c r="C74" s="100" t="s">
        <v>31</v>
      </c>
      <c r="D74" s="7"/>
      <c r="E74" s="97">
        <v>5000</v>
      </c>
    </row>
    <row r="75" spans="1:5" ht="15.6" x14ac:dyDescent="0.3">
      <c r="A75" s="95">
        <v>71</v>
      </c>
      <c r="B75" s="25">
        <v>43393</v>
      </c>
      <c r="C75" s="99" t="s">
        <v>7</v>
      </c>
      <c r="D75" s="7"/>
      <c r="E75" s="97">
        <v>1000</v>
      </c>
    </row>
    <row r="76" spans="1:5" ht="15.6" x14ac:dyDescent="0.3">
      <c r="A76" s="95">
        <v>72</v>
      </c>
      <c r="B76" s="25">
        <v>43393</v>
      </c>
      <c r="C76" s="99" t="s">
        <v>42</v>
      </c>
      <c r="D76" s="7"/>
      <c r="E76" s="97">
        <v>100</v>
      </c>
    </row>
    <row r="77" spans="1:5" ht="15.6" x14ac:dyDescent="0.3">
      <c r="A77" s="95">
        <v>73</v>
      </c>
      <c r="B77" s="25">
        <v>43395</v>
      </c>
      <c r="C77" s="109" t="s">
        <v>50</v>
      </c>
      <c r="D77" s="7"/>
      <c r="E77" s="97">
        <v>2960</v>
      </c>
    </row>
    <row r="78" spans="1:5" ht="15.6" x14ac:dyDescent="0.3">
      <c r="A78" s="95">
        <v>74</v>
      </c>
      <c r="B78" s="25">
        <v>43396</v>
      </c>
      <c r="C78" s="99" t="s">
        <v>9</v>
      </c>
      <c r="D78" s="7"/>
      <c r="E78" s="97">
        <v>1000</v>
      </c>
    </row>
    <row r="79" spans="1:5" ht="15.6" x14ac:dyDescent="0.3">
      <c r="A79" s="95">
        <v>75</v>
      </c>
      <c r="B79" s="25">
        <v>43396</v>
      </c>
      <c r="C79" s="105" t="s">
        <v>36</v>
      </c>
      <c r="D79" s="12">
        <v>60000</v>
      </c>
      <c r="E79" s="97"/>
    </row>
    <row r="80" spans="1:5" ht="15.6" x14ac:dyDescent="0.3">
      <c r="A80" s="95">
        <v>76</v>
      </c>
      <c r="B80" s="25">
        <v>43396</v>
      </c>
      <c r="C80" s="100" t="s">
        <v>26</v>
      </c>
      <c r="D80" s="7"/>
      <c r="E80" s="97">
        <v>10000</v>
      </c>
    </row>
    <row r="81" spans="1:5" ht="15.6" x14ac:dyDescent="0.3">
      <c r="A81" s="95">
        <v>77</v>
      </c>
      <c r="B81" s="25">
        <v>43397</v>
      </c>
      <c r="C81" s="100" t="s">
        <v>51</v>
      </c>
      <c r="D81" s="7"/>
      <c r="E81" s="97">
        <v>87000</v>
      </c>
    </row>
    <row r="82" spans="1:5" ht="15.6" x14ac:dyDescent="0.3">
      <c r="A82" s="95">
        <v>78</v>
      </c>
      <c r="B82" s="25">
        <v>43397</v>
      </c>
      <c r="C82" s="105" t="s">
        <v>52</v>
      </c>
      <c r="D82" s="7"/>
      <c r="E82" s="97">
        <v>3200</v>
      </c>
    </row>
    <row r="83" spans="1:5" ht="28.2" x14ac:dyDescent="0.3">
      <c r="A83" s="95">
        <v>79</v>
      </c>
      <c r="B83" s="25">
        <v>43397</v>
      </c>
      <c r="C83" s="105" t="s">
        <v>53</v>
      </c>
      <c r="D83" s="12">
        <v>50000</v>
      </c>
      <c r="E83" s="97"/>
    </row>
    <row r="84" spans="1:5" ht="15.6" x14ac:dyDescent="0.3">
      <c r="A84" s="95">
        <v>80</v>
      </c>
      <c r="B84" s="25">
        <v>43397</v>
      </c>
      <c r="C84" s="105" t="s">
        <v>54</v>
      </c>
      <c r="D84" s="12">
        <v>50000</v>
      </c>
      <c r="E84" s="97"/>
    </row>
    <row r="85" spans="1:5" ht="15.6" x14ac:dyDescent="0.3">
      <c r="A85" s="95">
        <v>81</v>
      </c>
      <c r="B85" s="25">
        <v>43397</v>
      </c>
      <c r="C85" s="100" t="s">
        <v>55</v>
      </c>
      <c r="D85" s="7"/>
      <c r="E85" s="97">
        <v>15000</v>
      </c>
    </row>
    <row r="86" spans="1:5" ht="15.6" x14ac:dyDescent="0.3">
      <c r="A86" s="95">
        <v>82</v>
      </c>
      <c r="B86" s="25">
        <v>43398</v>
      </c>
      <c r="C86" s="99" t="s">
        <v>7</v>
      </c>
      <c r="D86" s="7"/>
      <c r="E86" s="97">
        <v>1000</v>
      </c>
    </row>
    <row r="87" spans="1:5" ht="15.6" x14ac:dyDescent="0.3">
      <c r="A87" s="95">
        <v>83</v>
      </c>
      <c r="B87" s="25">
        <v>43398</v>
      </c>
      <c r="C87" s="99" t="s">
        <v>9</v>
      </c>
      <c r="D87" s="7"/>
      <c r="E87" s="97">
        <v>1000</v>
      </c>
    </row>
    <row r="88" spans="1:5" ht="15.6" x14ac:dyDescent="0.3">
      <c r="A88" s="95">
        <v>84</v>
      </c>
      <c r="B88" s="25">
        <v>43400</v>
      </c>
      <c r="C88" s="99" t="s">
        <v>7</v>
      </c>
      <c r="D88" s="7"/>
      <c r="E88" s="97">
        <v>1000</v>
      </c>
    </row>
    <row r="89" spans="1:5" ht="15.6" x14ac:dyDescent="0.3">
      <c r="A89" s="95">
        <v>85</v>
      </c>
      <c r="B89" s="25">
        <v>43400</v>
      </c>
      <c r="C89" s="99" t="s">
        <v>42</v>
      </c>
      <c r="D89" s="7"/>
      <c r="E89" s="97">
        <v>110</v>
      </c>
    </row>
    <row r="90" spans="1:5" ht="15.6" x14ac:dyDescent="0.3">
      <c r="A90" s="95">
        <v>86</v>
      </c>
      <c r="B90" s="25">
        <v>43400</v>
      </c>
      <c r="C90" s="99" t="s">
        <v>56</v>
      </c>
      <c r="D90" s="7"/>
      <c r="E90" s="97">
        <v>1100</v>
      </c>
    </row>
    <row r="91" spans="1:5" ht="15.6" x14ac:dyDescent="0.3">
      <c r="A91" s="95">
        <v>87</v>
      </c>
      <c r="B91" s="25">
        <v>43400</v>
      </c>
      <c r="C91" s="100" t="s">
        <v>31</v>
      </c>
      <c r="D91" s="7"/>
      <c r="E91" s="97">
        <v>3000</v>
      </c>
    </row>
    <row r="92" spans="1:5" ht="15.6" x14ac:dyDescent="0.3">
      <c r="A92" s="95">
        <v>88</v>
      </c>
      <c r="B92" s="25">
        <v>43400</v>
      </c>
      <c r="C92" s="100" t="s">
        <v>57</v>
      </c>
      <c r="D92" s="7"/>
      <c r="E92" s="97">
        <v>450</v>
      </c>
    </row>
    <row r="93" spans="1:5" ht="15.6" x14ac:dyDescent="0.3">
      <c r="A93" s="95">
        <v>89</v>
      </c>
      <c r="B93" s="25">
        <v>43402</v>
      </c>
      <c r="C93" s="100" t="s">
        <v>5</v>
      </c>
      <c r="D93" s="12">
        <v>200000</v>
      </c>
      <c r="E93" s="97"/>
    </row>
    <row r="94" spans="1:5" ht="15.6" x14ac:dyDescent="0.3">
      <c r="A94" s="95">
        <v>90</v>
      </c>
      <c r="B94" s="25">
        <v>43402</v>
      </c>
      <c r="C94" s="100" t="s">
        <v>58</v>
      </c>
      <c r="D94" s="7"/>
      <c r="E94" s="97">
        <v>100000</v>
      </c>
    </row>
    <row r="95" spans="1:5" ht="15.6" x14ac:dyDescent="0.3">
      <c r="A95" s="95">
        <v>91</v>
      </c>
      <c r="B95" s="25">
        <v>43402</v>
      </c>
      <c r="C95" s="100" t="s">
        <v>59</v>
      </c>
      <c r="D95" s="7"/>
      <c r="E95" s="97">
        <v>50000</v>
      </c>
    </row>
    <row r="96" spans="1:5" ht="15.6" x14ac:dyDescent="0.3">
      <c r="A96" s="95">
        <v>92</v>
      </c>
      <c r="B96" s="25">
        <v>43402</v>
      </c>
      <c r="C96" s="100" t="s">
        <v>60</v>
      </c>
      <c r="D96" s="7"/>
      <c r="E96" s="97">
        <v>68000</v>
      </c>
    </row>
    <row r="97" spans="1:5" ht="15.6" x14ac:dyDescent="0.3">
      <c r="A97" s="95">
        <v>93</v>
      </c>
      <c r="B97" s="25">
        <v>43402</v>
      </c>
      <c r="C97" s="100" t="s">
        <v>31</v>
      </c>
      <c r="D97" s="7"/>
      <c r="E97" s="97">
        <v>10000</v>
      </c>
    </row>
    <row r="98" spans="1:5" ht="15.6" x14ac:dyDescent="0.3">
      <c r="A98" s="95">
        <v>94</v>
      </c>
      <c r="B98" s="25">
        <v>43402</v>
      </c>
      <c r="C98" s="100" t="s">
        <v>61</v>
      </c>
      <c r="D98" s="7"/>
      <c r="E98" s="97">
        <v>850</v>
      </c>
    </row>
    <row r="99" spans="1:5" ht="15.6" x14ac:dyDescent="0.3">
      <c r="A99" s="95">
        <v>95</v>
      </c>
      <c r="B99" s="25">
        <v>43402</v>
      </c>
      <c r="C99" s="100" t="s">
        <v>62</v>
      </c>
      <c r="D99" s="7"/>
      <c r="E99" s="97">
        <v>300</v>
      </c>
    </row>
    <row r="100" spans="1:5" ht="15.6" x14ac:dyDescent="0.3">
      <c r="A100" s="95">
        <v>96</v>
      </c>
      <c r="B100" s="25">
        <v>43402</v>
      </c>
      <c r="C100" s="100" t="s">
        <v>63</v>
      </c>
      <c r="D100" s="7"/>
      <c r="E100" s="97">
        <v>200</v>
      </c>
    </row>
    <row r="101" spans="1:5" ht="15.6" x14ac:dyDescent="0.3">
      <c r="A101" s="95">
        <v>97</v>
      </c>
      <c r="B101" s="25">
        <v>43402</v>
      </c>
      <c r="C101" s="99" t="s">
        <v>64</v>
      </c>
      <c r="D101" s="7"/>
      <c r="E101" s="97">
        <v>10000</v>
      </c>
    </row>
    <row r="102" spans="1:5" ht="15.6" x14ac:dyDescent="0.3">
      <c r="A102" s="95">
        <v>98</v>
      </c>
      <c r="B102" s="25">
        <v>43402</v>
      </c>
      <c r="C102" s="100" t="s">
        <v>26</v>
      </c>
      <c r="D102" s="7"/>
      <c r="E102" s="97">
        <v>50000</v>
      </c>
    </row>
    <row r="103" spans="1:5" ht="15.6" x14ac:dyDescent="0.3">
      <c r="A103" s="95">
        <v>99</v>
      </c>
      <c r="B103" s="25">
        <v>43402</v>
      </c>
      <c r="C103" s="100" t="s">
        <v>65</v>
      </c>
      <c r="D103" s="7"/>
      <c r="E103" s="97">
        <v>850</v>
      </c>
    </row>
    <row r="104" spans="1:5" ht="15.6" x14ac:dyDescent="0.3">
      <c r="A104" s="95">
        <v>100</v>
      </c>
      <c r="B104" s="25">
        <v>43402</v>
      </c>
      <c r="C104" s="99" t="s">
        <v>7</v>
      </c>
      <c r="D104" s="7"/>
      <c r="E104" s="97">
        <v>1150</v>
      </c>
    </row>
    <row r="105" spans="1:5" ht="15.6" x14ac:dyDescent="0.3">
      <c r="A105" s="95">
        <v>101</v>
      </c>
      <c r="B105" s="25">
        <v>43402</v>
      </c>
      <c r="C105" s="99" t="s">
        <v>66</v>
      </c>
      <c r="D105" s="7"/>
      <c r="E105" s="97">
        <v>200</v>
      </c>
    </row>
    <row r="106" spans="1:5" ht="15.6" x14ac:dyDescent="0.3">
      <c r="A106" s="95">
        <v>102</v>
      </c>
      <c r="B106" s="25">
        <v>43403</v>
      </c>
      <c r="C106" s="100" t="s">
        <v>37</v>
      </c>
      <c r="D106" s="7"/>
      <c r="E106" s="97">
        <v>5000</v>
      </c>
    </row>
    <row r="107" spans="1:5" ht="15.6" x14ac:dyDescent="0.3">
      <c r="A107" s="95">
        <v>103</v>
      </c>
      <c r="B107" s="25">
        <v>43403</v>
      </c>
      <c r="C107" s="100" t="s">
        <v>67</v>
      </c>
      <c r="D107" s="7"/>
      <c r="E107" s="97">
        <v>1850</v>
      </c>
    </row>
    <row r="108" spans="1:5" ht="15.6" x14ac:dyDescent="0.3">
      <c r="A108" s="95">
        <v>104</v>
      </c>
      <c r="B108" s="25">
        <v>43403</v>
      </c>
      <c r="C108" s="100" t="s">
        <v>42</v>
      </c>
      <c r="D108" s="7"/>
      <c r="E108" s="97">
        <v>150</v>
      </c>
    </row>
    <row r="109" spans="1:5" ht="15.6" x14ac:dyDescent="0.3">
      <c r="A109" s="95">
        <v>105</v>
      </c>
      <c r="B109" s="25">
        <v>43403</v>
      </c>
      <c r="C109" s="100" t="s">
        <v>68</v>
      </c>
      <c r="D109" s="7"/>
      <c r="E109" s="97">
        <v>320</v>
      </c>
    </row>
    <row r="110" spans="1:5" ht="15.6" x14ac:dyDescent="0.3">
      <c r="A110" s="95">
        <v>106</v>
      </c>
      <c r="B110" s="25">
        <v>43404</v>
      </c>
      <c r="C110" s="99" t="s">
        <v>7</v>
      </c>
      <c r="D110" s="7"/>
      <c r="E110" s="97">
        <v>1000</v>
      </c>
    </row>
    <row r="111" spans="1:5" ht="15.6" x14ac:dyDescent="0.3">
      <c r="A111" s="95">
        <v>107</v>
      </c>
      <c r="B111" s="25">
        <v>43405</v>
      </c>
      <c r="C111" s="100" t="s">
        <v>69</v>
      </c>
      <c r="D111" s="7"/>
      <c r="E111" s="97">
        <v>50115</v>
      </c>
    </row>
    <row r="112" spans="1:5" ht="15.6" x14ac:dyDescent="0.3">
      <c r="A112" s="95">
        <v>108</v>
      </c>
      <c r="B112" s="25">
        <v>43407</v>
      </c>
      <c r="C112" s="105" t="s">
        <v>36</v>
      </c>
      <c r="D112" s="12">
        <v>50000</v>
      </c>
      <c r="E112" s="97"/>
    </row>
    <row r="113" spans="1:5" ht="15.6" x14ac:dyDescent="0.3">
      <c r="A113" s="95">
        <v>109</v>
      </c>
      <c r="B113" s="25">
        <v>43407</v>
      </c>
      <c r="C113" s="100" t="s">
        <v>31</v>
      </c>
      <c r="D113" s="7"/>
      <c r="E113" s="97">
        <v>30000</v>
      </c>
    </row>
    <row r="114" spans="1:5" ht="15.6" x14ac:dyDescent="0.3">
      <c r="A114" s="95">
        <v>110</v>
      </c>
      <c r="B114" s="25">
        <v>43407</v>
      </c>
      <c r="C114" s="100" t="s">
        <v>37</v>
      </c>
      <c r="D114" s="7"/>
      <c r="E114" s="97">
        <v>20000</v>
      </c>
    </row>
    <row r="115" spans="1:5" ht="15.6" x14ac:dyDescent="0.3">
      <c r="A115" s="95">
        <v>111</v>
      </c>
      <c r="B115" s="25">
        <v>43409</v>
      </c>
      <c r="C115" s="108" t="s">
        <v>70</v>
      </c>
      <c r="D115" s="7"/>
      <c r="E115" s="97">
        <v>60000</v>
      </c>
    </row>
    <row r="116" spans="1:5" ht="15.6" x14ac:dyDescent="0.3">
      <c r="A116" s="95">
        <v>112</v>
      </c>
      <c r="B116" s="25">
        <v>43409</v>
      </c>
      <c r="C116" s="99" t="s">
        <v>71</v>
      </c>
      <c r="D116" s="7"/>
      <c r="E116" s="97">
        <v>7450</v>
      </c>
    </row>
    <row r="117" spans="1:5" ht="15.6" x14ac:dyDescent="0.3">
      <c r="A117" s="95">
        <v>113</v>
      </c>
      <c r="B117" s="25">
        <v>43409</v>
      </c>
      <c r="C117" s="99" t="s">
        <v>72</v>
      </c>
      <c r="D117" s="7"/>
      <c r="E117" s="97">
        <v>12600</v>
      </c>
    </row>
    <row r="118" spans="1:5" ht="15.6" x14ac:dyDescent="0.3">
      <c r="A118" s="95">
        <v>114</v>
      </c>
      <c r="B118" s="25">
        <v>43409</v>
      </c>
      <c r="C118" s="99" t="s">
        <v>73</v>
      </c>
      <c r="D118" s="7"/>
      <c r="E118" s="97">
        <v>12800</v>
      </c>
    </row>
    <row r="119" spans="1:5" ht="15.6" x14ac:dyDescent="0.3">
      <c r="A119" s="95">
        <v>115</v>
      </c>
      <c r="B119" s="25">
        <v>43409</v>
      </c>
      <c r="C119" s="105" t="s">
        <v>36</v>
      </c>
      <c r="D119" s="12">
        <v>50000</v>
      </c>
      <c r="E119" s="97"/>
    </row>
    <row r="120" spans="1:5" ht="15.6" x14ac:dyDescent="0.3">
      <c r="A120" s="95">
        <v>116</v>
      </c>
      <c r="B120" s="25">
        <v>43410</v>
      </c>
      <c r="C120" s="100" t="s">
        <v>26</v>
      </c>
      <c r="D120" s="7"/>
      <c r="E120" s="97">
        <v>25000</v>
      </c>
    </row>
    <row r="121" spans="1:5" ht="15.6" x14ac:dyDescent="0.3">
      <c r="A121" s="95">
        <v>117</v>
      </c>
      <c r="B121" s="25">
        <v>43410</v>
      </c>
      <c r="C121" s="105" t="s">
        <v>74</v>
      </c>
      <c r="D121" s="7"/>
      <c r="E121" s="97">
        <v>100000</v>
      </c>
    </row>
    <row r="122" spans="1:5" ht="15.6" x14ac:dyDescent="0.3">
      <c r="A122" s="95">
        <v>118</v>
      </c>
      <c r="B122" s="25">
        <v>43410</v>
      </c>
      <c r="C122" s="105" t="s">
        <v>75</v>
      </c>
      <c r="D122" s="7"/>
      <c r="E122" s="97">
        <v>100000</v>
      </c>
    </row>
    <row r="123" spans="1:5" ht="15.6" x14ac:dyDescent="0.3">
      <c r="A123" s="95">
        <v>119</v>
      </c>
      <c r="B123" s="25">
        <v>43411</v>
      </c>
      <c r="C123" s="100" t="s">
        <v>37</v>
      </c>
      <c r="D123" s="7"/>
      <c r="E123" s="97">
        <v>25000</v>
      </c>
    </row>
    <row r="124" spans="1:5" ht="15.6" x14ac:dyDescent="0.3">
      <c r="A124" s="95">
        <v>120</v>
      </c>
      <c r="B124" s="25">
        <v>43411</v>
      </c>
      <c r="C124" s="100" t="s">
        <v>31</v>
      </c>
      <c r="D124" s="7"/>
      <c r="E124" s="97">
        <v>10000</v>
      </c>
    </row>
    <row r="125" spans="1:5" ht="15.6" x14ac:dyDescent="0.3">
      <c r="A125" s="95">
        <v>121</v>
      </c>
      <c r="B125" s="25">
        <v>43415</v>
      </c>
      <c r="C125" s="105" t="s">
        <v>36</v>
      </c>
      <c r="D125" s="12">
        <v>100000</v>
      </c>
      <c r="E125" s="97"/>
    </row>
    <row r="126" spans="1:5" ht="15.6" x14ac:dyDescent="0.3">
      <c r="A126" s="95">
        <v>122</v>
      </c>
      <c r="B126" s="25">
        <v>43415</v>
      </c>
      <c r="C126" s="100" t="s">
        <v>37</v>
      </c>
      <c r="D126" s="7"/>
      <c r="E126" s="97">
        <v>50000</v>
      </c>
    </row>
    <row r="127" spans="1:5" ht="15.6" x14ac:dyDescent="0.3">
      <c r="A127" s="95">
        <v>123</v>
      </c>
      <c r="B127" s="25">
        <v>43415</v>
      </c>
      <c r="C127" s="104" t="s">
        <v>76</v>
      </c>
      <c r="D127" s="7"/>
      <c r="E127" s="97">
        <v>23000</v>
      </c>
    </row>
    <row r="128" spans="1:5" ht="15.6" x14ac:dyDescent="0.3">
      <c r="A128" s="95">
        <v>124</v>
      </c>
      <c r="B128" s="25">
        <v>43415</v>
      </c>
      <c r="C128" s="100" t="s">
        <v>62</v>
      </c>
      <c r="D128" s="7"/>
      <c r="E128" s="97">
        <v>100</v>
      </c>
    </row>
    <row r="129" spans="1:5" ht="15.6" x14ac:dyDescent="0.3">
      <c r="A129" s="95">
        <v>125</v>
      </c>
      <c r="B129" s="25">
        <v>43415</v>
      </c>
      <c r="C129" s="99" t="s">
        <v>7</v>
      </c>
      <c r="D129" s="7"/>
      <c r="E129" s="97">
        <v>2000</v>
      </c>
    </row>
    <row r="130" spans="1:5" ht="15.6" x14ac:dyDescent="0.3">
      <c r="A130" s="95">
        <v>126</v>
      </c>
      <c r="B130" s="25">
        <v>43415</v>
      </c>
      <c r="C130" s="99" t="s">
        <v>77</v>
      </c>
      <c r="D130" s="7"/>
      <c r="E130" s="97">
        <v>1000</v>
      </c>
    </row>
    <row r="131" spans="1:5" ht="15.6" x14ac:dyDescent="0.3">
      <c r="A131" s="95">
        <v>127</v>
      </c>
      <c r="B131" s="25">
        <v>43415</v>
      </c>
      <c r="C131" s="99" t="s">
        <v>42</v>
      </c>
      <c r="D131" s="7"/>
      <c r="E131" s="97">
        <v>200</v>
      </c>
    </row>
    <row r="132" spans="1:5" ht="28.2" x14ac:dyDescent="0.3">
      <c r="A132" s="95">
        <v>128</v>
      </c>
      <c r="B132" s="25">
        <v>43416</v>
      </c>
      <c r="C132" s="105" t="s">
        <v>53</v>
      </c>
      <c r="D132" s="12">
        <v>50000</v>
      </c>
      <c r="E132" s="97"/>
    </row>
    <row r="133" spans="1:5" ht="28.2" x14ac:dyDescent="0.3">
      <c r="A133" s="95">
        <v>129</v>
      </c>
      <c r="B133" s="25">
        <v>43416</v>
      </c>
      <c r="C133" s="105" t="s">
        <v>53</v>
      </c>
      <c r="D133" s="12">
        <v>50000</v>
      </c>
      <c r="E133" s="97"/>
    </row>
    <row r="134" spans="1:5" ht="15.6" x14ac:dyDescent="0.3">
      <c r="A134" s="95">
        <v>130</v>
      </c>
      <c r="B134" s="25">
        <v>43416</v>
      </c>
      <c r="C134" s="100" t="s">
        <v>31</v>
      </c>
      <c r="D134" s="7"/>
      <c r="E134" s="97">
        <v>100000</v>
      </c>
    </row>
    <row r="135" spans="1:5" ht="15.6" x14ac:dyDescent="0.3">
      <c r="A135" s="95">
        <v>131</v>
      </c>
      <c r="B135" s="25">
        <v>43416</v>
      </c>
      <c r="C135" s="99" t="s">
        <v>42</v>
      </c>
      <c r="D135" s="7"/>
      <c r="E135" s="97">
        <v>50</v>
      </c>
    </row>
    <row r="136" spans="1:5" ht="15.6" x14ac:dyDescent="0.3">
      <c r="A136" s="95">
        <v>132</v>
      </c>
      <c r="B136" s="25">
        <v>43416</v>
      </c>
      <c r="C136" s="99" t="s">
        <v>78</v>
      </c>
      <c r="D136" s="7"/>
      <c r="E136" s="97">
        <v>9100</v>
      </c>
    </row>
    <row r="137" spans="1:5" ht="15.6" x14ac:dyDescent="0.3">
      <c r="A137" s="95">
        <v>133</v>
      </c>
      <c r="B137" s="25">
        <v>43418</v>
      </c>
      <c r="C137" s="99" t="s">
        <v>7</v>
      </c>
      <c r="D137" s="7"/>
      <c r="E137" s="97">
        <v>1000</v>
      </c>
    </row>
    <row r="138" spans="1:5" ht="15.6" x14ac:dyDescent="0.3">
      <c r="A138" s="95">
        <v>134</v>
      </c>
      <c r="B138" s="25">
        <v>43420</v>
      </c>
      <c r="C138" s="100" t="s">
        <v>31</v>
      </c>
      <c r="D138" s="7"/>
      <c r="E138" s="97">
        <v>10000</v>
      </c>
    </row>
    <row r="139" spans="1:5" ht="15.6" x14ac:dyDescent="0.3">
      <c r="A139" s="95">
        <v>135</v>
      </c>
      <c r="B139" s="25">
        <v>43420</v>
      </c>
      <c r="C139" s="100" t="s">
        <v>37</v>
      </c>
      <c r="D139" s="7"/>
      <c r="E139" s="97">
        <v>50000</v>
      </c>
    </row>
    <row r="140" spans="1:5" ht="15.6" x14ac:dyDescent="0.3">
      <c r="A140" s="95">
        <v>136</v>
      </c>
      <c r="B140" s="25">
        <v>43420</v>
      </c>
      <c r="C140" s="99" t="s">
        <v>7</v>
      </c>
      <c r="D140" s="7"/>
      <c r="E140" s="97">
        <v>1000</v>
      </c>
    </row>
    <row r="141" spans="1:5" ht="15.6" x14ac:dyDescent="0.3">
      <c r="A141" s="95">
        <v>137</v>
      </c>
      <c r="B141" s="25">
        <v>43421</v>
      </c>
      <c r="C141" s="99" t="s">
        <v>79</v>
      </c>
      <c r="D141" s="7"/>
      <c r="E141" s="97">
        <v>3000</v>
      </c>
    </row>
    <row r="142" spans="1:5" ht="15.6" x14ac:dyDescent="0.3">
      <c r="A142" s="95">
        <v>138</v>
      </c>
      <c r="B142" s="25">
        <v>43422</v>
      </c>
      <c r="C142" s="99" t="s">
        <v>7</v>
      </c>
      <c r="D142" s="7"/>
      <c r="E142" s="97">
        <v>1000</v>
      </c>
    </row>
    <row r="143" spans="1:5" ht="15.6" x14ac:dyDescent="0.3">
      <c r="A143" s="95">
        <v>139</v>
      </c>
      <c r="B143" s="25">
        <v>43422</v>
      </c>
      <c r="C143" s="99" t="s">
        <v>80</v>
      </c>
      <c r="D143" s="7"/>
      <c r="E143" s="97">
        <v>1000</v>
      </c>
    </row>
    <row r="144" spans="1:5" ht="15.6" x14ac:dyDescent="0.3">
      <c r="A144" s="95">
        <v>140</v>
      </c>
      <c r="B144" s="25">
        <v>43422</v>
      </c>
      <c r="C144" s="99" t="s">
        <v>81</v>
      </c>
      <c r="D144" s="7"/>
      <c r="E144" s="97">
        <v>95</v>
      </c>
    </row>
    <row r="145" spans="1:5" ht="15.6" x14ac:dyDescent="0.3">
      <c r="A145" s="95">
        <v>141</v>
      </c>
      <c r="B145" s="25">
        <v>43424</v>
      </c>
      <c r="C145" s="100" t="s">
        <v>31</v>
      </c>
      <c r="D145" s="7"/>
      <c r="E145" s="97">
        <v>10000</v>
      </c>
    </row>
    <row r="146" spans="1:5" ht="15.6" x14ac:dyDescent="0.3">
      <c r="A146" s="95">
        <v>142</v>
      </c>
      <c r="B146" s="25">
        <v>43424</v>
      </c>
      <c r="C146" s="99" t="s">
        <v>42</v>
      </c>
      <c r="D146" s="7"/>
      <c r="E146" s="97">
        <v>100</v>
      </c>
    </row>
    <row r="147" spans="1:5" ht="15.6" x14ac:dyDescent="0.3">
      <c r="A147" s="95">
        <v>143</v>
      </c>
      <c r="B147" s="25">
        <v>43424</v>
      </c>
      <c r="C147" s="99" t="s">
        <v>7</v>
      </c>
      <c r="D147" s="7"/>
      <c r="E147" s="97">
        <v>500</v>
      </c>
    </row>
    <row r="148" spans="1:5" ht="15.6" x14ac:dyDescent="0.3">
      <c r="A148" s="95">
        <v>144</v>
      </c>
      <c r="B148" s="25">
        <v>43424</v>
      </c>
      <c r="C148" s="99" t="s">
        <v>77</v>
      </c>
      <c r="D148" s="7"/>
      <c r="E148" s="97">
        <v>1000</v>
      </c>
    </row>
    <row r="149" spans="1:5" ht="28.2" x14ac:dyDescent="0.3">
      <c r="A149" s="95">
        <v>145</v>
      </c>
      <c r="B149" s="25">
        <v>43426</v>
      </c>
      <c r="C149" s="105" t="s">
        <v>82</v>
      </c>
      <c r="D149" s="12">
        <v>50000</v>
      </c>
      <c r="E149" s="97"/>
    </row>
    <row r="150" spans="1:5" ht="15.6" x14ac:dyDescent="0.3">
      <c r="A150" s="95">
        <v>146</v>
      </c>
      <c r="B150" s="25">
        <v>43426</v>
      </c>
      <c r="C150" s="100" t="s">
        <v>31</v>
      </c>
      <c r="D150" s="7"/>
      <c r="E150" s="97">
        <v>25000</v>
      </c>
    </row>
    <row r="151" spans="1:5" ht="15.6" x14ac:dyDescent="0.3">
      <c r="A151" s="95">
        <v>147</v>
      </c>
      <c r="B151" s="25">
        <v>43426</v>
      </c>
      <c r="C151" s="99" t="s">
        <v>83</v>
      </c>
      <c r="D151" s="7"/>
      <c r="E151" s="97">
        <v>20000</v>
      </c>
    </row>
    <row r="152" spans="1:5" ht="15.6" x14ac:dyDescent="0.3">
      <c r="A152" s="95">
        <v>148</v>
      </c>
      <c r="B152" s="25">
        <v>43426</v>
      </c>
      <c r="C152" s="99" t="s">
        <v>84</v>
      </c>
      <c r="D152" s="7"/>
      <c r="E152" s="97">
        <v>5000</v>
      </c>
    </row>
    <row r="153" spans="1:5" ht="15.6" x14ac:dyDescent="0.3">
      <c r="A153" s="95">
        <v>149</v>
      </c>
      <c r="B153" s="25">
        <v>43427</v>
      </c>
      <c r="C153" s="99" t="s">
        <v>7</v>
      </c>
      <c r="D153" s="7"/>
      <c r="E153" s="97">
        <v>3000</v>
      </c>
    </row>
    <row r="154" spans="1:5" ht="15.6" x14ac:dyDescent="0.3">
      <c r="A154" s="95">
        <v>150</v>
      </c>
      <c r="B154" s="25">
        <v>43428</v>
      </c>
      <c r="C154" s="99" t="s">
        <v>85</v>
      </c>
      <c r="D154" s="7"/>
      <c r="E154" s="97">
        <v>700</v>
      </c>
    </row>
    <row r="155" spans="1:5" ht="15.6" x14ac:dyDescent="0.3">
      <c r="A155" s="95">
        <v>151</v>
      </c>
      <c r="B155" s="25">
        <v>43428</v>
      </c>
      <c r="C155" s="106" t="s">
        <v>86</v>
      </c>
      <c r="D155" s="7"/>
      <c r="E155" s="97">
        <v>50</v>
      </c>
    </row>
    <row r="156" spans="1:5" ht="15.6" x14ac:dyDescent="0.3">
      <c r="A156" s="95">
        <v>152</v>
      </c>
      <c r="B156" s="25">
        <v>43428</v>
      </c>
      <c r="C156" s="99" t="s">
        <v>69</v>
      </c>
      <c r="D156" s="7"/>
      <c r="E156" s="97">
        <v>8000</v>
      </c>
    </row>
    <row r="157" spans="1:5" ht="15.6" x14ac:dyDescent="0.3">
      <c r="A157" s="95">
        <v>153</v>
      </c>
      <c r="B157" s="25">
        <v>43429</v>
      </c>
      <c r="C157" s="100" t="s">
        <v>37</v>
      </c>
      <c r="D157" s="7"/>
      <c r="E157" s="97">
        <v>10000</v>
      </c>
    </row>
    <row r="158" spans="1:5" ht="15.6" x14ac:dyDescent="0.3">
      <c r="A158" s="95">
        <v>154</v>
      </c>
      <c r="B158" s="25">
        <v>43429</v>
      </c>
      <c r="C158" s="99" t="s">
        <v>84</v>
      </c>
      <c r="D158" s="7"/>
      <c r="E158" s="97">
        <v>3000</v>
      </c>
    </row>
    <row r="159" spans="1:5" ht="15.6" x14ac:dyDescent="0.3">
      <c r="A159" s="95">
        <v>155</v>
      </c>
      <c r="B159" s="25">
        <v>43429</v>
      </c>
      <c r="C159" s="105" t="s">
        <v>87</v>
      </c>
      <c r="D159" s="12">
        <v>50000</v>
      </c>
      <c r="E159" s="97"/>
    </row>
    <row r="160" spans="1:5" ht="15.6" x14ac:dyDescent="0.3">
      <c r="A160" s="95">
        <v>156</v>
      </c>
      <c r="B160" s="25">
        <v>43430</v>
      </c>
      <c r="C160" s="100" t="s">
        <v>31</v>
      </c>
      <c r="D160" s="7"/>
      <c r="E160" s="97">
        <v>10000</v>
      </c>
    </row>
    <row r="161" spans="1:5" ht="15.6" x14ac:dyDescent="0.3">
      <c r="A161" s="95">
        <v>157</v>
      </c>
      <c r="B161" s="25">
        <v>43430</v>
      </c>
      <c r="C161" s="99" t="s">
        <v>42</v>
      </c>
      <c r="D161" s="7"/>
      <c r="E161" s="97">
        <v>100</v>
      </c>
    </row>
    <row r="162" spans="1:5" ht="15.6" x14ac:dyDescent="0.3">
      <c r="A162" s="95">
        <v>158</v>
      </c>
      <c r="B162" s="25">
        <v>43431</v>
      </c>
      <c r="C162" s="100" t="s">
        <v>31</v>
      </c>
      <c r="D162" s="7"/>
      <c r="E162" s="97">
        <v>5000</v>
      </c>
    </row>
    <row r="163" spans="1:5" ht="15.6" x14ac:dyDescent="0.3">
      <c r="A163" s="95">
        <v>159</v>
      </c>
      <c r="B163" s="25">
        <v>43432</v>
      </c>
      <c r="C163" s="99" t="s">
        <v>88</v>
      </c>
      <c r="D163" s="7"/>
      <c r="E163" s="97">
        <v>15560</v>
      </c>
    </row>
    <row r="164" spans="1:5" ht="15.6" x14ac:dyDescent="0.3">
      <c r="A164" s="95">
        <v>160</v>
      </c>
      <c r="B164" s="25">
        <v>43433</v>
      </c>
      <c r="C164" s="100" t="s">
        <v>31</v>
      </c>
      <c r="D164" s="7"/>
      <c r="E164" s="97">
        <v>5000</v>
      </c>
    </row>
    <row r="165" spans="1:5" ht="15.6" x14ac:dyDescent="0.3">
      <c r="A165" s="95">
        <v>161</v>
      </c>
      <c r="B165" s="25">
        <v>43434</v>
      </c>
      <c r="C165" s="99" t="s">
        <v>42</v>
      </c>
      <c r="D165" s="7"/>
      <c r="E165" s="97">
        <v>500</v>
      </c>
    </row>
    <row r="166" spans="1:5" ht="15.6" x14ac:dyDescent="0.3">
      <c r="A166" s="95">
        <v>162</v>
      </c>
      <c r="B166" s="25">
        <v>43434</v>
      </c>
      <c r="C166" s="99" t="s">
        <v>7</v>
      </c>
      <c r="D166" s="7"/>
      <c r="E166" s="97">
        <v>100</v>
      </c>
    </row>
    <row r="167" spans="1:5" ht="15.6" x14ac:dyDescent="0.3">
      <c r="A167" s="95">
        <v>163</v>
      </c>
      <c r="B167" s="25">
        <v>43435</v>
      </c>
      <c r="C167" s="99" t="s">
        <v>42</v>
      </c>
      <c r="D167" s="7"/>
      <c r="E167" s="97">
        <v>100</v>
      </c>
    </row>
    <row r="168" spans="1:5" ht="15.6" x14ac:dyDescent="0.3">
      <c r="A168" s="95">
        <v>164</v>
      </c>
      <c r="B168" s="25">
        <v>43435</v>
      </c>
      <c r="C168" s="99" t="s">
        <v>80</v>
      </c>
      <c r="D168" s="7"/>
      <c r="E168" s="97">
        <v>3000</v>
      </c>
    </row>
    <row r="169" spans="1:5" ht="15.6" x14ac:dyDescent="0.3">
      <c r="A169" s="95">
        <v>165</v>
      </c>
      <c r="B169" s="25">
        <v>43436</v>
      </c>
      <c r="C169" s="99" t="s">
        <v>42</v>
      </c>
      <c r="D169" s="7"/>
      <c r="E169" s="97">
        <v>200</v>
      </c>
    </row>
    <row r="170" spans="1:5" ht="15.6" x14ac:dyDescent="0.3">
      <c r="A170" s="95">
        <v>166</v>
      </c>
      <c r="B170" s="25">
        <v>43436</v>
      </c>
      <c r="C170" s="99" t="s">
        <v>7</v>
      </c>
      <c r="D170" s="7"/>
      <c r="E170" s="97">
        <v>1000</v>
      </c>
    </row>
    <row r="171" spans="1:5" ht="15.6" x14ac:dyDescent="0.3">
      <c r="A171" s="95">
        <v>167</v>
      </c>
      <c r="B171" s="25">
        <v>43436</v>
      </c>
      <c r="C171" s="105" t="s">
        <v>87</v>
      </c>
      <c r="D171" s="12">
        <v>75000</v>
      </c>
      <c r="E171" s="97"/>
    </row>
    <row r="172" spans="1:5" ht="15.6" x14ac:dyDescent="0.3">
      <c r="A172" s="95">
        <v>168</v>
      </c>
      <c r="B172" s="25">
        <v>43436</v>
      </c>
      <c r="C172" s="100" t="s">
        <v>37</v>
      </c>
      <c r="D172" s="7"/>
      <c r="E172" s="97">
        <v>50000</v>
      </c>
    </row>
    <row r="173" spans="1:5" ht="15.6" x14ac:dyDescent="0.3">
      <c r="A173" s="95">
        <v>169</v>
      </c>
      <c r="B173" s="25">
        <v>43438</v>
      </c>
      <c r="C173" s="106" t="s">
        <v>89</v>
      </c>
      <c r="D173" s="7"/>
      <c r="E173" s="97">
        <v>13300</v>
      </c>
    </row>
    <row r="174" spans="1:5" ht="15.6" x14ac:dyDescent="0.3">
      <c r="A174" s="95">
        <v>170</v>
      </c>
      <c r="B174" s="25">
        <v>43438</v>
      </c>
      <c r="C174" s="99" t="s">
        <v>90</v>
      </c>
      <c r="D174" s="7"/>
      <c r="E174" s="97">
        <v>16100</v>
      </c>
    </row>
    <row r="175" spans="1:5" ht="15.6" x14ac:dyDescent="0.3">
      <c r="A175" s="95">
        <v>171</v>
      </c>
      <c r="B175" s="25">
        <v>43438</v>
      </c>
      <c r="C175" s="99" t="s">
        <v>84</v>
      </c>
      <c r="D175" s="7"/>
      <c r="E175" s="97">
        <v>3000</v>
      </c>
    </row>
    <row r="176" spans="1:5" ht="15.6" x14ac:dyDescent="0.3">
      <c r="A176" s="95">
        <v>172</v>
      </c>
      <c r="B176" s="25">
        <v>43438</v>
      </c>
      <c r="C176" s="99" t="s">
        <v>26</v>
      </c>
      <c r="D176" s="7"/>
      <c r="E176" s="97">
        <v>5000</v>
      </c>
    </row>
    <row r="177" spans="1:5" ht="15.6" x14ac:dyDescent="0.3">
      <c r="A177" s="95">
        <v>173</v>
      </c>
      <c r="B177" s="25">
        <v>43438</v>
      </c>
      <c r="C177" s="105" t="s">
        <v>87</v>
      </c>
      <c r="D177" s="12">
        <v>50000</v>
      </c>
      <c r="E177" s="97"/>
    </row>
    <row r="178" spans="1:5" ht="15.6" x14ac:dyDescent="0.3">
      <c r="A178" s="95">
        <v>174</v>
      </c>
      <c r="B178" s="25">
        <v>43438</v>
      </c>
      <c r="C178" s="100" t="s">
        <v>31</v>
      </c>
      <c r="D178" s="7"/>
      <c r="E178" s="97">
        <v>15000</v>
      </c>
    </row>
    <row r="179" spans="1:5" ht="15.6" x14ac:dyDescent="0.3">
      <c r="A179" s="95">
        <v>175</v>
      </c>
      <c r="B179" s="25">
        <v>43438</v>
      </c>
      <c r="C179" s="99" t="s">
        <v>84</v>
      </c>
      <c r="D179" s="7"/>
      <c r="E179" s="97">
        <v>5050</v>
      </c>
    </row>
    <row r="180" spans="1:5" ht="15.6" x14ac:dyDescent="0.3">
      <c r="A180" s="95">
        <v>176</v>
      </c>
      <c r="B180" s="25">
        <v>43438</v>
      </c>
      <c r="C180" s="99" t="s">
        <v>14</v>
      </c>
      <c r="D180" s="7"/>
      <c r="E180" s="97">
        <v>170</v>
      </c>
    </row>
    <row r="181" spans="1:5" ht="15.6" x14ac:dyDescent="0.3">
      <c r="A181" s="95">
        <v>177</v>
      </c>
      <c r="B181" s="25">
        <v>43438</v>
      </c>
      <c r="C181" s="99" t="s">
        <v>83</v>
      </c>
      <c r="D181" s="7"/>
      <c r="E181" s="97">
        <v>30000</v>
      </c>
    </row>
    <row r="182" spans="1:5" ht="15.6" x14ac:dyDescent="0.3">
      <c r="A182" s="95">
        <v>178</v>
      </c>
      <c r="B182" s="25">
        <v>43439</v>
      </c>
      <c r="C182" s="99" t="s">
        <v>26</v>
      </c>
      <c r="D182" s="7"/>
      <c r="E182" s="97">
        <v>5000</v>
      </c>
    </row>
    <row r="183" spans="1:5" ht="15.6" x14ac:dyDescent="0.3">
      <c r="A183" s="95">
        <v>179</v>
      </c>
      <c r="B183" s="25">
        <v>43440</v>
      </c>
      <c r="C183" s="99" t="s">
        <v>42</v>
      </c>
      <c r="D183" s="7"/>
      <c r="E183" s="97">
        <v>100</v>
      </c>
    </row>
    <row r="184" spans="1:5" ht="15.6" x14ac:dyDescent="0.3">
      <c r="A184" s="95">
        <v>180</v>
      </c>
      <c r="B184" s="25">
        <v>43440</v>
      </c>
      <c r="C184" s="99" t="s">
        <v>91</v>
      </c>
      <c r="D184" s="7"/>
      <c r="E184" s="97">
        <v>5650</v>
      </c>
    </row>
    <row r="185" spans="1:5" ht="15.6" x14ac:dyDescent="0.3">
      <c r="A185" s="95">
        <v>181</v>
      </c>
      <c r="B185" s="25">
        <v>43440</v>
      </c>
      <c r="C185" s="99" t="s">
        <v>92</v>
      </c>
      <c r="D185" s="7"/>
      <c r="E185" s="97">
        <v>850</v>
      </c>
    </row>
    <row r="186" spans="1:5" ht="15.6" x14ac:dyDescent="0.3">
      <c r="A186" s="95">
        <v>182</v>
      </c>
      <c r="B186" s="25">
        <v>43440</v>
      </c>
      <c r="C186" s="99" t="s">
        <v>93</v>
      </c>
      <c r="D186" s="7"/>
      <c r="E186" s="97">
        <v>850</v>
      </c>
    </row>
    <row r="187" spans="1:5" ht="15.6" x14ac:dyDescent="0.3">
      <c r="A187" s="95">
        <v>183</v>
      </c>
      <c r="B187" s="25">
        <v>43440</v>
      </c>
      <c r="C187" s="105" t="s">
        <v>87</v>
      </c>
      <c r="D187" s="12">
        <v>60000</v>
      </c>
      <c r="E187" s="97"/>
    </row>
    <row r="188" spans="1:5" ht="15.6" x14ac:dyDescent="0.3">
      <c r="A188" s="95">
        <v>184</v>
      </c>
      <c r="B188" s="25">
        <v>43440</v>
      </c>
      <c r="C188" s="100" t="s">
        <v>31</v>
      </c>
      <c r="D188" s="7"/>
      <c r="E188" s="97">
        <v>10000</v>
      </c>
    </row>
    <row r="189" spans="1:5" ht="15.6" x14ac:dyDescent="0.3">
      <c r="A189" s="95">
        <v>185</v>
      </c>
      <c r="B189" s="25">
        <v>43440</v>
      </c>
      <c r="C189" s="99" t="s">
        <v>26</v>
      </c>
      <c r="D189" s="7"/>
      <c r="E189" s="97">
        <v>5000</v>
      </c>
    </row>
    <row r="190" spans="1:5" ht="15.6" x14ac:dyDescent="0.3">
      <c r="A190" s="95">
        <v>186</v>
      </c>
      <c r="B190" s="25">
        <v>43441</v>
      </c>
      <c r="C190" s="99" t="s">
        <v>26</v>
      </c>
      <c r="D190" s="7"/>
      <c r="E190" s="97">
        <v>10000</v>
      </c>
    </row>
    <row r="191" spans="1:5" ht="15.6" x14ac:dyDescent="0.3">
      <c r="A191" s="95">
        <v>187</v>
      </c>
      <c r="B191" s="25">
        <v>43443</v>
      </c>
      <c r="C191" s="99" t="s">
        <v>26</v>
      </c>
      <c r="D191" s="7"/>
      <c r="E191" s="97">
        <v>10000</v>
      </c>
    </row>
    <row r="192" spans="1:5" ht="15.6" x14ac:dyDescent="0.3">
      <c r="A192" s="95">
        <v>188</v>
      </c>
      <c r="B192" s="25">
        <v>43443</v>
      </c>
      <c r="C192" s="99" t="s">
        <v>94</v>
      </c>
      <c r="D192" s="7"/>
      <c r="E192" s="97">
        <v>1000</v>
      </c>
    </row>
    <row r="193" spans="1:5" ht="15.6" x14ac:dyDescent="0.3">
      <c r="A193" s="95">
        <v>189</v>
      </c>
      <c r="B193" s="25">
        <v>43444</v>
      </c>
      <c r="C193" s="99" t="s">
        <v>95</v>
      </c>
      <c r="D193" s="7"/>
      <c r="E193" s="97">
        <v>350</v>
      </c>
    </row>
    <row r="194" spans="1:5" ht="15.6" x14ac:dyDescent="0.3">
      <c r="A194" s="95">
        <v>190</v>
      </c>
      <c r="B194" s="25">
        <v>43445</v>
      </c>
      <c r="C194" s="99" t="s">
        <v>26</v>
      </c>
      <c r="D194" s="7"/>
      <c r="E194" s="97">
        <v>5000</v>
      </c>
    </row>
    <row r="195" spans="1:5" ht="15.6" x14ac:dyDescent="0.3">
      <c r="A195" s="95">
        <v>191</v>
      </c>
      <c r="B195" s="25">
        <v>43445</v>
      </c>
      <c r="C195" s="99" t="s">
        <v>7</v>
      </c>
      <c r="D195" s="7"/>
      <c r="E195" s="97">
        <v>1000</v>
      </c>
    </row>
    <row r="196" spans="1:5" ht="15.6" x14ac:dyDescent="0.3">
      <c r="A196" s="95">
        <v>192</v>
      </c>
      <c r="B196" s="25">
        <v>43446</v>
      </c>
      <c r="C196" s="99" t="s">
        <v>26</v>
      </c>
      <c r="D196" s="7"/>
      <c r="E196" s="97">
        <v>4000</v>
      </c>
    </row>
    <row r="197" spans="1:5" ht="15.6" x14ac:dyDescent="0.3">
      <c r="A197" s="95">
        <v>193</v>
      </c>
      <c r="B197" s="25">
        <v>43446</v>
      </c>
      <c r="C197" s="99" t="s">
        <v>42</v>
      </c>
      <c r="D197" s="7"/>
      <c r="E197" s="97">
        <v>150</v>
      </c>
    </row>
    <row r="198" spans="1:5" ht="15.6" x14ac:dyDescent="0.3">
      <c r="A198" s="95">
        <v>194</v>
      </c>
      <c r="B198" s="25">
        <v>43446</v>
      </c>
      <c r="C198" s="105" t="s">
        <v>87</v>
      </c>
      <c r="D198" s="12">
        <v>20000</v>
      </c>
      <c r="E198" s="97"/>
    </row>
    <row r="199" spans="1:5" ht="15.6" x14ac:dyDescent="0.3">
      <c r="A199" s="95">
        <v>195</v>
      </c>
      <c r="B199" s="25">
        <v>43447</v>
      </c>
      <c r="C199" s="99" t="s">
        <v>26</v>
      </c>
      <c r="D199" s="7"/>
      <c r="E199" s="97">
        <v>6000</v>
      </c>
    </row>
    <row r="200" spans="1:5" ht="15.6" x14ac:dyDescent="0.3">
      <c r="A200" s="95">
        <v>196</v>
      </c>
      <c r="B200" s="25">
        <v>43447</v>
      </c>
      <c r="C200" s="100" t="s">
        <v>31</v>
      </c>
      <c r="D200" s="7"/>
      <c r="E200" s="97">
        <v>5000</v>
      </c>
    </row>
    <row r="201" spans="1:5" ht="15.6" x14ac:dyDescent="0.3">
      <c r="A201" s="95">
        <v>197</v>
      </c>
      <c r="B201" s="25">
        <v>43447</v>
      </c>
      <c r="C201" s="100" t="s">
        <v>37</v>
      </c>
      <c r="D201" s="7"/>
      <c r="E201" s="97">
        <v>5000</v>
      </c>
    </row>
    <row r="202" spans="1:5" ht="15.6" x14ac:dyDescent="0.3">
      <c r="A202" s="95">
        <v>198</v>
      </c>
      <c r="B202" s="25">
        <v>43447</v>
      </c>
      <c r="C202" s="99" t="s">
        <v>96</v>
      </c>
      <c r="D202" s="7"/>
      <c r="E202" s="97">
        <v>260</v>
      </c>
    </row>
    <row r="203" spans="1:5" ht="15.6" x14ac:dyDescent="0.3">
      <c r="A203" s="95">
        <v>199</v>
      </c>
      <c r="B203" s="25">
        <v>43447</v>
      </c>
      <c r="C203" s="99" t="s">
        <v>42</v>
      </c>
      <c r="D203" s="7"/>
      <c r="E203" s="97">
        <v>100</v>
      </c>
    </row>
    <row r="204" spans="1:5" ht="15.6" x14ac:dyDescent="0.3">
      <c r="A204" s="95">
        <v>200</v>
      </c>
      <c r="B204" s="25">
        <v>43447</v>
      </c>
      <c r="C204" s="105" t="s">
        <v>87</v>
      </c>
      <c r="D204" s="12">
        <v>30000</v>
      </c>
      <c r="E204" s="97"/>
    </row>
    <row r="205" spans="1:5" ht="15.6" x14ac:dyDescent="0.3">
      <c r="A205" s="95">
        <v>201</v>
      </c>
      <c r="B205" s="25">
        <v>43447</v>
      </c>
      <c r="C205" s="105" t="s">
        <v>10</v>
      </c>
      <c r="D205" s="7"/>
      <c r="E205" s="97">
        <v>1000</v>
      </c>
    </row>
    <row r="206" spans="1:5" ht="15.6" x14ac:dyDescent="0.3">
      <c r="A206" s="95">
        <v>202</v>
      </c>
      <c r="B206" s="25">
        <v>43447</v>
      </c>
      <c r="C206" s="105" t="s">
        <v>97</v>
      </c>
      <c r="D206" s="7"/>
      <c r="E206" s="97">
        <v>1000</v>
      </c>
    </row>
    <row r="207" spans="1:5" ht="15.6" x14ac:dyDescent="0.3">
      <c r="A207" s="95">
        <v>203</v>
      </c>
      <c r="B207" s="25">
        <v>43448</v>
      </c>
      <c r="C207" s="105" t="s">
        <v>26</v>
      </c>
      <c r="D207" s="7"/>
      <c r="E207" s="97">
        <v>5000</v>
      </c>
    </row>
    <row r="208" spans="1:5" ht="15.6" x14ac:dyDescent="0.3">
      <c r="A208" s="95">
        <v>204</v>
      </c>
      <c r="B208" s="25">
        <v>43450</v>
      </c>
      <c r="C208" s="105" t="s">
        <v>42</v>
      </c>
      <c r="D208" s="7"/>
      <c r="E208" s="97">
        <v>150</v>
      </c>
    </row>
    <row r="209" spans="1:5" ht="15.6" x14ac:dyDescent="0.3">
      <c r="A209" s="95">
        <v>205</v>
      </c>
      <c r="B209" s="25">
        <v>43450</v>
      </c>
      <c r="C209" s="99" t="s">
        <v>98</v>
      </c>
      <c r="D209" s="7"/>
      <c r="E209" s="97">
        <v>50</v>
      </c>
    </row>
    <row r="210" spans="1:5" ht="15.6" x14ac:dyDescent="0.3">
      <c r="A210" s="95">
        <v>206</v>
      </c>
      <c r="B210" s="25">
        <v>43450</v>
      </c>
      <c r="C210" s="105" t="s">
        <v>26</v>
      </c>
      <c r="D210" s="7"/>
      <c r="E210" s="97">
        <v>5000</v>
      </c>
    </row>
    <row r="211" spans="1:5" ht="28.2" x14ac:dyDescent="0.3">
      <c r="A211" s="95">
        <v>207</v>
      </c>
      <c r="B211" s="25">
        <v>43451</v>
      </c>
      <c r="C211" s="105" t="s">
        <v>99</v>
      </c>
      <c r="D211" s="12">
        <v>300000</v>
      </c>
      <c r="E211" s="97"/>
    </row>
    <row r="212" spans="1:5" ht="15.6" x14ac:dyDescent="0.3">
      <c r="A212" s="95">
        <v>208</v>
      </c>
      <c r="B212" s="25">
        <v>43451</v>
      </c>
      <c r="C212" s="100" t="s">
        <v>31</v>
      </c>
      <c r="D212" s="7"/>
      <c r="E212" s="97">
        <v>12000</v>
      </c>
    </row>
    <row r="213" spans="1:5" ht="15.6" x14ac:dyDescent="0.3">
      <c r="A213" s="95">
        <v>209</v>
      </c>
      <c r="B213" s="25">
        <v>43451</v>
      </c>
      <c r="C213" s="105" t="s">
        <v>42</v>
      </c>
      <c r="D213" s="7"/>
      <c r="E213" s="97">
        <v>350</v>
      </c>
    </row>
    <row r="214" spans="1:5" ht="15.6" x14ac:dyDescent="0.3">
      <c r="A214" s="95">
        <v>210</v>
      </c>
      <c r="B214" s="25">
        <v>43451</v>
      </c>
      <c r="C214" s="105" t="s">
        <v>100</v>
      </c>
      <c r="D214" s="7"/>
      <c r="E214" s="97">
        <v>2000</v>
      </c>
    </row>
    <row r="215" spans="1:5" ht="15.6" x14ac:dyDescent="0.3">
      <c r="A215" s="95">
        <v>211</v>
      </c>
      <c r="B215" s="25">
        <v>43451</v>
      </c>
      <c r="C215" s="105" t="s">
        <v>10</v>
      </c>
      <c r="D215" s="7"/>
      <c r="E215" s="97">
        <v>2000</v>
      </c>
    </row>
    <row r="216" spans="1:5" ht="15.6" x14ac:dyDescent="0.3">
      <c r="A216" s="95">
        <v>212</v>
      </c>
      <c r="B216" s="25">
        <v>43451</v>
      </c>
      <c r="C216" s="99" t="s">
        <v>7</v>
      </c>
      <c r="D216" s="7"/>
      <c r="E216" s="97">
        <v>2000</v>
      </c>
    </row>
    <row r="217" spans="1:5" ht="15.6" x14ac:dyDescent="0.3">
      <c r="A217" s="95">
        <v>213</v>
      </c>
      <c r="B217" s="25">
        <v>43451</v>
      </c>
      <c r="C217" s="105" t="s">
        <v>97</v>
      </c>
      <c r="D217" s="7"/>
      <c r="E217" s="97">
        <v>1000</v>
      </c>
    </row>
    <row r="218" spans="1:5" ht="15.6" x14ac:dyDescent="0.3">
      <c r="A218" s="95">
        <v>214</v>
      </c>
      <c r="B218" s="25">
        <v>43451</v>
      </c>
      <c r="C218" s="104" t="s">
        <v>101</v>
      </c>
      <c r="D218" s="7"/>
      <c r="E218" s="97">
        <v>66000</v>
      </c>
    </row>
    <row r="219" spans="1:5" ht="15.6" x14ac:dyDescent="0.3">
      <c r="A219" s="95">
        <v>215</v>
      </c>
      <c r="B219" s="25">
        <v>43451</v>
      </c>
      <c r="C219" s="105" t="s">
        <v>102</v>
      </c>
      <c r="D219" s="7"/>
      <c r="E219" s="97">
        <v>30000</v>
      </c>
    </row>
    <row r="220" spans="1:5" ht="15.6" x14ac:dyDescent="0.3">
      <c r="A220" s="95">
        <v>216</v>
      </c>
      <c r="B220" s="25">
        <v>43451</v>
      </c>
      <c r="C220" s="105" t="s">
        <v>6</v>
      </c>
      <c r="D220" s="7"/>
      <c r="E220" s="97">
        <v>100000</v>
      </c>
    </row>
    <row r="221" spans="1:5" ht="15.6" x14ac:dyDescent="0.3">
      <c r="A221" s="95">
        <v>217</v>
      </c>
      <c r="B221" s="25">
        <v>43451</v>
      </c>
      <c r="C221" s="100" t="s">
        <v>103</v>
      </c>
      <c r="D221" s="7"/>
      <c r="E221" s="97">
        <v>60000</v>
      </c>
    </row>
    <row r="222" spans="1:5" ht="15.6" x14ac:dyDescent="0.3">
      <c r="A222" s="95">
        <v>218</v>
      </c>
      <c r="B222" s="25">
        <v>43451</v>
      </c>
      <c r="C222" s="105" t="s">
        <v>62</v>
      </c>
      <c r="D222" s="7"/>
      <c r="E222" s="97">
        <v>100</v>
      </c>
    </row>
    <row r="223" spans="1:5" ht="15.6" x14ac:dyDescent="0.3">
      <c r="A223" s="95">
        <v>219</v>
      </c>
      <c r="B223" s="25">
        <v>43452</v>
      </c>
      <c r="C223" s="105" t="s">
        <v>26</v>
      </c>
      <c r="D223" s="7"/>
      <c r="E223" s="97">
        <v>2000</v>
      </c>
    </row>
    <row r="224" spans="1:5" ht="15.6" x14ac:dyDescent="0.3">
      <c r="A224" s="95">
        <v>220</v>
      </c>
      <c r="B224" s="25">
        <v>43452</v>
      </c>
      <c r="C224" s="100" t="s">
        <v>31</v>
      </c>
      <c r="D224" s="7"/>
      <c r="E224" s="97">
        <v>2000</v>
      </c>
    </row>
    <row r="225" spans="1:5" ht="15.6" x14ac:dyDescent="0.3">
      <c r="A225" s="95">
        <v>221</v>
      </c>
      <c r="B225" s="25">
        <v>43452</v>
      </c>
      <c r="C225" s="100" t="s">
        <v>42</v>
      </c>
      <c r="D225" s="7"/>
      <c r="E225" s="97">
        <v>240</v>
      </c>
    </row>
    <row r="226" spans="1:5" ht="15.6" x14ac:dyDescent="0.3">
      <c r="A226" s="95">
        <v>222</v>
      </c>
      <c r="B226" s="25">
        <v>43453</v>
      </c>
      <c r="C226" s="99" t="s">
        <v>84</v>
      </c>
      <c r="D226" s="7"/>
      <c r="E226" s="97">
        <v>3750</v>
      </c>
    </row>
    <row r="227" spans="1:5" ht="15.6" x14ac:dyDescent="0.3">
      <c r="A227" s="95">
        <v>223</v>
      </c>
      <c r="B227" s="25">
        <v>43453</v>
      </c>
      <c r="C227" s="105" t="s">
        <v>104</v>
      </c>
      <c r="D227" s="7"/>
      <c r="E227" s="97">
        <v>240</v>
      </c>
    </row>
    <row r="228" spans="1:5" ht="15.6" x14ac:dyDescent="0.3">
      <c r="A228" s="95">
        <v>224</v>
      </c>
      <c r="B228" s="25">
        <v>43453</v>
      </c>
      <c r="C228" s="100" t="s">
        <v>31</v>
      </c>
      <c r="D228" s="7"/>
      <c r="E228" s="97">
        <v>10000</v>
      </c>
    </row>
    <row r="229" spans="1:5" ht="15.6" x14ac:dyDescent="0.3">
      <c r="A229" s="95">
        <v>225</v>
      </c>
      <c r="B229" s="25">
        <v>43453</v>
      </c>
      <c r="C229" s="105" t="s">
        <v>26</v>
      </c>
      <c r="D229" s="7"/>
      <c r="E229" s="97">
        <v>6000</v>
      </c>
    </row>
    <row r="230" spans="1:5" ht="15.6" x14ac:dyDescent="0.3">
      <c r="A230" s="95">
        <v>226</v>
      </c>
      <c r="B230" s="25">
        <v>43453</v>
      </c>
      <c r="C230" s="105" t="s">
        <v>10</v>
      </c>
      <c r="D230" s="7"/>
      <c r="E230" s="97">
        <v>500</v>
      </c>
    </row>
    <row r="231" spans="1:5" ht="15.6" x14ac:dyDescent="0.3">
      <c r="A231" s="95">
        <v>227</v>
      </c>
      <c r="B231" s="25">
        <v>43454</v>
      </c>
      <c r="C231" s="105" t="s">
        <v>26</v>
      </c>
      <c r="D231" s="7"/>
      <c r="E231" s="97">
        <v>3000</v>
      </c>
    </row>
    <row r="232" spans="1:5" ht="15.6" x14ac:dyDescent="0.3">
      <c r="A232" s="95">
        <v>228</v>
      </c>
      <c r="B232" s="25">
        <v>43454</v>
      </c>
      <c r="C232" s="99" t="s">
        <v>105</v>
      </c>
      <c r="D232" s="7"/>
      <c r="E232" s="97">
        <v>70</v>
      </c>
    </row>
    <row r="233" spans="1:5" ht="15.6" x14ac:dyDescent="0.3">
      <c r="A233" s="95">
        <v>229</v>
      </c>
      <c r="B233" s="25">
        <v>43455</v>
      </c>
      <c r="C233" s="105" t="s">
        <v>42</v>
      </c>
      <c r="D233" s="7"/>
      <c r="E233" s="97">
        <v>75</v>
      </c>
    </row>
    <row r="234" spans="1:5" ht="15.6" x14ac:dyDescent="0.3">
      <c r="A234" s="95">
        <v>230</v>
      </c>
      <c r="B234" s="25">
        <v>43455</v>
      </c>
      <c r="C234" s="99" t="s">
        <v>7</v>
      </c>
      <c r="D234" s="7"/>
      <c r="E234" s="97">
        <v>1000</v>
      </c>
    </row>
    <row r="235" spans="1:5" ht="15.6" x14ac:dyDescent="0.3">
      <c r="A235" s="95">
        <v>231</v>
      </c>
      <c r="B235" s="25">
        <v>43455</v>
      </c>
      <c r="C235" s="99" t="s">
        <v>94</v>
      </c>
      <c r="D235" s="7"/>
      <c r="E235" s="97">
        <v>1000</v>
      </c>
    </row>
    <row r="236" spans="1:5" ht="15.6" x14ac:dyDescent="0.3">
      <c r="A236" s="95">
        <v>232</v>
      </c>
      <c r="B236" s="25">
        <v>43455</v>
      </c>
      <c r="C236" s="99" t="s">
        <v>26</v>
      </c>
      <c r="D236" s="7"/>
      <c r="E236" s="97">
        <v>7000</v>
      </c>
    </row>
    <row r="237" spans="1:5" ht="15.6" x14ac:dyDescent="0.3">
      <c r="A237" s="95">
        <v>233</v>
      </c>
      <c r="B237" s="25">
        <v>43456</v>
      </c>
      <c r="C237" s="100" t="s">
        <v>31</v>
      </c>
      <c r="D237" s="7"/>
      <c r="E237" s="97">
        <v>4000</v>
      </c>
    </row>
    <row r="238" spans="1:5" ht="15.6" x14ac:dyDescent="0.3">
      <c r="A238" s="95">
        <v>234</v>
      </c>
      <c r="B238" s="25">
        <v>43456</v>
      </c>
      <c r="C238" s="99" t="s">
        <v>26</v>
      </c>
      <c r="D238" s="7"/>
      <c r="E238" s="97">
        <v>3000</v>
      </c>
    </row>
    <row r="239" spans="1:5" ht="15.6" x14ac:dyDescent="0.3">
      <c r="A239" s="95">
        <v>235</v>
      </c>
      <c r="B239" s="25">
        <v>43456</v>
      </c>
      <c r="C239" s="99" t="s">
        <v>42</v>
      </c>
      <c r="D239" s="7"/>
      <c r="E239" s="97">
        <v>100</v>
      </c>
    </row>
    <row r="240" spans="1:5" ht="15.6" x14ac:dyDescent="0.3">
      <c r="A240" s="95">
        <v>236</v>
      </c>
      <c r="B240" s="25">
        <v>43457</v>
      </c>
      <c r="C240" s="105" t="s">
        <v>87</v>
      </c>
      <c r="D240" s="12">
        <v>49000</v>
      </c>
      <c r="E240" s="97"/>
    </row>
    <row r="241" spans="1:5" ht="15.6" x14ac:dyDescent="0.3">
      <c r="A241" s="95">
        <v>237</v>
      </c>
      <c r="B241" s="25">
        <v>43457</v>
      </c>
      <c r="C241" s="105" t="s">
        <v>106</v>
      </c>
      <c r="D241" s="7"/>
      <c r="E241" s="97">
        <v>850</v>
      </c>
    </row>
    <row r="242" spans="1:5" ht="15.6" x14ac:dyDescent="0.3">
      <c r="A242" s="95">
        <v>238</v>
      </c>
      <c r="B242" s="25">
        <v>43457</v>
      </c>
      <c r="C242" s="105" t="s">
        <v>107</v>
      </c>
      <c r="D242" s="7"/>
      <c r="E242" s="97">
        <v>60</v>
      </c>
    </row>
    <row r="243" spans="1:5" ht="15.6" x14ac:dyDescent="0.3">
      <c r="A243" s="95">
        <v>239</v>
      </c>
      <c r="B243" s="25">
        <v>43457</v>
      </c>
      <c r="C243" s="105" t="s">
        <v>26</v>
      </c>
      <c r="D243" s="7"/>
      <c r="E243" s="97">
        <v>1000</v>
      </c>
    </row>
    <row r="244" spans="1:5" ht="15.6" x14ac:dyDescent="0.3">
      <c r="A244" s="95">
        <v>240</v>
      </c>
      <c r="B244" s="25">
        <v>43457</v>
      </c>
      <c r="C244" s="105" t="s">
        <v>102</v>
      </c>
      <c r="D244" s="7"/>
      <c r="E244" s="97">
        <v>30000</v>
      </c>
    </row>
    <row r="245" spans="1:5" ht="15.6" x14ac:dyDescent="0.3">
      <c r="A245" s="95">
        <v>241</v>
      </c>
      <c r="B245" s="25">
        <v>43457</v>
      </c>
      <c r="C245" s="100" t="s">
        <v>31</v>
      </c>
      <c r="D245" s="7"/>
      <c r="E245" s="97">
        <v>10000</v>
      </c>
    </row>
    <row r="246" spans="1:5" ht="15.6" x14ac:dyDescent="0.3">
      <c r="A246" s="95">
        <v>242</v>
      </c>
      <c r="B246" s="25">
        <v>43459</v>
      </c>
      <c r="C246" s="100" t="s">
        <v>31</v>
      </c>
      <c r="D246" s="7"/>
      <c r="E246" s="97">
        <v>5000</v>
      </c>
    </row>
    <row r="247" spans="1:5" ht="15.6" x14ac:dyDescent="0.3">
      <c r="A247" s="95">
        <v>243</v>
      </c>
      <c r="B247" s="25">
        <v>43459</v>
      </c>
      <c r="C247" s="99" t="s">
        <v>7</v>
      </c>
      <c r="D247" s="7"/>
      <c r="E247" s="97">
        <v>1000</v>
      </c>
    </row>
    <row r="248" spans="1:5" ht="15.6" x14ac:dyDescent="0.3">
      <c r="A248" s="95">
        <v>244</v>
      </c>
      <c r="B248" s="25">
        <v>43459</v>
      </c>
      <c r="C248" s="99" t="s">
        <v>94</v>
      </c>
      <c r="D248" s="7"/>
      <c r="E248" s="97">
        <v>1000</v>
      </c>
    </row>
    <row r="249" spans="1:5" ht="15.6" x14ac:dyDescent="0.3">
      <c r="A249" s="95">
        <v>245</v>
      </c>
      <c r="B249" s="25">
        <v>43459</v>
      </c>
      <c r="C249" s="105" t="s">
        <v>42</v>
      </c>
      <c r="D249" s="7"/>
      <c r="E249" s="97">
        <v>50</v>
      </c>
    </row>
    <row r="250" spans="1:5" ht="15.6" x14ac:dyDescent="0.3">
      <c r="A250" s="95">
        <v>246</v>
      </c>
      <c r="B250" s="25">
        <v>43460</v>
      </c>
      <c r="C250" s="105" t="s">
        <v>87</v>
      </c>
      <c r="D250" s="12">
        <v>50000</v>
      </c>
      <c r="E250" s="97"/>
    </row>
    <row r="251" spans="1:5" ht="15.6" x14ac:dyDescent="0.3">
      <c r="A251" s="95">
        <v>247</v>
      </c>
      <c r="B251" s="25">
        <v>43460</v>
      </c>
      <c r="C251" s="100" t="s">
        <v>31</v>
      </c>
      <c r="D251" s="7"/>
      <c r="E251" s="97">
        <v>20000</v>
      </c>
    </row>
    <row r="252" spans="1:5" ht="15.6" x14ac:dyDescent="0.3">
      <c r="A252" s="95">
        <v>248</v>
      </c>
      <c r="B252" s="25">
        <v>43460</v>
      </c>
      <c r="C252" s="99" t="s">
        <v>7</v>
      </c>
      <c r="D252" s="7"/>
      <c r="E252" s="97">
        <v>1000</v>
      </c>
    </row>
    <row r="253" spans="1:5" ht="15.6" x14ac:dyDescent="0.3">
      <c r="A253" s="95">
        <v>249</v>
      </c>
      <c r="B253" s="25">
        <v>43460</v>
      </c>
      <c r="C253" s="105" t="s">
        <v>108</v>
      </c>
      <c r="D253" s="7"/>
      <c r="E253" s="97">
        <v>40</v>
      </c>
    </row>
    <row r="254" spans="1:5" ht="15.6" x14ac:dyDescent="0.3">
      <c r="A254" s="95">
        <v>250</v>
      </c>
      <c r="B254" s="25">
        <v>43461</v>
      </c>
      <c r="C254" s="105" t="s">
        <v>42</v>
      </c>
      <c r="D254" s="7"/>
      <c r="E254" s="97">
        <v>50</v>
      </c>
    </row>
    <row r="255" spans="1:5" ht="15.6" x14ac:dyDescent="0.3">
      <c r="A255" s="95">
        <v>251</v>
      </c>
      <c r="B255" s="25">
        <v>43463</v>
      </c>
      <c r="C255" s="105" t="s">
        <v>87</v>
      </c>
      <c r="D255" s="12">
        <v>100000</v>
      </c>
      <c r="E255" s="97"/>
    </row>
    <row r="256" spans="1:5" ht="15.6" x14ac:dyDescent="0.3">
      <c r="A256" s="95">
        <v>252</v>
      </c>
      <c r="B256" s="25">
        <v>43463</v>
      </c>
      <c r="C256" s="105" t="s">
        <v>102</v>
      </c>
      <c r="D256" s="7"/>
      <c r="E256" s="97">
        <v>30000</v>
      </c>
    </row>
    <row r="257" spans="1:5" ht="15.6" x14ac:dyDescent="0.3">
      <c r="A257" s="95">
        <v>253</v>
      </c>
      <c r="B257" s="25">
        <v>43463</v>
      </c>
      <c r="C257" s="104" t="s">
        <v>109</v>
      </c>
      <c r="D257" s="7"/>
      <c r="E257" s="97">
        <v>22000</v>
      </c>
    </row>
    <row r="258" spans="1:5" ht="15.6" x14ac:dyDescent="0.3">
      <c r="A258" s="95">
        <v>254</v>
      </c>
      <c r="B258" s="25">
        <v>43463</v>
      </c>
      <c r="C258" s="105" t="s">
        <v>110</v>
      </c>
      <c r="D258" s="7"/>
      <c r="E258" s="97">
        <v>2000</v>
      </c>
    </row>
    <row r="259" spans="1:5" ht="15.6" x14ac:dyDescent="0.3">
      <c r="A259" s="95">
        <v>255</v>
      </c>
      <c r="B259" s="25">
        <v>43463</v>
      </c>
      <c r="C259" s="105" t="s">
        <v>62</v>
      </c>
      <c r="D259" s="7"/>
      <c r="E259" s="97">
        <v>150</v>
      </c>
    </row>
    <row r="260" spans="1:5" ht="15.6" x14ac:dyDescent="0.3">
      <c r="A260" s="95">
        <v>256</v>
      </c>
      <c r="B260" s="25">
        <v>43463</v>
      </c>
      <c r="C260" s="100" t="s">
        <v>31</v>
      </c>
      <c r="D260" s="7"/>
      <c r="E260" s="97">
        <v>20000</v>
      </c>
    </row>
    <row r="261" spans="1:5" ht="15.6" x14ac:dyDescent="0.3">
      <c r="A261" s="95">
        <v>257</v>
      </c>
      <c r="B261" s="25">
        <v>43463</v>
      </c>
      <c r="C261" s="99" t="s">
        <v>94</v>
      </c>
      <c r="D261" s="7"/>
      <c r="E261" s="97">
        <v>1000</v>
      </c>
    </row>
    <row r="262" spans="1:5" ht="15.6" x14ac:dyDescent="0.3">
      <c r="A262" s="95">
        <v>258</v>
      </c>
      <c r="B262" s="25">
        <v>43463</v>
      </c>
      <c r="C262" s="105" t="s">
        <v>69</v>
      </c>
      <c r="D262" s="7"/>
      <c r="E262" s="97">
        <v>30000</v>
      </c>
    </row>
    <row r="263" spans="1:5" ht="15.6" x14ac:dyDescent="0.3">
      <c r="A263" s="95">
        <v>259</v>
      </c>
      <c r="B263" s="25">
        <v>43463</v>
      </c>
      <c r="C263" s="99" t="s">
        <v>7</v>
      </c>
      <c r="D263" s="7"/>
      <c r="E263" s="97">
        <v>1000</v>
      </c>
    </row>
    <row r="264" spans="1:5" ht="15.6" x14ac:dyDescent="0.3">
      <c r="A264" s="95">
        <v>260</v>
      </c>
      <c r="B264" s="25">
        <v>43463</v>
      </c>
      <c r="C264" s="105" t="s">
        <v>97</v>
      </c>
      <c r="D264" s="7"/>
      <c r="E264" s="97">
        <v>1000</v>
      </c>
    </row>
    <row r="265" spans="1:5" ht="15.6" x14ac:dyDescent="0.3">
      <c r="A265" s="95">
        <v>261</v>
      </c>
      <c r="B265" s="25">
        <v>43463</v>
      </c>
      <c r="C265" s="105" t="s">
        <v>42</v>
      </c>
      <c r="D265" s="7"/>
      <c r="E265" s="97">
        <v>200</v>
      </c>
    </row>
    <row r="266" spans="1:5" ht="15.6" x14ac:dyDescent="0.3">
      <c r="A266" s="95">
        <v>262</v>
      </c>
      <c r="B266" s="25">
        <v>43463</v>
      </c>
      <c r="C266" s="100" t="s">
        <v>100</v>
      </c>
      <c r="D266" s="7"/>
      <c r="E266" s="97">
        <v>1000</v>
      </c>
    </row>
    <row r="267" spans="1:5" ht="15.6" x14ac:dyDescent="0.3">
      <c r="A267" s="95">
        <v>263</v>
      </c>
      <c r="B267" s="25">
        <v>43464</v>
      </c>
      <c r="C267" s="100" t="s">
        <v>31</v>
      </c>
      <c r="D267" s="7"/>
      <c r="E267" s="97">
        <v>13000</v>
      </c>
    </row>
    <row r="268" spans="1:5" ht="15.6" x14ac:dyDescent="0.3">
      <c r="A268" s="95">
        <v>264</v>
      </c>
      <c r="B268" s="25">
        <v>43465</v>
      </c>
      <c r="C268" s="100" t="s">
        <v>42</v>
      </c>
      <c r="D268" s="7"/>
      <c r="E268" s="97">
        <v>75</v>
      </c>
    </row>
    <row r="269" spans="1:5" ht="15.6" x14ac:dyDescent="0.3">
      <c r="A269" s="95">
        <v>265</v>
      </c>
      <c r="B269" s="25">
        <v>43466</v>
      </c>
      <c r="C269" s="100" t="s">
        <v>31</v>
      </c>
      <c r="D269" s="7"/>
      <c r="E269" s="97">
        <v>3000</v>
      </c>
    </row>
    <row r="270" spans="1:5" ht="15.6" x14ac:dyDescent="0.3">
      <c r="A270" s="95">
        <v>266</v>
      </c>
      <c r="B270" s="25">
        <v>43466</v>
      </c>
      <c r="C270" s="100" t="s">
        <v>42</v>
      </c>
      <c r="D270" s="7"/>
      <c r="E270" s="97">
        <v>50</v>
      </c>
    </row>
    <row r="271" spans="1:5" ht="15.6" x14ac:dyDescent="0.3">
      <c r="A271" s="95">
        <v>267</v>
      </c>
      <c r="B271" s="25">
        <v>43467</v>
      </c>
      <c r="C271" s="100" t="s">
        <v>31</v>
      </c>
      <c r="D271" s="7"/>
      <c r="E271" s="97">
        <v>10000</v>
      </c>
    </row>
    <row r="272" spans="1:5" ht="15.6" x14ac:dyDescent="0.3">
      <c r="A272" s="95">
        <v>268</v>
      </c>
      <c r="B272" s="25">
        <v>43467</v>
      </c>
      <c r="C272" s="100" t="s">
        <v>106</v>
      </c>
      <c r="D272" s="7"/>
      <c r="E272" s="97">
        <v>560</v>
      </c>
    </row>
    <row r="273" spans="1:5" ht="15.6" x14ac:dyDescent="0.3">
      <c r="A273" s="95">
        <v>269</v>
      </c>
      <c r="B273" s="25">
        <v>43468</v>
      </c>
      <c r="C273" s="105" t="s">
        <v>87</v>
      </c>
      <c r="D273" s="12">
        <v>250000</v>
      </c>
      <c r="E273" s="97"/>
    </row>
    <row r="274" spans="1:5" ht="15.6" x14ac:dyDescent="0.3">
      <c r="A274" s="95">
        <v>270</v>
      </c>
      <c r="B274" s="25">
        <v>43468</v>
      </c>
      <c r="C274" s="100" t="s">
        <v>31</v>
      </c>
      <c r="D274" s="7"/>
      <c r="E274" s="97">
        <v>100000</v>
      </c>
    </row>
    <row r="275" spans="1:5" ht="15.6" x14ac:dyDescent="0.3">
      <c r="A275" s="95">
        <v>271</v>
      </c>
      <c r="B275" s="25">
        <v>43468</v>
      </c>
      <c r="C275" s="100" t="s">
        <v>26</v>
      </c>
      <c r="D275" s="7"/>
      <c r="E275" s="97">
        <v>20000</v>
      </c>
    </row>
    <row r="276" spans="1:5" ht="15.6" x14ac:dyDescent="0.3">
      <c r="A276" s="95">
        <v>272</v>
      </c>
      <c r="B276" s="25">
        <v>43468</v>
      </c>
      <c r="C276" s="100" t="s">
        <v>102</v>
      </c>
      <c r="D276" s="7"/>
      <c r="E276" s="97">
        <v>40000</v>
      </c>
    </row>
    <row r="277" spans="1:5" ht="15.6" x14ac:dyDescent="0.3">
      <c r="A277" s="95">
        <v>273</v>
      </c>
      <c r="B277" s="25">
        <v>43468</v>
      </c>
      <c r="C277" s="99" t="s">
        <v>111</v>
      </c>
      <c r="D277" s="7"/>
      <c r="E277" s="97">
        <v>15800</v>
      </c>
    </row>
    <row r="278" spans="1:5" ht="15.6" x14ac:dyDescent="0.3">
      <c r="A278" s="95">
        <v>274</v>
      </c>
      <c r="B278" s="25">
        <v>43469</v>
      </c>
      <c r="C278" s="100" t="s">
        <v>69</v>
      </c>
      <c r="D278" s="7"/>
      <c r="E278" s="97">
        <v>30000</v>
      </c>
    </row>
    <row r="279" spans="1:5" ht="15.6" x14ac:dyDescent="0.3">
      <c r="A279" s="95">
        <v>275</v>
      </c>
      <c r="B279" s="25">
        <v>43469</v>
      </c>
      <c r="C279" s="100" t="s">
        <v>112</v>
      </c>
      <c r="D279" s="7"/>
      <c r="E279" s="97">
        <v>22650</v>
      </c>
    </row>
    <row r="280" spans="1:5" ht="15.6" x14ac:dyDescent="0.3">
      <c r="A280" s="95">
        <v>276</v>
      </c>
      <c r="B280" s="25">
        <v>43469</v>
      </c>
      <c r="C280" s="100" t="s">
        <v>113</v>
      </c>
      <c r="D280" s="7"/>
      <c r="E280" s="97">
        <v>20000</v>
      </c>
    </row>
    <row r="281" spans="1:5" ht="15.6" x14ac:dyDescent="0.3">
      <c r="A281" s="95">
        <v>277</v>
      </c>
      <c r="B281" s="25">
        <v>43469</v>
      </c>
      <c r="C281" s="100" t="s">
        <v>42</v>
      </c>
      <c r="D281" s="7"/>
      <c r="E281" s="97">
        <v>50</v>
      </c>
    </row>
    <row r="282" spans="1:5" ht="15.6" x14ac:dyDescent="0.3">
      <c r="A282" s="95">
        <v>278</v>
      </c>
      <c r="B282" s="25">
        <v>43469</v>
      </c>
      <c r="C282" s="99" t="s">
        <v>114</v>
      </c>
      <c r="D282" s="7"/>
      <c r="E282" s="97">
        <v>9600</v>
      </c>
    </row>
    <row r="283" spans="1:5" ht="15.6" x14ac:dyDescent="0.3">
      <c r="A283" s="95">
        <v>279</v>
      </c>
      <c r="B283" s="25">
        <v>43470</v>
      </c>
      <c r="C283" s="105" t="s">
        <v>87</v>
      </c>
      <c r="D283" s="12">
        <v>200000</v>
      </c>
      <c r="E283" s="97"/>
    </row>
    <row r="284" spans="1:5" ht="15.6" x14ac:dyDescent="0.3">
      <c r="A284" s="95">
        <v>280</v>
      </c>
      <c r="B284" s="25">
        <v>43470</v>
      </c>
      <c r="C284" s="100" t="s">
        <v>6</v>
      </c>
      <c r="D284" s="7"/>
      <c r="E284" s="97">
        <v>100000</v>
      </c>
    </row>
    <row r="285" spans="1:5" ht="15.6" x14ac:dyDescent="0.3">
      <c r="A285" s="95">
        <v>281</v>
      </c>
      <c r="B285" s="25">
        <v>43470</v>
      </c>
      <c r="C285" s="100" t="s">
        <v>42</v>
      </c>
      <c r="D285" s="7"/>
      <c r="E285" s="97">
        <v>50</v>
      </c>
    </row>
    <row r="286" spans="1:5" ht="15.6" x14ac:dyDescent="0.3">
      <c r="A286" s="95">
        <v>282</v>
      </c>
      <c r="B286" s="25">
        <v>43471</v>
      </c>
      <c r="C286" s="100" t="s">
        <v>106</v>
      </c>
      <c r="D286" s="7"/>
      <c r="E286" s="97">
        <v>6615</v>
      </c>
    </row>
    <row r="287" spans="1:5" ht="15.6" x14ac:dyDescent="0.3">
      <c r="A287" s="95">
        <v>283</v>
      </c>
      <c r="B287" s="25">
        <v>43472</v>
      </c>
      <c r="C287" s="99" t="s">
        <v>94</v>
      </c>
      <c r="D287" s="7"/>
      <c r="E287" s="97">
        <v>400</v>
      </c>
    </row>
    <row r="288" spans="1:5" ht="15.6" x14ac:dyDescent="0.3">
      <c r="A288" s="95">
        <v>284</v>
      </c>
      <c r="B288" s="25">
        <v>43472</v>
      </c>
      <c r="C288" s="100" t="s">
        <v>42</v>
      </c>
      <c r="D288" s="7"/>
      <c r="E288" s="97">
        <v>100</v>
      </c>
    </row>
    <row r="289" spans="1:5" ht="15.6" x14ac:dyDescent="0.3">
      <c r="A289" s="95">
        <v>285</v>
      </c>
      <c r="B289" s="25">
        <v>43472</v>
      </c>
      <c r="C289" s="100" t="s">
        <v>115</v>
      </c>
      <c r="D289" s="7"/>
      <c r="E289" s="97">
        <v>60000</v>
      </c>
    </row>
    <row r="290" spans="1:5" ht="15.6" x14ac:dyDescent="0.3">
      <c r="A290" s="95">
        <v>286</v>
      </c>
      <c r="B290" s="25">
        <v>43472</v>
      </c>
      <c r="C290" s="100" t="s">
        <v>69</v>
      </c>
      <c r="D290" s="7"/>
      <c r="E290" s="97">
        <v>2000</v>
      </c>
    </row>
    <row r="291" spans="1:5" ht="15.6" x14ac:dyDescent="0.3">
      <c r="A291" s="95">
        <v>287</v>
      </c>
      <c r="B291" s="25">
        <v>43473</v>
      </c>
      <c r="C291" s="105" t="s">
        <v>36</v>
      </c>
      <c r="D291" s="12">
        <v>100000</v>
      </c>
      <c r="E291" s="97"/>
    </row>
    <row r="292" spans="1:5" ht="15.6" x14ac:dyDescent="0.3">
      <c r="A292" s="95">
        <v>288</v>
      </c>
      <c r="B292" s="25">
        <v>43473</v>
      </c>
      <c r="C292" s="100" t="s">
        <v>31</v>
      </c>
      <c r="D292" s="7"/>
      <c r="E292" s="97">
        <v>30000</v>
      </c>
    </row>
    <row r="293" spans="1:5" ht="15.6" x14ac:dyDescent="0.3">
      <c r="A293" s="95">
        <v>289</v>
      </c>
      <c r="B293" s="25">
        <v>43474</v>
      </c>
      <c r="C293" s="105" t="s">
        <v>87</v>
      </c>
      <c r="D293" s="12">
        <v>130000</v>
      </c>
      <c r="E293" s="97"/>
    </row>
    <row r="294" spans="1:5" ht="15.6" x14ac:dyDescent="0.3">
      <c r="A294" s="95">
        <v>290</v>
      </c>
      <c r="B294" s="25">
        <v>43474</v>
      </c>
      <c r="C294" s="105" t="s">
        <v>87</v>
      </c>
      <c r="D294" s="12">
        <v>70000</v>
      </c>
      <c r="E294" s="97"/>
    </row>
    <row r="295" spans="1:5" ht="15.6" x14ac:dyDescent="0.3">
      <c r="A295" s="95">
        <v>291</v>
      </c>
      <c r="B295" s="25">
        <v>43474</v>
      </c>
      <c r="C295" s="99" t="s">
        <v>7</v>
      </c>
      <c r="D295" s="7"/>
      <c r="E295" s="97">
        <v>2000</v>
      </c>
    </row>
    <row r="296" spans="1:5" ht="15.6" x14ac:dyDescent="0.3">
      <c r="A296" s="95">
        <v>292</v>
      </c>
      <c r="B296" s="25">
        <v>43474</v>
      </c>
      <c r="C296" s="100" t="s">
        <v>116</v>
      </c>
      <c r="D296" s="7"/>
      <c r="E296" s="97">
        <v>1600</v>
      </c>
    </row>
    <row r="297" spans="1:5" ht="15.6" x14ac:dyDescent="0.3">
      <c r="A297" s="95">
        <v>293</v>
      </c>
      <c r="B297" s="25">
        <v>43474</v>
      </c>
      <c r="C297" s="100" t="s">
        <v>117</v>
      </c>
      <c r="D297" s="7"/>
      <c r="E297" s="97">
        <v>2950</v>
      </c>
    </row>
    <row r="298" spans="1:5" ht="15.6" x14ac:dyDescent="0.3">
      <c r="A298" s="95">
        <v>294</v>
      </c>
      <c r="B298" s="25">
        <v>43474</v>
      </c>
      <c r="C298" s="100" t="s">
        <v>118</v>
      </c>
      <c r="D298" s="7"/>
      <c r="E298" s="97">
        <v>1250</v>
      </c>
    </row>
    <row r="299" spans="1:5" ht="15.6" x14ac:dyDescent="0.3">
      <c r="A299" s="95">
        <v>295</v>
      </c>
      <c r="B299" s="25">
        <v>43474</v>
      </c>
      <c r="C299" s="100" t="s">
        <v>102</v>
      </c>
      <c r="D299" s="7"/>
      <c r="E299" s="97">
        <v>20000</v>
      </c>
    </row>
    <row r="300" spans="1:5" ht="15.6" x14ac:dyDescent="0.3">
      <c r="A300" s="95">
        <v>296</v>
      </c>
      <c r="B300" s="25">
        <v>43474</v>
      </c>
      <c r="C300" s="100" t="s">
        <v>31</v>
      </c>
      <c r="D300" s="7"/>
      <c r="E300" s="97">
        <v>100000</v>
      </c>
    </row>
    <row r="301" spans="1:5" ht="15.6" x14ac:dyDescent="0.3">
      <c r="A301" s="95">
        <v>297</v>
      </c>
      <c r="B301" s="25">
        <v>43474</v>
      </c>
      <c r="C301" s="100" t="s">
        <v>6</v>
      </c>
      <c r="D301" s="7"/>
      <c r="E301" s="97">
        <v>50000</v>
      </c>
    </row>
    <row r="302" spans="1:5" ht="15.6" x14ac:dyDescent="0.3">
      <c r="A302" s="95">
        <v>298</v>
      </c>
      <c r="B302" s="25">
        <v>43474</v>
      </c>
      <c r="C302" s="100" t="s">
        <v>31</v>
      </c>
      <c r="D302" s="7"/>
      <c r="E302" s="97">
        <v>25000</v>
      </c>
    </row>
    <row r="303" spans="1:5" ht="15.6" x14ac:dyDescent="0.3">
      <c r="A303" s="95">
        <v>299</v>
      </c>
      <c r="B303" s="25">
        <v>43475</v>
      </c>
      <c r="C303" s="100" t="s">
        <v>106</v>
      </c>
      <c r="D303" s="7"/>
      <c r="E303" s="97">
        <v>3150</v>
      </c>
    </row>
    <row r="304" spans="1:5" ht="15.6" x14ac:dyDescent="0.3">
      <c r="A304" s="95">
        <v>300</v>
      </c>
      <c r="B304" s="25">
        <v>43477</v>
      </c>
      <c r="C304" s="99" t="s">
        <v>119</v>
      </c>
      <c r="D304" s="7"/>
      <c r="E304" s="97">
        <v>580</v>
      </c>
    </row>
    <row r="305" spans="1:5" ht="15.6" x14ac:dyDescent="0.3">
      <c r="A305" s="95">
        <v>301</v>
      </c>
      <c r="B305" s="25">
        <v>43477</v>
      </c>
      <c r="C305" s="100" t="s">
        <v>42</v>
      </c>
      <c r="D305" s="7"/>
      <c r="E305" s="97">
        <v>50</v>
      </c>
    </row>
    <row r="306" spans="1:5" ht="15.6" x14ac:dyDescent="0.3">
      <c r="A306" s="95">
        <v>302</v>
      </c>
      <c r="B306" s="25">
        <v>43477</v>
      </c>
      <c r="C306" s="100" t="s">
        <v>106</v>
      </c>
      <c r="D306" s="7"/>
      <c r="E306" s="97">
        <v>6540</v>
      </c>
    </row>
    <row r="307" spans="1:5" ht="15.6" x14ac:dyDescent="0.3">
      <c r="A307" s="95">
        <v>303</v>
      </c>
      <c r="B307" s="25">
        <v>43477</v>
      </c>
      <c r="C307" s="100" t="s">
        <v>120</v>
      </c>
      <c r="D307" s="7"/>
      <c r="E307" s="97">
        <v>700</v>
      </c>
    </row>
    <row r="308" spans="1:5" ht="15.6" x14ac:dyDescent="0.3">
      <c r="A308" s="95">
        <v>304</v>
      </c>
      <c r="B308" s="25">
        <v>43477</v>
      </c>
      <c r="C308" s="100" t="s">
        <v>121</v>
      </c>
      <c r="D308" s="7"/>
      <c r="E308" s="97">
        <v>2600</v>
      </c>
    </row>
    <row r="309" spans="1:5" ht="15.6" x14ac:dyDescent="0.3">
      <c r="A309" s="95">
        <v>305</v>
      </c>
      <c r="B309" s="25">
        <v>43479</v>
      </c>
      <c r="C309" s="100" t="s">
        <v>31</v>
      </c>
      <c r="D309" s="7"/>
      <c r="E309" s="97">
        <v>10000</v>
      </c>
    </row>
    <row r="310" spans="1:5" ht="15.6" x14ac:dyDescent="0.3">
      <c r="A310" s="95">
        <v>306</v>
      </c>
      <c r="B310" s="25">
        <v>43479</v>
      </c>
      <c r="C310" s="100" t="s">
        <v>42</v>
      </c>
      <c r="D310" s="7"/>
      <c r="E310" s="97">
        <v>100</v>
      </c>
    </row>
    <row r="311" spans="1:5" ht="15.6" x14ac:dyDescent="0.3">
      <c r="A311" s="95">
        <v>307</v>
      </c>
      <c r="B311" s="25">
        <v>43479</v>
      </c>
      <c r="C311" s="99" t="s">
        <v>119</v>
      </c>
      <c r="D311" s="7"/>
      <c r="E311" s="97">
        <v>300</v>
      </c>
    </row>
    <row r="312" spans="1:5" ht="15.6" x14ac:dyDescent="0.3">
      <c r="A312" s="95">
        <v>308</v>
      </c>
      <c r="B312" s="25">
        <v>43479</v>
      </c>
      <c r="C312" s="99" t="s">
        <v>94</v>
      </c>
      <c r="D312" s="7"/>
      <c r="E312" s="97">
        <v>1000</v>
      </c>
    </row>
    <row r="313" spans="1:5" ht="15.6" x14ac:dyDescent="0.3">
      <c r="A313" s="95">
        <v>309</v>
      </c>
      <c r="B313" s="25">
        <v>43479</v>
      </c>
      <c r="C313" s="99" t="s">
        <v>7</v>
      </c>
      <c r="D313" s="7"/>
      <c r="E313" s="97">
        <v>1000</v>
      </c>
    </row>
    <row r="314" spans="1:5" ht="15.6" x14ac:dyDescent="0.3">
      <c r="A314" s="95">
        <v>310</v>
      </c>
      <c r="B314" s="25">
        <v>43479</v>
      </c>
      <c r="C314" s="99" t="s">
        <v>42</v>
      </c>
      <c r="D314" s="7"/>
      <c r="E314" s="97">
        <v>100</v>
      </c>
    </row>
    <row r="315" spans="1:5" ht="15.6" x14ac:dyDescent="0.3">
      <c r="A315" s="95">
        <v>311</v>
      </c>
      <c r="B315" s="25">
        <v>43479</v>
      </c>
      <c r="C315" s="99" t="s">
        <v>122</v>
      </c>
      <c r="D315" s="7"/>
      <c r="E315" s="97">
        <v>70</v>
      </c>
    </row>
    <row r="316" spans="1:5" ht="15.6" x14ac:dyDescent="0.3">
      <c r="A316" s="95">
        <v>312</v>
      </c>
      <c r="B316" s="25">
        <v>43479</v>
      </c>
      <c r="C316" s="99" t="s">
        <v>123</v>
      </c>
      <c r="D316" s="7"/>
      <c r="E316" s="97">
        <v>40</v>
      </c>
    </row>
    <row r="317" spans="1:5" ht="28.2" x14ac:dyDescent="0.3">
      <c r="A317" s="95">
        <v>313</v>
      </c>
      <c r="B317" s="25">
        <v>43480</v>
      </c>
      <c r="C317" s="105" t="s">
        <v>124</v>
      </c>
      <c r="D317" s="12">
        <v>300000</v>
      </c>
      <c r="E317" s="97"/>
    </row>
    <row r="318" spans="1:5" ht="15.6" x14ac:dyDescent="0.3">
      <c r="A318" s="95">
        <v>314</v>
      </c>
      <c r="B318" s="25">
        <v>43480</v>
      </c>
      <c r="C318" s="99" t="s">
        <v>102</v>
      </c>
      <c r="D318" s="7"/>
      <c r="E318" s="97">
        <v>10000</v>
      </c>
    </row>
    <row r="319" spans="1:5" ht="15.6" x14ac:dyDescent="0.3">
      <c r="A319" s="95">
        <v>315</v>
      </c>
      <c r="B319" s="25">
        <v>43480</v>
      </c>
      <c r="C319" s="99" t="s">
        <v>42</v>
      </c>
      <c r="D319" s="7"/>
      <c r="E319" s="97">
        <v>75</v>
      </c>
    </row>
    <row r="320" spans="1:5" ht="15.6" x14ac:dyDescent="0.3">
      <c r="A320" s="95">
        <v>316</v>
      </c>
      <c r="B320" s="25">
        <v>43481</v>
      </c>
      <c r="C320" s="99" t="s">
        <v>26</v>
      </c>
      <c r="D320" s="7"/>
      <c r="E320" s="97">
        <v>20000</v>
      </c>
    </row>
    <row r="321" spans="1:5" ht="15.6" x14ac:dyDescent="0.3">
      <c r="A321" s="95">
        <v>317</v>
      </c>
      <c r="B321" s="25">
        <v>43481</v>
      </c>
      <c r="C321" s="100" t="s">
        <v>31</v>
      </c>
      <c r="D321" s="7"/>
      <c r="E321" s="97">
        <v>22000</v>
      </c>
    </row>
    <row r="322" spans="1:5" ht="15.6" x14ac:dyDescent="0.3">
      <c r="A322" s="95">
        <v>318</v>
      </c>
      <c r="B322" s="25">
        <v>43481</v>
      </c>
      <c r="C322" s="99" t="s">
        <v>94</v>
      </c>
      <c r="D322" s="7"/>
      <c r="E322" s="97">
        <v>1000</v>
      </c>
    </row>
    <row r="323" spans="1:5" ht="15.6" x14ac:dyDescent="0.3">
      <c r="A323" s="95">
        <v>319</v>
      </c>
      <c r="B323" s="25">
        <v>43481</v>
      </c>
      <c r="C323" s="99" t="s">
        <v>42</v>
      </c>
      <c r="D323" s="7"/>
      <c r="E323" s="97">
        <v>100</v>
      </c>
    </row>
    <row r="324" spans="1:5" ht="15.6" x14ac:dyDescent="0.3">
      <c r="A324" s="95">
        <v>320</v>
      </c>
      <c r="B324" s="25">
        <v>43483</v>
      </c>
      <c r="C324" s="99" t="s">
        <v>106</v>
      </c>
      <c r="D324" s="7"/>
      <c r="E324" s="97">
        <v>3150</v>
      </c>
    </row>
    <row r="325" spans="1:5" ht="15.6" x14ac:dyDescent="0.3">
      <c r="A325" s="95">
        <v>321</v>
      </c>
      <c r="B325" s="25">
        <v>43483</v>
      </c>
      <c r="C325" s="100" t="s">
        <v>31</v>
      </c>
      <c r="D325" s="7"/>
      <c r="E325" s="97">
        <v>2000</v>
      </c>
    </row>
    <row r="326" spans="1:5" ht="15.6" x14ac:dyDescent="0.3">
      <c r="A326" s="95">
        <v>322</v>
      </c>
      <c r="B326" s="25">
        <v>43484</v>
      </c>
      <c r="C326" s="100" t="s">
        <v>31</v>
      </c>
      <c r="D326" s="7"/>
      <c r="E326" s="97">
        <v>50000</v>
      </c>
    </row>
    <row r="327" spans="1:5" ht="15.6" x14ac:dyDescent="0.3">
      <c r="A327" s="95">
        <v>323</v>
      </c>
      <c r="B327" s="25">
        <v>43484</v>
      </c>
      <c r="C327" s="99" t="s">
        <v>26</v>
      </c>
      <c r="D327" s="7"/>
      <c r="E327" s="97">
        <v>30000</v>
      </c>
    </row>
    <row r="328" spans="1:5" ht="15.6" x14ac:dyDescent="0.3">
      <c r="A328" s="95">
        <v>324</v>
      </c>
      <c r="B328" s="25">
        <v>43484</v>
      </c>
      <c r="C328" s="99" t="s">
        <v>102</v>
      </c>
      <c r="D328" s="7"/>
      <c r="E328" s="97">
        <v>20000</v>
      </c>
    </row>
    <row r="329" spans="1:5" ht="15.6" x14ac:dyDescent="0.3">
      <c r="A329" s="95">
        <v>325</v>
      </c>
      <c r="B329" s="25">
        <v>43484</v>
      </c>
      <c r="C329" s="99" t="s">
        <v>42</v>
      </c>
      <c r="D329" s="7"/>
      <c r="E329" s="97">
        <v>50</v>
      </c>
    </row>
    <row r="330" spans="1:5" ht="15.6" x14ac:dyDescent="0.3">
      <c r="A330" s="95">
        <v>326</v>
      </c>
      <c r="B330" s="25">
        <v>43485</v>
      </c>
      <c r="C330" s="99" t="s">
        <v>125</v>
      </c>
      <c r="D330" s="7"/>
      <c r="E330" s="97">
        <v>3000</v>
      </c>
    </row>
    <row r="331" spans="1:5" ht="15.6" x14ac:dyDescent="0.3">
      <c r="A331" s="95">
        <v>327</v>
      </c>
      <c r="B331" s="25">
        <v>43487</v>
      </c>
      <c r="C331" s="99" t="s">
        <v>7</v>
      </c>
      <c r="D331" s="7"/>
      <c r="E331" s="97">
        <v>3000</v>
      </c>
    </row>
    <row r="332" spans="1:5" ht="15.6" x14ac:dyDescent="0.3">
      <c r="A332" s="95">
        <v>328</v>
      </c>
      <c r="B332" s="25">
        <v>43488</v>
      </c>
      <c r="C332" s="100" t="s">
        <v>31</v>
      </c>
      <c r="D332" s="7"/>
      <c r="E332" s="97">
        <v>30000</v>
      </c>
    </row>
    <row r="333" spans="1:5" ht="15.6" x14ac:dyDescent="0.3">
      <c r="A333" s="95">
        <v>329</v>
      </c>
      <c r="B333" s="25">
        <v>43489</v>
      </c>
      <c r="C333" s="105" t="s">
        <v>87</v>
      </c>
      <c r="D333" s="12">
        <v>80000</v>
      </c>
      <c r="E333" s="97"/>
    </row>
    <row r="334" spans="1:5" ht="15.6" x14ac:dyDescent="0.3">
      <c r="A334" s="95">
        <v>330</v>
      </c>
      <c r="B334" s="25">
        <v>43489</v>
      </c>
      <c r="C334" s="100" t="s">
        <v>31</v>
      </c>
      <c r="D334" s="7"/>
      <c r="E334" s="97">
        <v>30000</v>
      </c>
    </row>
    <row r="335" spans="1:5" ht="15.6" x14ac:dyDescent="0.3">
      <c r="A335" s="95">
        <v>331</v>
      </c>
      <c r="B335" s="25">
        <v>43489</v>
      </c>
      <c r="C335" s="99" t="s">
        <v>26</v>
      </c>
      <c r="D335" s="7"/>
      <c r="E335" s="97">
        <v>10000</v>
      </c>
    </row>
    <row r="336" spans="1:5" ht="15.6" x14ac:dyDescent="0.3">
      <c r="A336" s="95">
        <v>332</v>
      </c>
      <c r="B336" s="25">
        <v>43489</v>
      </c>
      <c r="C336" s="99" t="s">
        <v>106</v>
      </c>
      <c r="D336" s="7"/>
      <c r="E336" s="97">
        <v>525</v>
      </c>
    </row>
    <row r="337" spans="1:5" ht="15.6" x14ac:dyDescent="0.3">
      <c r="A337" s="95">
        <v>333</v>
      </c>
      <c r="B337" s="25">
        <v>43491</v>
      </c>
      <c r="C337" s="99" t="s">
        <v>69</v>
      </c>
      <c r="D337" s="7"/>
      <c r="E337" s="97">
        <v>15000</v>
      </c>
    </row>
    <row r="338" spans="1:5" ht="15.6" x14ac:dyDescent="0.3">
      <c r="A338" s="95">
        <v>334</v>
      </c>
      <c r="B338" s="25">
        <v>43491</v>
      </c>
      <c r="C338" s="99" t="s">
        <v>42</v>
      </c>
      <c r="D338" s="7"/>
      <c r="E338" s="97">
        <v>150</v>
      </c>
    </row>
    <row r="339" spans="1:5" ht="28.2" x14ac:dyDescent="0.3">
      <c r="A339" s="95">
        <v>335</v>
      </c>
      <c r="B339" s="25">
        <v>43492</v>
      </c>
      <c r="C339" s="105" t="s">
        <v>99</v>
      </c>
      <c r="D339" s="12">
        <v>250000</v>
      </c>
      <c r="E339" s="97"/>
    </row>
    <row r="340" spans="1:5" ht="15.6" x14ac:dyDescent="0.3">
      <c r="A340" s="95">
        <v>336</v>
      </c>
      <c r="B340" s="25">
        <v>43492</v>
      </c>
      <c r="C340" s="104" t="s">
        <v>126</v>
      </c>
      <c r="D340" s="7"/>
      <c r="E340" s="97">
        <v>66000</v>
      </c>
    </row>
    <row r="341" spans="1:5" ht="15.6" x14ac:dyDescent="0.3">
      <c r="A341" s="95">
        <v>337</v>
      </c>
      <c r="B341" s="25">
        <v>43492</v>
      </c>
      <c r="C341" s="99" t="s">
        <v>6</v>
      </c>
      <c r="D341" s="7"/>
      <c r="E341" s="97">
        <v>75000</v>
      </c>
    </row>
    <row r="342" spans="1:5" ht="15.6" x14ac:dyDescent="0.3">
      <c r="A342" s="95">
        <v>338</v>
      </c>
      <c r="B342" s="25">
        <v>43492</v>
      </c>
      <c r="C342" s="99" t="s">
        <v>102</v>
      </c>
      <c r="D342" s="7"/>
      <c r="E342" s="97">
        <v>50000</v>
      </c>
    </row>
    <row r="343" spans="1:5" ht="15.6" x14ac:dyDescent="0.3">
      <c r="A343" s="95">
        <v>339</v>
      </c>
      <c r="B343" s="25">
        <v>43492</v>
      </c>
      <c r="C343" s="100" t="s">
        <v>31</v>
      </c>
      <c r="D343" s="7"/>
      <c r="E343" s="97">
        <v>20000</v>
      </c>
    </row>
    <row r="344" spans="1:5" ht="15.6" x14ac:dyDescent="0.3">
      <c r="A344" s="95">
        <v>340</v>
      </c>
      <c r="B344" s="25">
        <v>43492</v>
      </c>
      <c r="C344" s="99" t="s">
        <v>69</v>
      </c>
      <c r="D344" s="7"/>
      <c r="E344" s="97">
        <v>20000</v>
      </c>
    </row>
    <row r="345" spans="1:5" ht="15.6" x14ac:dyDescent="0.3">
      <c r="A345" s="95">
        <v>341</v>
      </c>
      <c r="B345" s="25">
        <v>43492</v>
      </c>
      <c r="C345" s="99" t="s">
        <v>7</v>
      </c>
      <c r="D345" s="7"/>
      <c r="E345" s="97">
        <v>2000</v>
      </c>
    </row>
    <row r="346" spans="1:5" ht="15.6" x14ac:dyDescent="0.3">
      <c r="A346" s="95">
        <v>342</v>
      </c>
      <c r="B346" s="25">
        <v>43492</v>
      </c>
      <c r="C346" s="99" t="s">
        <v>127</v>
      </c>
      <c r="D346" s="7"/>
      <c r="E346" s="97">
        <v>1500</v>
      </c>
    </row>
    <row r="347" spans="1:5" ht="15.6" x14ac:dyDescent="0.3">
      <c r="A347" s="95">
        <v>343</v>
      </c>
      <c r="B347" s="25">
        <v>43492</v>
      </c>
      <c r="C347" s="99" t="s">
        <v>42</v>
      </c>
      <c r="D347" s="7"/>
      <c r="E347" s="97">
        <v>200</v>
      </c>
    </row>
    <row r="348" spans="1:5" ht="15.6" x14ac:dyDescent="0.3">
      <c r="A348" s="95">
        <v>344</v>
      </c>
      <c r="B348" s="25">
        <v>43492</v>
      </c>
      <c r="C348" s="99" t="s">
        <v>62</v>
      </c>
      <c r="D348" s="7"/>
      <c r="E348" s="97">
        <v>150</v>
      </c>
    </row>
    <row r="349" spans="1:5" ht="15.6" x14ac:dyDescent="0.3">
      <c r="A349" s="95">
        <v>345</v>
      </c>
      <c r="B349" s="25">
        <v>43493</v>
      </c>
      <c r="C349" s="99" t="s">
        <v>104</v>
      </c>
      <c r="D349" s="7"/>
      <c r="E349" s="97">
        <v>200</v>
      </c>
    </row>
    <row r="350" spans="1:5" ht="15.6" x14ac:dyDescent="0.3">
      <c r="A350" s="95">
        <v>346</v>
      </c>
      <c r="B350" s="25">
        <v>43493</v>
      </c>
      <c r="C350" s="99" t="s">
        <v>42</v>
      </c>
      <c r="D350" s="7"/>
      <c r="E350" s="97">
        <v>50</v>
      </c>
    </row>
    <row r="351" spans="1:5" ht="15.6" x14ac:dyDescent="0.3">
      <c r="A351" s="95">
        <v>347</v>
      </c>
      <c r="B351" s="25">
        <v>43494</v>
      </c>
      <c r="C351" s="99" t="s">
        <v>67</v>
      </c>
      <c r="D351" s="7"/>
      <c r="E351" s="97">
        <v>2500</v>
      </c>
    </row>
    <row r="352" spans="1:5" ht="15.6" x14ac:dyDescent="0.3">
      <c r="A352" s="95">
        <v>348</v>
      </c>
      <c r="B352" s="25">
        <v>43494</v>
      </c>
      <c r="C352" s="99" t="s">
        <v>26</v>
      </c>
      <c r="D352" s="7"/>
      <c r="E352" s="97">
        <v>3000</v>
      </c>
    </row>
    <row r="353" spans="1:5" ht="15.6" x14ac:dyDescent="0.3">
      <c r="A353" s="95">
        <v>349</v>
      </c>
      <c r="B353" s="25">
        <v>43494</v>
      </c>
      <c r="C353" s="99" t="s">
        <v>113</v>
      </c>
      <c r="D353" s="7"/>
      <c r="E353" s="97">
        <v>5000</v>
      </c>
    </row>
    <row r="354" spans="1:5" ht="15.6" x14ac:dyDescent="0.3">
      <c r="A354" s="95">
        <v>350</v>
      </c>
      <c r="B354" s="25">
        <v>43496</v>
      </c>
      <c r="C354" s="99" t="s">
        <v>128</v>
      </c>
      <c r="D354" s="7"/>
      <c r="E354" s="97">
        <v>9500</v>
      </c>
    </row>
    <row r="355" spans="1:5" ht="15.6" x14ac:dyDescent="0.3">
      <c r="A355" s="95">
        <v>351</v>
      </c>
      <c r="B355" s="25">
        <v>43496</v>
      </c>
      <c r="C355" s="99" t="s">
        <v>106</v>
      </c>
      <c r="D355" s="7"/>
      <c r="E355" s="97">
        <v>2530</v>
      </c>
    </row>
    <row r="356" spans="1:5" ht="15.6" x14ac:dyDescent="0.3">
      <c r="A356" s="95">
        <v>352</v>
      </c>
      <c r="B356" s="25">
        <v>43496</v>
      </c>
      <c r="C356" s="99" t="s">
        <v>7</v>
      </c>
      <c r="D356" s="7"/>
      <c r="E356" s="97">
        <v>5000</v>
      </c>
    </row>
    <row r="357" spans="1:5" ht="15.6" x14ac:dyDescent="0.3">
      <c r="A357" s="95">
        <v>353</v>
      </c>
      <c r="B357" s="25">
        <v>43496</v>
      </c>
      <c r="C357" s="99" t="s">
        <v>26</v>
      </c>
      <c r="D357" s="7"/>
      <c r="E357" s="97">
        <v>10000</v>
      </c>
    </row>
    <row r="358" spans="1:5" ht="15.6" x14ac:dyDescent="0.3">
      <c r="A358" s="95">
        <v>354</v>
      </c>
      <c r="B358" s="25">
        <v>43496</v>
      </c>
      <c r="C358" s="100" t="s">
        <v>31</v>
      </c>
      <c r="D358" s="7"/>
      <c r="E358" s="97">
        <v>20000</v>
      </c>
    </row>
    <row r="359" spans="1:5" ht="15.6" x14ac:dyDescent="0.3">
      <c r="A359" s="95">
        <v>355</v>
      </c>
      <c r="B359" s="25">
        <v>43496</v>
      </c>
      <c r="C359" s="99" t="s">
        <v>127</v>
      </c>
      <c r="D359" s="7"/>
      <c r="E359" s="97">
        <v>300</v>
      </c>
    </row>
    <row r="360" spans="1:5" ht="25.8" x14ac:dyDescent="0.3">
      <c r="A360" s="95">
        <v>356</v>
      </c>
      <c r="B360" s="25">
        <v>43498</v>
      </c>
      <c r="C360" s="105" t="s">
        <v>129</v>
      </c>
      <c r="D360" s="12">
        <v>200000</v>
      </c>
      <c r="E360" s="97"/>
    </row>
    <row r="361" spans="1:5" ht="28.2" x14ac:dyDescent="0.3">
      <c r="A361" s="95">
        <v>357</v>
      </c>
      <c r="B361" s="25">
        <v>43498</v>
      </c>
      <c r="C361" s="105" t="s">
        <v>130</v>
      </c>
      <c r="D361" s="12">
        <v>50000</v>
      </c>
      <c r="E361" s="97"/>
    </row>
    <row r="362" spans="1:5" ht="15.6" x14ac:dyDescent="0.3">
      <c r="A362" s="95">
        <v>358</v>
      </c>
      <c r="B362" s="25">
        <v>43498</v>
      </c>
      <c r="C362" s="99" t="s">
        <v>26</v>
      </c>
      <c r="D362" s="7"/>
      <c r="E362" s="97">
        <v>10000</v>
      </c>
    </row>
    <row r="363" spans="1:5" ht="15.6" x14ac:dyDescent="0.3">
      <c r="A363" s="95">
        <v>359</v>
      </c>
      <c r="B363" s="25">
        <v>43498</v>
      </c>
      <c r="C363" s="99" t="s">
        <v>102</v>
      </c>
      <c r="D363" s="7"/>
      <c r="E363" s="97">
        <v>40000</v>
      </c>
    </row>
    <row r="364" spans="1:5" ht="15.6" x14ac:dyDescent="0.3">
      <c r="A364" s="95">
        <v>360</v>
      </c>
      <c r="B364" s="25">
        <v>43499</v>
      </c>
      <c r="C364" s="99" t="s">
        <v>106</v>
      </c>
      <c r="D364" s="7"/>
      <c r="E364" s="97">
        <v>1050</v>
      </c>
    </row>
    <row r="365" spans="1:5" ht="15.6" x14ac:dyDescent="0.3">
      <c r="A365" s="95">
        <v>361</v>
      </c>
      <c r="B365" s="25">
        <v>43501</v>
      </c>
      <c r="C365" s="100" t="s">
        <v>31</v>
      </c>
      <c r="D365" s="7"/>
      <c r="E365" s="97">
        <v>28000</v>
      </c>
    </row>
    <row r="366" spans="1:5" ht="15.6" x14ac:dyDescent="0.3">
      <c r="A366" s="95">
        <v>362</v>
      </c>
      <c r="B366" s="25">
        <v>43501</v>
      </c>
      <c r="C366" s="99" t="s">
        <v>7</v>
      </c>
      <c r="D366" s="7"/>
      <c r="E366" s="97">
        <v>2000</v>
      </c>
    </row>
    <row r="367" spans="1:5" ht="15.6" x14ac:dyDescent="0.3">
      <c r="A367" s="95">
        <v>363</v>
      </c>
      <c r="B367" s="25">
        <v>43502</v>
      </c>
      <c r="C367" s="99" t="s">
        <v>69</v>
      </c>
      <c r="D367" s="7"/>
      <c r="E367" s="97">
        <v>15000</v>
      </c>
    </row>
    <row r="368" spans="1:5" ht="15.6" x14ac:dyDescent="0.3">
      <c r="A368" s="95">
        <v>364</v>
      </c>
      <c r="B368" s="25">
        <v>43502</v>
      </c>
      <c r="C368" s="99" t="s">
        <v>102</v>
      </c>
      <c r="D368" s="7"/>
      <c r="E368" s="97">
        <v>50000</v>
      </c>
    </row>
    <row r="369" spans="1:5" ht="15.6" x14ac:dyDescent="0.3">
      <c r="A369" s="95">
        <v>365</v>
      </c>
      <c r="B369" s="25">
        <v>43502</v>
      </c>
      <c r="C369" s="104" t="s">
        <v>131</v>
      </c>
      <c r="D369" s="7"/>
      <c r="E369" s="97">
        <v>22000</v>
      </c>
    </row>
    <row r="370" spans="1:5" ht="15.6" x14ac:dyDescent="0.3">
      <c r="A370" s="95">
        <v>366</v>
      </c>
      <c r="B370" s="25">
        <v>43502</v>
      </c>
      <c r="C370" s="105" t="s">
        <v>132</v>
      </c>
      <c r="D370" s="12">
        <v>100000</v>
      </c>
      <c r="E370" s="97"/>
    </row>
    <row r="371" spans="1:5" ht="15.6" x14ac:dyDescent="0.3">
      <c r="A371" s="95">
        <v>367</v>
      </c>
      <c r="B371" s="25">
        <v>43502</v>
      </c>
      <c r="C371" s="100" t="s">
        <v>133</v>
      </c>
      <c r="D371" s="7"/>
      <c r="E371" s="97">
        <v>850</v>
      </c>
    </row>
    <row r="372" spans="1:5" ht="15.6" x14ac:dyDescent="0.3">
      <c r="A372" s="95">
        <v>368</v>
      </c>
      <c r="B372" s="25">
        <v>43502</v>
      </c>
      <c r="C372" s="100" t="s">
        <v>134</v>
      </c>
      <c r="D372" s="7"/>
      <c r="E372" s="97">
        <v>850</v>
      </c>
    </row>
    <row r="373" spans="1:5" ht="15.6" x14ac:dyDescent="0.3">
      <c r="A373" s="95">
        <v>369</v>
      </c>
      <c r="B373" s="25">
        <v>43502</v>
      </c>
      <c r="C373" s="100" t="s">
        <v>135</v>
      </c>
      <c r="D373" s="7"/>
      <c r="E373" s="97">
        <v>850</v>
      </c>
    </row>
    <row r="374" spans="1:5" ht="15.6" x14ac:dyDescent="0.3">
      <c r="A374" s="95">
        <v>370</v>
      </c>
      <c r="B374" s="25">
        <v>43502</v>
      </c>
      <c r="C374" s="99" t="s">
        <v>136</v>
      </c>
      <c r="D374" s="7"/>
      <c r="E374" s="97">
        <v>500</v>
      </c>
    </row>
    <row r="375" spans="1:5" ht="15.6" x14ac:dyDescent="0.3">
      <c r="A375" s="95">
        <v>371</v>
      </c>
      <c r="B375" s="25">
        <v>43502</v>
      </c>
      <c r="C375" s="100" t="s">
        <v>31</v>
      </c>
      <c r="D375" s="7"/>
      <c r="E375" s="97">
        <v>20000</v>
      </c>
    </row>
    <row r="376" spans="1:5" ht="15.6" x14ac:dyDescent="0.3">
      <c r="A376" s="95">
        <v>372</v>
      </c>
      <c r="B376" s="25">
        <v>43503</v>
      </c>
      <c r="C376" s="100" t="s">
        <v>137</v>
      </c>
      <c r="D376" s="7"/>
      <c r="E376" s="97">
        <v>4600</v>
      </c>
    </row>
    <row r="377" spans="1:5" ht="15.6" x14ac:dyDescent="0.3">
      <c r="A377" s="95">
        <v>373</v>
      </c>
      <c r="B377" s="25">
        <v>43503</v>
      </c>
      <c r="C377" s="99" t="s">
        <v>138</v>
      </c>
      <c r="D377" s="7"/>
      <c r="E377" s="97">
        <v>800</v>
      </c>
    </row>
    <row r="378" spans="1:5" ht="15.6" x14ac:dyDescent="0.3">
      <c r="A378" s="95">
        <v>374</v>
      </c>
      <c r="B378" s="25">
        <v>43503</v>
      </c>
      <c r="C378" s="99" t="s">
        <v>139</v>
      </c>
      <c r="D378" s="7"/>
      <c r="E378" s="97">
        <v>250</v>
      </c>
    </row>
    <row r="379" spans="1:5" ht="15.6" x14ac:dyDescent="0.3">
      <c r="A379" s="95">
        <v>375</v>
      </c>
      <c r="B379" s="25">
        <v>43503</v>
      </c>
      <c r="C379" s="99" t="s">
        <v>42</v>
      </c>
      <c r="D379" s="7"/>
      <c r="E379" s="97">
        <v>100</v>
      </c>
    </row>
    <row r="380" spans="1:5" ht="28.2" x14ac:dyDescent="0.3">
      <c r="A380" s="95">
        <v>376</v>
      </c>
      <c r="B380" s="25">
        <v>43503</v>
      </c>
      <c r="C380" s="105" t="s">
        <v>140</v>
      </c>
      <c r="D380" s="12">
        <v>200000</v>
      </c>
      <c r="E380" s="97"/>
    </row>
    <row r="381" spans="1:5" ht="28.2" x14ac:dyDescent="0.3">
      <c r="A381" s="95">
        <v>377</v>
      </c>
      <c r="B381" s="25">
        <v>43503</v>
      </c>
      <c r="C381" s="105" t="s">
        <v>141</v>
      </c>
      <c r="D381" s="12">
        <v>300000</v>
      </c>
      <c r="E381" s="97"/>
    </row>
    <row r="382" spans="1:5" ht="15.6" x14ac:dyDescent="0.3">
      <c r="A382" s="95">
        <v>378</v>
      </c>
      <c r="B382" s="25">
        <v>43504</v>
      </c>
      <c r="C382" s="99" t="s">
        <v>26</v>
      </c>
      <c r="D382" s="7"/>
      <c r="E382" s="97">
        <v>50000</v>
      </c>
    </row>
    <row r="383" spans="1:5" ht="15.6" x14ac:dyDescent="0.3">
      <c r="A383" s="95">
        <v>379</v>
      </c>
      <c r="B383" s="25">
        <v>43504</v>
      </c>
      <c r="C383" s="99" t="s">
        <v>142</v>
      </c>
      <c r="D383" s="7"/>
      <c r="E383" s="97">
        <v>13350</v>
      </c>
    </row>
    <row r="384" spans="1:5" ht="15.6" x14ac:dyDescent="0.3">
      <c r="A384" s="95">
        <v>380</v>
      </c>
      <c r="B384" s="25">
        <v>43504</v>
      </c>
      <c r="C384" s="100" t="s">
        <v>143</v>
      </c>
      <c r="D384" s="7"/>
      <c r="E384" s="97">
        <v>60000</v>
      </c>
    </row>
    <row r="385" spans="1:5" ht="15.6" x14ac:dyDescent="0.3">
      <c r="A385" s="95">
        <v>381</v>
      </c>
      <c r="B385" s="25">
        <v>43504</v>
      </c>
      <c r="C385" s="99" t="s">
        <v>144</v>
      </c>
      <c r="D385" s="7"/>
      <c r="E385" s="97">
        <v>2000</v>
      </c>
    </row>
    <row r="386" spans="1:5" ht="15.6" x14ac:dyDescent="0.3">
      <c r="A386" s="95">
        <v>382</v>
      </c>
      <c r="B386" s="25">
        <v>43506</v>
      </c>
      <c r="C386" s="99" t="s">
        <v>106</v>
      </c>
      <c r="D386" s="7"/>
      <c r="E386" s="97">
        <v>510</v>
      </c>
    </row>
    <row r="387" spans="1:5" ht="15.6" x14ac:dyDescent="0.3">
      <c r="A387" s="95">
        <v>383</v>
      </c>
      <c r="B387" s="25">
        <v>43506</v>
      </c>
      <c r="C387" s="100" t="s">
        <v>31</v>
      </c>
      <c r="D387" s="7"/>
      <c r="E387" s="97">
        <v>40000</v>
      </c>
    </row>
    <row r="388" spans="1:5" ht="15.6" x14ac:dyDescent="0.3">
      <c r="A388" s="95">
        <v>384</v>
      </c>
      <c r="B388" s="25">
        <v>43508</v>
      </c>
      <c r="C388" s="99" t="s">
        <v>106</v>
      </c>
      <c r="D388" s="7"/>
      <c r="E388" s="97">
        <v>2750</v>
      </c>
    </row>
    <row r="389" spans="1:5" ht="15.6" x14ac:dyDescent="0.3">
      <c r="A389" s="95">
        <v>385</v>
      </c>
      <c r="B389" s="25">
        <v>43508</v>
      </c>
      <c r="C389" s="100" t="s">
        <v>31</v>
      </c>
      <c r="D389" s="7"/>
      <c r="E389" s="97">
        <v>50000</v>
      </c>
    </row>
    <row r="390" spans="1:5" ht="15.6" x14ac:dyDescent="0.3">
      <c r="A390" s="95">
        <v>386</v>
      </c>
      <c r="B390" s="25">
        <v>43508</v>
      </c>
      <c r="C390" s="99" t="s">
        <v>145</v>
      </c>
      <c r="D390" s="7"/>
      <c r="E390" s="97">
        <v>1000</v>
      </c>
    </row>
    <row r="391" spans="1:5" ht="15.6" x14ac:dyDescent="0.3">
      <c r="A391" s="95">
        <v>387</v>
      </c>
      <c r="B391" s="25">
        <v>43510</v>
      </c>
      <c r="C391" s="99" t="s">
        <v>102</v>
      </c>
      <c r="D391" s="7"/>
      <c r="E391" s="97">
        <v>15000</v>
      </c>
    </row>
    <row r="392" spans="1:5" ht="15.6" x14ac:dyDescent="0.3">
      <c r="A392" s="95">
        <v>388</v>
      </c>
      <c r="B392" s="25">
        <v>43510</v>
      </c>
      <c r="C392" s="109" t="s">
        <v>50</v>
      </c>
      <c r="D392" s="7"/>
      <c r="E392" s="97">
        <v>12600</v>
      </c>
    </row>
    <row r="393" spans="1:5" ht="15.6" x14ac:dyDescent="0.3">
      <c r="A393" s="95">
        <v>389</v>
      </c>
      <c r="B393" s="25">
        <v>43511</v>
      </c>
      <c r="C393" s="100" t="s">
        <v>31</v>
      </c>
      <c r="D393" s="7"/>
      <c r="E393" s="97">
        <v>25000</v>
      </c>
    </row>
    <row r="394" spans="1:5" ht="15.6" x14ac:dyDescent="0.3">
      <c r="A394" s="95">
        <v>390</v>
      </c>
      <c r="B394" s="25">
        <v>43511</v>
      </c>
      <c r="C394" s="99" t="s">
        <v>145</v>
      </c>
      <c r="D394" s="7"/>
      <c r="E394" s="97">
        <v>3000</v>
      </c>
    </row>
    <row r="395" spans="1:5" ht="15.6" x14ac:dyDescent="0.3">
      <c r="A395" s="95">
        <v>391</v>
      </c>
      <c r="B395" s="25">
        <v>43512</v>
      </c>
      <c r="C395" s="100" t="s">
        <v>31</v>
      </c>
      <c r="D395" s="7"/>
      <c r="E395" s="97">
        <v>20000</v>
      </c>
    </row>
    <row r="396" spans="1:5" ht="15.6" x14ac:dyDescent="0.3">
      <c r="A396" s="95">
        <v>392</v>
      </c>
      <c r="B396" s="25">
        <v>43512</v>
      </c>
      <c r="C396" s="99" t="s">
        <v>106</v>
      </c>
      <c r="D396" s="7"/>
      <c r="E396" s="97">
        <v>3300</v>
      </c>
    </row>
    <row r="397" spans="1:5" ht="15.6" x14ac:dyDescent="0.3">
      <c r="A397" s="95">
        <v>393</v>
      </c>
      <c r="B397" s="25">
        <v>43512</v>
      </c>
      <c r="C397" s="99" t="s">
        <v>42</v>
      </c>
      <c r="D397" s="7"/>
      <c r="E397" s="97">
        <v>50</v>
      </c>
    </row>
    <row r="398" spans="1:5" ht="15.6" x14ac:dyDescent="0.3">
      <c r="A398" s="95">
        <v>394</v>
      </c>
      <c r="B398" s="25">
        <v>43514</v>
      </c>
      <c r="C398" s="99" t="s">
        <v>106</v>
      </c>
      <c r="D398" s="7"/>
      <c r="E398" s="97">
        <v>425</v>
      </c>
    </row>
    <row r="399" spans="1:5" ht="15.6" x14ac:dyDescent="0.3">
      <c r="A399" s="95">
        <v>395</v>
      </c>
      <c r="B399" s="25">
        <v>43514</v>
      </c>
      <c r="C399" s="99" t="s">
        <v>50</v>
      </c>
      <c r="D399" s="7"/>
      <c r="E399" s="97">
        <v>12600</v>
      </c>
    </row>
    <row r="400" spans="1:5" ht="15.6" x14ac:dyDescent="0.3">
      <c r="A400" s="95">
        <v>396</v>
      </c>
      <c r="B400" s="25">
        <v>43514</v>
      </c>
      <c r="C400" s="99" t="s">
        <v>42</v>
      </c>
      <c r="D400" s="7"/>
      <c r="E400" s="97">
        <v>50</v>
      </c>
    </row>
    <row r="401" spans="1:5" ht="15.6" x14ac:dyDescent="0.3">
      <c r="A401" s="95">
        <v>397</v>
      </c>
      <c r="B401" s="25">
        <v>43514</v>
      </c>
      <c r="C401" s="99" t="s">
        <v>102</v>
      </c>
      <c r="D401" s="7"/>
      <c r="E401" s="97">
        <v>10000</v>
      </c>
    </row>
    <row r="402" spans="1:5" ht="28.2" x14ac:dyDescent="0.3">
      <c r="A402" s="95">
        <v>398</v>
      </c>
      <c r="B402" s="25">
        <v>43515</v>
      </c>
      <c r="C402" s="105" t="s">
        <v>146</v>
      </c>
      <c r="D402" s="12">
        <v>200000</v>
      </c>
      <c r="E402" s="97"/>
    </row>
    <row r="403" spans="1:5" ht="15.6" x14ac:dyDescent="0.3">
      <c r="A403" s="95">
        <v>399</v>
      </c>
      <c r="B403" s="25">
        <v>43515</v>
      </c>
      <c r="C403" s="100" t="s">
        <v>31</v>
      </c>
      <c r="D403" s="7"/>
      <c r="E403" s="97">
        <v>75000</v>
      </c>
    </row>
    <row r="404" spans="1:5" ht="15.6" x14ac:dyDescent="0.3">
      <c r="A404" s="95">
        <v>400</v>
      </c>
      <c r="B404" s="25">
        <v>43515</v>
      </c>
      <c r="C404" s="99" t="s">
        <v>102</v>
      </c>
      <c r="D404" s="7"/>
      <c r="E404" s="97">
        <v>25000</v>
      </c>
    </row>
    <row r="405" spans="1:5" ht="15.6" x14ac:dyDescent="0.3">
      <c r="A405" s="95">
        <v>401</v>
      </c>
      <c r="B405" s="25">
        <v>43515</v>
      </c>
      <c r="C405" s="99" t="s">
        <v>42</v>
      </c>
      <c r="D405" s="7"/>
      <c r="E405" s="97">
        <v>50</v>
      </c>
    </row>
    <row r="406" spans="1:5" ht="15.6" x14ac:dyDescent="0.3">
      <c r="A406" s="95">
        <v>402</v>
      </c>
      <c r="B406" s="25">
        <v>43516</v>
      </c>
      <c r="C406" s="99" t="s">
        <v>106</v>
      </c>
      <c r="D406" s="7"/>
      <c r="E406" s="97">
        <v>3750</v>
      </c>
    </row>
    <row r="407" spans="1:5" ht="15.6" x14ac:dyDescent="0.3">
      <c r="A407" s="95">
        <v>403</v>
      </c>
      <c r="B407" s="25">
        <v>43516</v>
      </c>
      <c r="C407" s="99" t="s">
        <v>108</v>
      </c>
      <c r="D407" s="7"/>
      <c r="E407" s="97">
        <v>100</v>
      </c>
    </row>
    <row r="408" spans="1:5" ht="15.6" x14ac:dyDescent="0.3">
      <c r="A408" s="95">
        <v>404</v>
      </c>
      <c r="B408" s="25">
        <v>43516</v>
      </c>
      <c r="C408" s="99" t="s">
        <v>26</v>
      </c>
      <c r="D408" s="7"/>
      <c r="E408" s="97">
        <v>10000</v>
      </c>
    </row>
    <row r="409" spans="1:5" ht="25.8" x14ac:dyDescent="0.3">
      <c r="A409" s="95">
        <v>405</v>
      </c>
      <c r="B409" s="25">
        <v>43517</v>
      </c>
      <c r="C409" s="105" t="s">
        <v>147</v>
      </c>
      <c r="D409" s="12">
        <v>500000</v>
      </c>
      <c r="E409" s="97"/>
    </row>
    <row r="410" spans="1:5" ht="25.8" x14ac:dyDescent="0.3">
      <c r="A410" s="95">
        <v>406</v>
      </c>
      <c r="B410" s="25">
        <v>43517</v>
      </c>
      <c r="C410" s="105" t="s">
        <v>148</v>
      </c>
      <c r="D410" s="12">
        <v>500000</v>
      </c>
      <c r="E410" s="97"/>
    </row>
    <row r="411" spans="1:5" ht="15.6" x14ac:dyDescent="0.3">
      <c r="A411" s="95">
        <v>407</v>
      </c>
      <c r="B411" s="25">
        <v>43519</v>
      </c>
      <c r="C411" s="99" t="s">
        <v>106</v>
      </c>
      <c r="D411" s="7"/>
      <c r="E411" s="97">
        <v>3520</v>
      </c>
    </row>
    <row r="412" spans="1:5" ht="15.6" x14ac:dyDescent="0.3">
      <c r="A412" s="95">
        <v>408</v>
      </c>
      <c r="B412" s="25">
        <v>43519</v>
      </c>
      <c r="C412" s="99" t="s">
        <v>42</v>
      </c>
      <c r="D412" s="7"/>
      <c r="E412" s="97">
        <v>100</v>
      </c>
    </row>
    <row r="413" spans="1:5" ht="15.6" x14ac:dyDescent="0.3">
      <c r="A413" s="95">
        <v>409</v>
      </c>
      <c r="B413" s="25">
        <v>43519</v>
      </c>
      <c r="C413" s="99" t="s">
        <v>145</v>
      </c>
      <c r="D413" s="7"/>
      <c r="E413" s="97">
        <v>3000</v>
      </c>
    </row>
    <row r="414" spans="1:5" ht="15.6" x14ac:dyDescent="0.3">
      <c r="A414" s="95">
        <v>410</v>
      </c>
      <c r="B414" s="25">
        <v>43519</v>
      </c>
      <c r="C414" s="100" t="s">
        <v>31</v>
      </c>
      <c r="D414" s="7"/>
      <c r="E414" s="97">
        <v>10000</v>
      </c>
    </row>
    <row r="415" spans="1:5" ht="15.6" x14ac:dyDescent="0.3">
      <c r="A415" s="95">
        <v>411</v>
      </c>
      <c r="B415" s="25">
        <v>43521</v>
      </c>
      <c r="C415" s="100" t="s">
        <v>31</v>
      </c>
      <c r="D415" s="7"/>
      <c r="E415" s="97">
        <v>25000</v>
      </c>
    </row>
    <row r="416" spans="1:5" ht="15.6" x14ac:dyDescent="0.3">
      <c r="A416" s="95">
        <v>412</v>
      </c>
      <c r="B416" s="25">
        <v>43522</v>
      </c>
      <c r="C416" s="99" t="s">
        <v>102</v>
      </c>
      <c r="D416" s="7"/>
      <c r="E416" s="97">
        <v>20000</v>
      </c>
    </row>
    <row r="417" spans="1:5" ht="15.6" x14ac:dyDescent="0.3">
      <c r="A417" s="95">
        <v>413</v>
      </c>
      <c r="B417" s="25">
        <v>43522</v>
      </c>
      <c r="C417" s="100" t="s">
        <v>31</v>
      </c>
      <c r="D417" s="7"/>
      <c r="E417" s="97">
        <v>35000</v>
      </c>
    </row>
    <row r="418" spans="1:5" ht="15.6" x14ac:dyDescent="0.3">
      <c r="A418" s="95">
        <v>414</v>
      </c>
      <c r="B418" s="25">
        <v>43522</v>
      </c>
      <c r="C418" s="99" t="s">
        <v>145</v>
      </c>
      <c r="D418" s="7"/>
      <c r="E418" s="97">
        <v>1000</v>
      </c>
    </row>
    <row r="419" spans="1:5" ht="15.6" x14ac:dyDescent="0.3">
      <c r="A419" s="95">
        <v>415</v>
      </c>
      <c r="B419" s="25">
        <v>43523</v>
      </c>
      <c r="C419" s="99" t="s">
        <v>26</v>
      </c>
      <c r="D419" s="7"/>
      <c r="E419" s="97">
        <v>20000</v>
      </c>
    </row>
    <row r="420" spans="1:5" ht="15.6" x14ac:dyDescent="0.3">
      <c r="A420" s="95">
        <v>416</v>
      </c>
      <c r="B420" s="25">
        <v>43523</v>
      </c>
      <c r="C420" s="99" t="s">
        <v>122</v>
      </c>
      <c r="D420" s="7"/>
      <c r="E420" s="97">
        <v>100</v>
      </c>
    </row>
    <row r="421" spans="1:5" ht="15.6" x14ac:dyDescent="0.3">
      <c r="A421" s="95">
        <v>417</v>
      </c>
      <c r="B421" s="25">
        <v>43523</v>
      </c>
      <c r="C421" s="99" t="s">
        <v>42</v>
      </c>
      <c r="D421" s="7"/>
      <c r="E421" s="97">
        <v>50</v>
      </c>
    </row>
    <row r="422" spans="1:5" ht="15.6" x14ac:dyDescent="0.3">
      <c r="A422" s="95">
        <v>418</v>
      </c>
      <c r="B422" s="25">
        <v>43523</v>
      </c>
      <c r="C422" s="99" t="s">
        <v>113</v>
      </c>
      <c r="D422" s="7"/>
      <c r="E422" s="97">
        <v>5000</v>
      </c>
    </row>
    <row r="423" spans="1:5" ht="15.6" x14ac:dyDescent="0.3">
      <c r="A423" s="95">
        <v>419</v>
      </c>
      <c r="B423" s="25">
        <v>43528</v>
      </c>
      <c r="C423" s="99" t="s">
        <v>26</v>
      </c>
      <c r="D423" s="7"/>
      <c r="E423" s="97">
        <v>20000</v>
      </c>
    </row>
    <row r="424" spans="1:5" ht="15.6" x14ac:dyDescent="0.3">
      <c r="A424" s="95">
        <v>420</v>
      </c>
      <c r="B424" s="25">
        <v>43528</v>
      </c>
      <c r="C424" s="100" t="s">
        <v>31</v>
      </c>
      <c r="D424" s="7"/>
      <c r="E424" s="97">
        <v>25000</v>
      </c>
    </row>
    <row r="425" spans="1:5" ht="15.6" x14ac:dyDescent="0.3">
      <c r="A425" s="95">
        <v>421</v>
      </c>
      <c r="B425" s="25">
        <v>43528</v>
      </c>
      <c r="C425" s="99" t="s">
        <v>145</v>
      </c>
      <c r="D425" s="7"/>
      <c r="E425" s="97">
        <v>2000</v>
      </c>
    </row>
    <row r="426" spans="1:5" ht="15.6" x14ac:dyDescent="0.3">
      <c r="A426" s="95">
        <v>422</v>
      </c>
      <c r="B426" s="25">
        <v>43529</v>
      </c>
      <c r="C426" s="99" t="s">
        <v>149</v>
      </c>
      <c r="D426" s="7"/>
      <c r="E426" s="97">
        <v>33000</v>
      </c>
    </row>
    <row r="427" spans="1:5" ht="15.6" x14ac:dyDescent="0.3">
      <c r="A427" s="95">
        <v>423</v>
      </c>
      <c r="B427" s="25">
        <v>43529</v>
      </c>
      <c r="C427" s="99" t="s">
        <v>150</v>
      </c>
      <c r="D427" s="7"/>
      <c r="E427" s="97">
        <v>8400</v>
      </c>
    </row>
    <row r="428" spans="1:5" ht="15.6" x14ac:dyDescent="0.3">
      <c r="A428" s="95">
        <v>424</v>
      </c>
      <c r="B428" s="25">
        <v>43529</v>
      </c>
      <c r="C428" s="99" t="s">
        <v>151</v>
      </c>
      <c r="D428" s="7"/>
      <c r="E428" s="97">
        <v>2700</v>
      </c>
    </row>
    <row r="429" spans="1:5" ht="15.6" x14ac:dyDescent="0.3">
      <c r="A429" s="95">
        <v>425</v>
      </c>
      <c r="B429" s="25">
        <v>43530</v>
      </c>
      <c r="C429" s="100" t="s">
        <v>31</v>
      </c>
      <c r="D429" s="7"/>
      <c r="E429" s="97">
        <v>25000</v>
      </c>
    </row>
    <row r="430" spans="1:5" ht="15.6" x14ac:dyDescent="0.3">
      <c r="A430" s="95">
        <v>426</v>
      </c>
      <c r="B430" s="25">
        <v>43530</v>
      </c>
      <c r="C430" s="99" t="s">
        <v>42</v>
      </c>
      <c r="D430" s="7"/>
      <c r="E430" s="97">
        <v>50</v>
      </c>
    </row>
    <row r="431" spans="1:5" ht="28.2" x14ac:dyDescent="0.3">
      <c r="A431" s="95">
        <v>427</v>
      </c>
      <c r="B431" s="25">
        <v>43530</v>
      </c>
      <c r="C431" s="105" t="s">
        <v>146</v>
      </c>
      <c r="D431" s="12">
        <v>100000</v>
      </c>
      <c r="E431" s="97"/>
    </row>
    <row r="432" spans="1:5" ht="15.6" x14ac:dyDescent="0.3">
      <c r="A432" s="95">
        <v>428</v>
      </c>
      <c r="B432" s="25">
        <v>43530</v>
      </c>
      <c r="C432" s="99" t="s">
        <v>26</v>
      </c>
      <c r="D432" s="7"/>
      <c r="E432" s="97">
        <v>20000</v>
      </c>
    </row>
    <row r="433" spans="1:5" ht="15.6" x14ac:dyDescent="0.3">
      <c r="A433" s="95">
        <v>429</v>
      </c>
      <c r="B433" s="25">
        <v>43530</v>
      </c>
      <c r="C433" s="99" t="s">
        <v>102</v>
      </c>
      <c r="D433" s="7"/>
      <c r="E433" s="97">
        <v>10000</v>
      </c>
    </row>
    <row r="434" spans="1:5" ht="15.6" x14ac:dyDescent="0.3">
      <c r="A434" s="95">
        <v>430</v>
      </c>
      <c r="B434" s="25">
        <v>43530</v>
      </c>
      <c r="C434" s="100" t="s">
        <v>152</v>
      </c>
      <c r="D434" s="7"/>
      <c r="E434" s="97">
        <v>60000</v>
      </c>
    </row>
    <row r="435" spans="1:5" ht="15.6" x14ac:dyDescent="0.3">
      <c r="A435" s="95">
        <v>431</v>
      </c>
      <c r="B435" s="25">
        <v>43531</v>
      </c>
      <c r="C435" s="99" t="s">
        <v>69</v>
      </c>
      <c r="D435" s="7"/>
      <c r="E435" s="97">
        <v>20000</v>
      </c>
    </row>
    <row r="436" spans="1:5" ht="15.6" x14ac:dyDescent="0.3">
      <c r="A436" s="95">
        <v>432</v>
      </c>
      <c r="B436" s="25">
        <v>43533</v>
      </c>
      <c r="C436" s="100" t="s">
        <v>31</v>
      </c>
      <c r="D436" s="7"/>
      <c r="E436" s="97">
        <v>20000</v>
      </c>
    </row>
    <row r="437" spans="1:5" ht="15.6" x14ac:dyDescent="0.3">
      <c r="A437" s="95">
        <v>433</v>
      </c>
      <c r="B437" s="25">
        <v>43533</v>
      </c>
      <c r="C437" s="99" t="s">
        <v>153</v>
      </c>
      <c r="D437" s="7"/>
      <c r="E437" s="97">
        <v>400</v>
      </c>
    </row>
    <row r="438" spans="1:5" ht="15.6" x14ac:dyDescent="0.3">
      <c r="A438" s="95">
        <v>434</v>
      </c>
      <c r="B438" s="25">
        <v>43533</v>
      </c>
      <c r="C438" s="99" t="s">
        <v>26</v>
      </c>
      <c r="D438" s="7"/>
      <c r="E438" s="97">
        <v>3000</v>
      </c>
    </row>
    <row r="439" spans="1:5" ht="15.6" x14ac:dyDescent="0.3">
      <c r="A439" s="95">
        <v>435</v>
      </c>
      <c r="B439" s="25">
        <v>43536</v>
      </c>
      <c r="C439" s="99" t="s">
        <v>119</v>
      </c>
      <c r="D439" s="7"/>
      <c r="E439" s="97">
        <v>70</v>
      </c>
    </row>
    <row r="440" spans="1:5" ht="15.6" x14ac:dyDescent="0.3">
      <c r="A440" s="95">
        <v>436</v>
      </c>
      <c r="B440" s="25">
        <v>43536</v>
      </c>
      <c r="C440" s="100" t="s">
        <v>31</v>
      </c>
      <c r="D440" s="7"/>
      <c r="E440" s="97">
        <v>25000</v>
      </c>
    </row>
    <row r="441" spans="1:5" ht="15.6" x14ac:dyDescent="0.3">
      <c r="A441" s="95">
        <v>437</v>
      </c>
      <c r="B441" s="25">
        <v>43536</v>
      </c>
      <c r="C441" s="100" t="s">
        <v>102</v>
      </c>
      <c r="D441" s="7"/>
      <c r="E441" s="97">
        <v>10000</v>
      </c>
    </row>
    <row r="442" spans="1:5" ht="15.6" x14ac:dyDescent="0.3">
      <c r="A442" s="95">
        <v>438</v>
      </c>
      <c r="B442" s="25">
        <v>43536</v>
      </c>
      <c r="C442" s="100" t="s">
        <v>42</v>
      </c>
      <c r="D442" s="7"/>
      <c r="E442" s="97">
        <v>300</v>
      </c>
    </row>
    <row r="443" spans="1:5" ht="25.8" x14ac:dyDescent="0.3">
      <c r="A443" s="95">
        <v>439</v>
      </c>
      <c r="B443" s="25">
        <v>43538</v>
      </c>
      <c r="C443" s="105" t="s">
        <v>154</v>
      </c>
      <c r="D443" s="12">
        <v>200000</v>
      </c>
      <c r="E443" s="97"/>
    </row>
    <row r="444" spans="1:5" ht="15.6" x14ac:dyDescent="0.3">
      <c r="A444" s="95">
        <v>440</v>
      </c>
      <c r="B444" s="25">
        <v>43538</v>
      </c>
      <c r="C444" s="100" t="s">
        <v>62</v>
      </c>
      <c r="D444" s="7"/>
      <c r="E444" s="97">
        <v>100</v>
      </c>
    </row>
    <row r="445" spans="1:5" ht="15.6" x14ac:dyDescent="0.3">
      <c r="A445" s="95">
        <v>441</v>
      </c>
      <c r="B445" s="25">
        <v>43538</v>
      </c>
      <c r="C445" s="104" t="s">
        <v>155</v>
      </c>
      <c r="D445" s="7"/>
      <c r="E445" s="97">
        <v>73000</v>
      </c>
    </row>
    <row r="446" spans="1:5" ht="15.6" x14ac:dyDescent="0.3">
      <c r="A446" s="95">
        <v>442</v>
      </c>
      <c r="B446" s="25">
        <v>43538</v>
      </c>
      <c r="C446" s="100" t="s">
        <v>102</v>
      </c>
      <c r="D446" s="7"/>
      <c r="E446" s="97">
        <v>50000</v>
      </c>
    </row>
    <row r="447" spans="1:5" ht="15.6" x14ac:dyDescent="0.3">
      <c r="A447" s="95">
        <v>443</v>
      </c>
      <c r="B447" s="25">
        <v>43538</v>
      </c>
      <c r="C447" s="100" t="s">
        <v>31</v>
      </c>
      <c r="D447" s="7"/>
      <c r="E447" s="97">
        <v>50000</v>
      </c>
    </row>
    <row r="448" spans="1:5" ht="15.6" x14ac:dyDescent="0.3">
      <c r="A448" s="95">
        <v>444</v>
      </c>
      <c r="B448" s="25">
        <v>43538</v>
      </c>
      <c r="C448" s="100" t="s">
        <v>12</v>
      </c>
      <c r="D448" s="7"/>
      <c r="E448" s="97">
        <v>850</v>
      </c>
    </row>
    <row r="449" spans="1:5" ht="15.6" x14ac:dyDescent="0.3">
      <c r="A449" s="95">
        <v>445</v>
      </c>
      <c r="B449" s="25">
        <v>43538</v>
      </c>
      <c r="C449" s="100" t="s">
        <v>93</v>
      </c>
      <c r="D449" s="7"/>
      <c r="E449" s="97">
        <v>850</v>
      </c>
    </row>
    <row r="450" spans="1:5" ht="15.6" x14ac:dyDescent="0.3">
      <c r="A450" s="95">
        <v>446</v>
      </c>
      <c r="B450" s="25">
        <v>43538</v>
      </c>
      <c r="C450" s="99" t="s">
        <v>156</v>
      </c>
      <c r="D450" s="7"/>
      <c r="E450" s="97">
        <v>20000</v>
      </c>
    </row>
    <row r="451" spans="1:5" ht="15.6" x14ac:dyDescent="0.3">
      <c r="A451" s="95">
        <v>447</v>
      </c>
      <c r="B451" s="25">
        <v>43538</v>
      </c>
      <c r="C451" s="99" t="s">
        <v>145</v>
      </c>
      <c r="D451" s="7"/>
      <c r="E451" s="97">
        <v>3000</v>
      </c>
    </row>
    <row r="452" spans="1:5" ht="15.6" x14ac:dyDescent="0.3">
      <c r="A452" s="95">
        <v>448</v>
      </c>
      <c r="B452" s="25">
        <v>43538</v>
      </c>
      <c r="C452" s="99" t="s">
        <v>157</v>
      </c>
      <c r="D452" s="7"/>
      <c r="E452" s="97">
        <v>500</v>
      </c>
    </row>
    <row r="453" spans="1:5" ht="15.6" x14ac:dyDescent="0.3">
      <c r="A453" s="95">
        <v>449</v>
      </c>
      <c r="B453" s="25">
        <v>43539</v>
      </c>
      <c r="C453" s="99" t="s">
        <v>157</v>
      </c>
      <c r="D453" s="7"/>
      <c r="E453" s="97">
        <v>1000</v>
      </c>
    </row>
    <row r="454" spans="1:5" ht="15.6" x14ac:dyDescent="0.3">
      <c r="A454" s="95">
        <v>450</v>
      </c>
      <c r="B454" s="25">
        <v>43539</v>
      </c>
      <c r="C454" s="99" t="s">
        <v>158</v>
      </c>
      <c r="D454" s="7"/>
      <c r="E454" s="97">
        <v>150</v>
      </c>
    </row>
    <row r="455" spans="1:5" ht="15.6" x14ac:dyDescent="0.3">
      <c r="A455" s="95">
        <v>451</v>
      </c>
      <c r="B455" s="25">
        <v>43539</v>
      </c>
      <c r="C455" s="99" t="s">
        <v>159</v>
      </c>
      <c r="D455" s="7"/>
      <c r="E455" s="97">
        <v>50000</v>
      </c>
    </row>
    <row r="456" spans="1:5" ht="15.6" x14ac:dyDescent="0.3">
      <c r="A456" s="95">
        <v>452</v>
      </c>
      <c r="B456" s="25">
        <v>43539</v>
      </c>
      <c r="C456" s="99" t="s">
        <v>42</v>
      </c>
      <c r="D456" s="7"/>
      <c r="E456" s="97">
        <v>50</v>
      </c>
    </row>
    <row r="457" spans="1:5" ht="15.6" x14ac:dyDescent="0.3">
      <c r="A457" s="95">
        <v>453</v>
      </c>
      <c r="B457" s="25">
        <v>43540</v>
      </c>
      <c r="C457" s="99" t="s">
        <v>42</v>
      </c>
      <c r="D457" s="7"/>
      <c r="E457" s="97">
        <v>50</v>
      </c>
    </row>
    <row r="458" spans="1:5" ht="15.6" x14ac:dyDescent="0.3">
      <c r="A458" s="95">
        <v>454</v>
      </c>
      <c r="B458" s="25">
        <v>43540</v>
      </c>
      <c r="C458" s="99" t="s">
        <v>157</v>
      </c>
      <c r="D458" s="7"/>
      <c r="E458" s="97">
        <v>1000</v>
      </c>
    </row>
    <row r="459" spans="1:5" ht="15.6" x14ac:dyDescent="0.3">
      <c r="A459" s="95">
        <v>455</v>
      </c>
      <c r="B459" s="25">
        <v>43543</v>
      </c>
      <c r="C459" s="99" t="s">
        <v>42</v>
      </c>
      <c r="D459" s="7"/>
      <c r="E459" s="97">
        <v>50</v>
      </c>
    </row>
    <row r="460" spans="1:5" ht="15.6" x14ac:dyDescent="0.3">
      <c r="A460" s="95">
        <v>456</v>
      </c>
      <c r="B460" s="25">
        <v>43543</v>
      </c>
      <c r="C460" s="105" t="s">
        <v>160</v>
      </c>
      <c r="D460" s="12">
        <v>150000</v>
      </c>
      <c r="E460" s="97"/>
    </row>
    <row r="461" spans="1:5" ht="15.6" x14ac:dyDescent="0.3">
      <c r="A461" s="95">
        <v>457</v>
      </c>
      <c r="B461" s="25">
        <v>43543</v>
      </c>
      <c r="C461" s="100" t="s">
        <v>31</v>
      </c>
      <c r="D461" s="7"/>
      <c r="E461" s="97">
        <v>65000</v>
      </c>
    </row>
    <row r="462" spans="1:5" ht="15.6" x14ac:dyDescent="0.3">
      <c r="A462" s="95">
        <v>458</v>
      </c>
      <c r="B462" s="25">
        <v>43543</v>
      </c>
      <c r="C462" s="99" t="s">
        <v>102</v>
      </c>
      <c r="D462" s="7"/>
      <c r="E462" s="97">
        <v>50000</v>
      </c>
    </row>
    <row r="463" spans="1:5" ht="15.6" x14ac:dyDescent="0.3">
      <c r="A463" s="95">
        <v>459</v>
      </c>
      <c r="B463" s="25">
        <v>43543</v>
      </c>
      <c r="C463" s="99" t="s">
        <v>157</v>
      </c>
      <c r="D463" s="7"/>
      <c r="E463" s="97">
        <v>2500</v>
      </c>
    </row>
    <row r="464" spans="1:5" ht="15.6" x14ac:dyDescent="0.3">
      <c r="A464" s="95">
        <v>460</v>
      </c>
      <c r="B464" s="25">
        <v>43545</v>
      </c>
      <c r="C464" s="99" t="s">
        <v>163</v>
      </c>
      <c r="D464" s="7"/>
      <c r="E464" s="97">
        <v>100000</v>
      </c>
    </row>
    <row r="465" spans="1:5" ht="15.6" x14ac:dyDescent="0.3">
      <c r="A465" s="95">
        <v>461</v>
      </c>
      <c r="B465" s="25">
        <v>43546</v>
      </c>
      <c r="C465" s="99" t="s">
        <v>145</v>
      </c>
      <c r="D465" s="7"/>
      <c r="E465" s="97">
        <v>2000</v>
      </c>
    </row>
    <row r="466" spans="1:5" ht="15.6" x14ac:dyDescent="0.3">
      <c r="A466" s="95">
        <v>462</v>
      </c>
      <c r="B466" s="25">
        <v>43546</v>
      </c>
      <c r="C466" s="99" t="s">
        <v>42</v>
      </c>
      <c r="D466" s="7"/>
      <c r="E466" s="97">
        <v>50</v>
      </c>
    </row>
    <row r="467" spans="1:5" ht="15.6" x14ac:dyDescent="0.3">
      <c r="A467" s="95">
        <v>463</v>
      </c>
      <c r="B467" s="25">
        <v>43546</v>
      </c>
      <c r="C467" s="100" t="s">
        <v>31</v>
      </c>
      <c r="D467" s="7"/>
      <c r="E467" s="97">
        <v>10000</v>
      </c>
    </row>
    <row r="468" spans="1:5" ht="15.6" x14ac:dyDescent="0.3">
      <c r="A468" s="95">
        <v>464</v>
      </c>
      <c r="B468" s="25">
        <v>43547</v>
      </c>
      <c r="C468" s="100" t="s">
        <v>31</v>
      </c>
      <c r="D468" s="7"/>
      <c r="E468" s="97">
        <v>10000</v>
      </c>
    </row>
    <row r="469" spans="1:5" ht="15.6" x14ac:dyDescent="0.3">
      <c r="A469" s="95">
        <v>465</v>
      </c>
      <c r="B469" s="25">
        <v>43548</v>
      </c>
      <c r="C469" s="99" t="s">
        <v>157</v>
      </c>
      <c r="D469" s="7"/>
      <c r="E469" s="97">
        <v>1100</v>
      </c>
    </row>
    <row r="470" spans="1:5" ht="15.6" x14ac:dyDescent="0.3">
      <c r="A470" s="95">
        <v>466</v>
      </c>
      <c r="B470" s="25">
        <v>43548</v>
      </c>
      <c r="C470" s="99" t="s">
        <v>42</v>
      </c>
      <c r="D470" s="7"/>
      <c r="E470" s="97">
        <v>50</v>
      </c>
    </row>
    <row r="471" spans="1:5" ht="15.6" x14ac:dyDescent="0.3">
      <c r="A471" s="95">
        <v>467</v>
      </c>
      <c r="B471" s="25">
        <v>43550</v>
      </c>
      <c r="C471" s="99" t="s">
        <v>42</v>
      </c>
      <c r="D471" s="7"/>
      <c r="E471" s="97">
        <v>50</v>
      </c>
    </row>
    <row r="472" spans="1:5" ht="15.6" x14ac:dyDescent="0.3">
      <c r="A472" s="95">
        <v>468</v>
      </c>
      <c r="B472" s="25">
        <v>43550</v>
      </c>
      <c r="C472" s="99" t="s">
        <v>164</v>
      </c>
      <c r="D472" s="7"/>
      <c r="E472" s="97">
        <v>85940</v>
      </c>
    </row>
    <row r="473" spans="1:5" ht="15.6" x14ac:dyDescent="0.3">
      <c r="A473" s="95">
        <v>469</v>
      </c>
      <c r="B473" s="25">
        <v>43550</v>
      </c>
      <c r="C473" s="100" t="s">
        <v>31</v>
      </c>
      <c r="D473" s="7"/>
      <c r="E473" s="97">
        <v>5000</v>
      </c>
    </row>
    <row r="474" spans="1:5" ht="15.6" x14ac:dyDescent="0.3">
      <c r="A474" s="95">
        <v>470</v>
      </c>
      <c r="B474" s="25">
        <v>43550</v>
      </c>
      <c r="C474" s="100" t="s">
        <v>165</v>
      </c>
      <c r="D474" s="7"/>
      <c r="E474" s="97">
        <v>50000</v>
      </c>
    </row>
    <row r="475" spans="1:5" ht="15.6" x14ac:dyDescent="0.3">
      <c r="A475" s="95">
        <v>471</v>
      </c>
      <c r="B475" s="25">
        <v>43550</v>
      </c>
      <c r="C475" s="105" t="s">
        <v>160</v>
      </c>
      <c r="D475" s="12">
        <v>100000</v>
      </c>
      <c r="E475" s="97"/>
    </row>
    <row r="476" spans="1:5" ht="15.6" x14ac:dyDescent="0.3">
      <c r="A476" s="95">
        <v>472</v>
      </c>
      <c r="B476" s="25">
        <v>43550</v>
      </c>
      <c r="C476" s="100" t="s">
        <v>31</v>
      </c>
      <c r="D476" s="7"/>
      <c r="E476" s="97">
        <v>100000</v>
      </c>
    </row>
    <row r="477" spans="1:5" ht="15.6" x14ac:dyDescent="0.3">
      <c r="A477" s="95">
        <v>473</v>
      </c>
      <c r="B477" s="25">
        <v>43552</v>
      </c>
      <c r="C477" s="105" t="s">
        <v>160</v>
      </c>
      <c r="D477" s="12">
        <v>95000</v>
      </c>
      <c r="E477" s="97"/>
    </row>
    <row r="478" spans="1:5" ht="15.6" x14ac:dyDescent="0.3">
      <c r="A478" s="95">
        <v>474</v>
      </c>
      <c r="B478" s="25">
        <v>43552</v>
      </c>
      <c r="C478" s="99" t="s">
        <v>102</v>
      </c>
      <c r="D478" s="7"/>
      <c r="E478" s="97">
        <v>50000</v>
      </c>
    </row>
    <row r="479" spans="1:5" ht="15.6" x14ac:dyDescent="0.3">
      <c r="A479" s="95">
        <v>475</v>
      </c>
      <c r="B479" s="25">
        <v>43552</v>
      </c>
      <c r="C479" s="99" t="s">
        <v>145</v>
      </c>
      <c r="D479" s="7"/>
      <c r="E479" s="97">
        <v>2000</v>
      </c>
    </row>
    <row r="480" spans="1:5" ht="15.6" x14ac:dyDescent="0.3">
      <c r="A480" s="95">
        <v>476</v>
      </c>
      <c r="B480" s="25">
        <v>43552</v>
      </c>
      <c r="C480" s="99" t="s">
        <v>157</v>
      </c>
      <c r="D480" s="7"/>
      <c r="E480" s="97">
        <v>1000</v>
      </c>
    </row>
    <row r="481" spans="1:5" ht="15.6" x14ac:dyDescent="0.3">
      <c r="A481" s="95">
        <v>477</v>
      </c>
      <c r="B481" s="25">
        <v>43552</v>
      </c>
      <c r="C481" s="99" t="s">
        <v>42</v>
      </c>
      <c r="D481" s="7"/>
      <c r="E481" s="97">
        <v>50</v>
      </c>
    </row>
    <row r="482" spans="1:5" ht="15.6" x14ac:dyDescent="0.3">
      <c r="A482" s="95">
        <v>478</v>
      </c>
      <c r="B482" s="25">
        <v>43552</v>
      </c>
      <c r="C482" s="99" t="s">
        <v>69</v>
      </c>
      <c r="D482" s="7"/>
      <c r="E482" s="97">
        <v>20000</v>
      </c>
    </row>
    <row r="483" spans="1:5" ht="15.6" x14ac:dyDescent="0.3">
      <c r="A483" s="95">
        <v>479</v>
      </c>
      <c r="B483" s="25">
        <v>43552</v>
      </c>
      <c r="C483" s="99" t="s">
        <v>106</v>
      </c>
      <c r="D483" s="7"/>
      <c r="E483" s="97">
        <v>2000</v>
      </c>
    </row>
    <row r="484" spans="1:5" ht="15.6" x14ac:dyDescent="0.3">
      <c r="A484" s="95">
        <v>480</v>
      </c>
      <c r="B484" s="25">
        <v>43552</v>
      </c>
      <c r="C484" s="99" t="s">
        <v>166</v>
      </c>
      <c r="D484" s="7"/>
      <c r="E484" s="97">
        <v>90</v>
      </c>
    </row>
    <row r="485" spans="1:5" ht="15.6" x14ac:dyDescent="0.3">
      <c r="A485" s="95">
        <v>481</v>
      </c>
      <c r="B485" s="25">
        <v>43552</v>
      </c>
      <c r="C485" s="99" t="s">
        <v>42</v>
      </c>
      <c r="D485" s="7"/>
      <c r="E485" s="97">
        <v>50</v>
      </c>
    </row>
    <row r="486" spans="1:5" ht="15.6" x14ac:dyDescent="0.3">
      <c r="A486" s="95">
        <v>482</v>
      </c>
      <c r="B486" s="25">
        <v>43552</v>
      </c>
      <c r="C486" s="99" t="s">
        <v>42</v>
      </c>
      <c r="D486" s="7"/>
      <c r="E486" s="97">
        <v>50</v>
      </c>
    </row>
    <row r="487" spans="1:5" ht="15.6" x14ac:dyDescent="0.3">
      <c r="A487" s="95">
        <v>483</v>
      </c>
      <c r="B487" s="25">
        <v>43554</v>
      </c>
      <c r="C487" s="99" t="s">
        <v>145</v>
      </c>
      <c r="D487" s="7"/>
      <c r="E487" s="97">
        <v>1000</v>
      </c>
    </row>
    <row r="488" spans="1:5" ht="15.6" x14ac:dyDescent="0.3">
      <c r="A488" s="95">
        <v>484</v>
      </c>
      <c r="B488" s="25">
        <v>43554</v>
      </c>
      <c r="C488" s="99" t="s">
        <v>161</v>
      </c>
      <c r="D488" s="7"/>
      <c r="E488" s="97">
        <v>7000</v>
      </c>
    </row>
    <row r="489" spans="1:5" ht="15.6" x14ac:dyDescent="0.3">
      <c r="A489" s="95">
        <v>485</v>
      </c>
      <c r="B489" s="25">
        <v>43554</v>
      </c>
      <c r="C489" s="99" t="s">
        <v>162</v>
      </c>
      <c r="D489" s="7"/>
      <c r="E489" s="97">
        <v>2500</v>
      </c>
    </row>
    <row r="490" spans="1:5" ht="15.6" x14ac:dyDescent="0.3">
      <c r="A490" s="95">
        <v>486</v>
      </c>
      <c r="B490" s="25">
        <v>43554</v>
      </c>
      <c r="C490" s="99" t="s">
        <v>167</v>
      </c>
      <c r="D490" s="7"/>
      <c r="E490" s="97">
        <v>4800</v>
      </c>
    </row>
    <row r="491" spans="1:5" ht="15.6" x14ac:dyDescent="0.3">
      <c r="A491" s="95">
        <v>487</v>
      </c>
      <c r="B491" s="25">
        <v>43554</v>
      </c>
      <c r="C491" s="99" t="s">
        <v>145</v>
      </c>
      <c r="D491" s="7"/>
      <c r="E491" s="97">
        <v>300</v>
      </c>
    </row>
    <row r="492" spans="1:5" ht="15.6" x14ac:dyDescent="0.3">
      <c r="A492" s="95">
        <v>488</v>
      </c>
      <c r="B492" s="25">
        <v>43554</v>
      </c>
      <c r="C492" s="99" t="s">
        <v>42</v>
      </c>
      <c r="D492" s="7"/>
      <c r="E492" s="97">
        <v>50</v>
      </c>
    </row>
    <row r="493" spans="1:5" ht="15.6" x14ac:dyDescent="0.3">
      <c r="A493" s="95">
        <v>489</v>
      </c>
      <c r="B493" s="25">
        <v>43555</v>
      </c>
      <c r="C493" s="99" t="s">
        <v>42</v>
      </c>
      <c r="D493" s="7"/>
      <c r="E493" s="97">
        <v>50</v>
      </c>
    </row>
    <row r="494" spans="1:5" ht="15.6" x14ac:dyDescent="0.3">
      <c r="A494" s="95">
        <v>490</v>
      </c>
      <c r="B494" s="25">
        <v>43557</v>
      </c>
      <c r="C494" s="99" t="s">
        <v>119</v>
      </c>
      <c r="D494" s="7"/>
      <c r="E494" s="97">
        <v>70</v>
      </c>
    </row>
    <row r="495" spans="1:5" ht="15.6" x14ac:dyDescent="0.3">
      <c r="A495" s="95">
        <v>491</v>
      </c>
      <c r="B495" s="25">
        <v>43557</v>
      </c>
      <c r="C495" s="99" t="s">
        <v>42</v>
      </c>
      <c r="D495" s="7"/>
      <c r="E495" s="97">
        <v>50</v>
      </c>
    </row>
    <row r="496" spans="1:5" ht="15.6" x14ac:dyDescent="0.3">
      <c r="A496" s="95">
        <v>492</v>
      </c>
      <c r="B496" s="25">
        <v>43557</v>
      </c>
      <c r="C496" s="99" t="s">
        <v>168</v>
      </c>
      <c r="D496" s="7"/>
      <c r="E496" s="97">
        <v>15200</v>
      </c>
    </row>
    <row r="497" spans="1:5" ht="15.6" x14ac:dyDescent="0.3">
      <c r="A497" s="95">
        <v>493</v>
      </c>
      <c r="B497" s="25">
        <v>43557</v>
      </c>
      <c r="C497" s="99" t="s">
        <v>169</v>
      </c>
      <c r="D497" s="7"/>
      <c r="E497" s="97">
        <v>1700</v>
      </c>
    </row>
    <row r="498" spans="1:5" ht="15.6" x14ac:dyDescent="0.3">
      <c r="A498" s="95">
        <v>494</v>
      </c>
      <c r="B498" s="25">
        <v>43557</v>
      </c>
      <c r="C498" s="99" t="s">
        <v>170</v>
      </c>
      <c r="D498" s="7"/>
      <c r="E498" s="97">
        <v>5600</v>
      </c>
    </row>
    <row r="499" spans="1:5" ht="15.6" x14ac:dyDescent="0.3">
      <c r="A499" s="95">
        <v>495</v>
      </c>
      <c r="B499" s="25">
        <v>43558</v>
      </c>
      <c r="C499" s="99" t="s">
        <v>42</v>
      </c>
      <c r="D499" s="7"/>
      <c r="E499" s="97">
        <v>50</v>
      </c>
    </row>
    <row r="500" spans="1:5" ht="15.6" x14ac:dyDescent="0.3">
      <c r="A500" s="95">
        <v>496</v>
      </c>
      <c r="B500" s="25">
        <v>43559</v>
      </c>
      <c r="C500" s="99" t="s">
        <v>42</v>
      </c>
      <c r="D500" s="7"/>
      <c r="E500" s="97">
        <v>50</v>
      </c>
    </row>
    <row r="501" spans="1:5" ht="15.6" x14ac:dyDescent="0.3">
      <c r="A501" s="95">
        <v>497</v>
      </c>
      <c r="B501" s="25">
        <v>43559</v>
      </c>
      <c r="C501" s="105" t="s">
        <v>160</v>
      </c>
      <c r="D501" s="12">
        <v>100000</v>
      </c>
      <c r="E501" s="97"/>
    </row>
    <row r="502" spans="1:5" ht="15.6" x14ac:dyDescent="0.3">
      <c r="A502" s="95">
        <v>498</v>
      </c>
      <c r="B502" s="25">
        <v>43559</v>
      </c>
      <c r="C502" s="100" t="s">
        <v>171</v>
      </c>
      <c r="D502" s="7"/>
      <c r="E502" s="97">
        <v>60000</v>
      </c>
    </row>
    <row r="503" spans="1:5" ht="15.6" x14ac:dyDescent="0.3">
      <c r="A503" s="95">
        <v>499</v>
      </c>
      <c r="B503" s="25">
        <v>43560</v>
      </c>
      <c r="C503" s="99" t="s">
        <v>172</v>
      </c>
      <c r="D503" s="7"/>
      <c r="E503" s="97">
        <v>350</v>
      </c>
    </row>
    <row r="504" spans="1:5" ht="15.6" x14ac:dyDescent="0.3">
      <c r="A504" s="95">
        <v>500</v>
      </c>
      <c r="B504" s="25">
        <v>43560</v>
      </c>
      <c r="C504" s="100" t="s">
        <v>31</v>
      </c>
      <c r="D504" s="7"/>
      <c r="E504" s="97">
        <v>30000</v>
      </c>
    </row>
    <row r="505" spans="1:5" ht="15.6" x14ac:dyDescent="0.3">
      <c r="A505" s="95">
        <v>501</v>
      </c>
      <c r="B505" s="25">
        <v>43561</v>
      </c>
      <c r="C505" s="99" t="s">
        <v>69</v>
      </c>
      <c r="D505" s="7"/>
      <c r="E505" s="97">
        <v>15000</v>
      </c>
    </row>
    <row r="506" spans="1:5" ht="15.6" x14ac:dyDescent="0.3">
      <c r="A506" s="95">
        <v>502</v>
      </c>
      <c r="B506" s="25">
        <v>43562</v>
      </c>
      <c r="C506" s="99" t="s">
        <v>173</v>
      </c>
      <c r="D506" s="7"/>
      <c r="E506" s="97">
        <v>1000</v>
      </c>
    </row>
    <row r="507" spans="1:5" ht="15.6" x14ac:dyDescent="0.3">
      <c r="A507" s="95">
        <v>503</v>
      </c>
      <c r="B507" s="25">
        <v>43562</v>
      </c>
      <c r="C507" s="99" t="s">
        <v>174</v>
      </c>
      <c r="D507" s="7"/>
      <c r="E507" s="97">
        <v>1000</v>
      </c>
    </row>
    <row r="508" spans="1:5" ht="25.8" x14ac:dyDescent="0.3">
      <c r="A508" s="95">
        <v>504</v>
      </c>
      <c r="B508" s="25">
        <v>43562</v>
      </c>
      <c r="C508" s="105" t="s">
        <v>175</v>
      </c>
      <c r="D508" s="12">
        <v>220000</v>
      </c>
      <c r="E508" s="97"/>
    </row>
    <row r="509" spans="1:5" ht="15.6" x14ac:dyDescent="0.3">
      <c r="A509" s="95">
        <v>505</v>
      </c>
      <c r="B509" s="25">
        <v>43562</v>
      </c>
      <c r="C509" s="100" t="s">
        <v>176</v>
      </c>
      <c r="D509" s="7"/>
      <c r="E509" s="97">
        <v>150000</v>
      </c>
    </row>
    <row r="510" spans="1:5" ht="15.6" x14ac:dyDescent="0.3">
      <c r="A510" s="95">
        <v>506</v>
      </c>
      <c r="B510" s="25">
        <v>43562</v>
      </c>
      <c r="C510" s="99" t="s">
        <v>26</v>
      </c>
      <c r="D510" s="7"/>
      <c r="E510" s="97">
        <v>10000</v>
      </c>
    </row>
    <row r="511" spans="1:5" ht="15.6" x14ac:dyDescent="0.3">
      <c r="A511" s="95">
        <v>507</v>
      </c>
      <c r="B511" s="25">
        <v>43562</v>
      </c>
      <c r="C511" s="99" t="s">
        <v>69</v>
      </c>
      <c r="D511" s="7"/>
      <c r="E511" s="97">
        <v>5000</v>
      </c>
    </row>
    <row r="512" spans="1:5" ht="15.6" x14ac:dyDescent="0.3">
      <c r="A512" s="95">
        <v>508</v>
      </c>
      <c r="B512" s="25">
        <v>43562</v>
      </c>
      <c r="C512" s="99" t="s">
        <v>113</v>
      </c>
      <c r="D512" s="7"/>
      <c r="E512" s="97">
        <v>10000</v>
      </c>
    </row>
    <row r="513" spans="1:5" ht="15.6" x14ac:dyDescent="0.3">
      <c r="A513" s="95">
        <v>509</v>
      </c>
      <c r="B513" s="25">
        <v>43562</v>
      </c>
      <c r="C513" s="99" t="s">
        <v>173</v>
      </c>
      <c r="D513" s="7"/>
      <c r="E513" s="97">
        <v>2000</v>
      </c>
    </row>
    <row r="514" spans="1:5" ht="15.6" x14ac:dyDescent="0.3">
      <c r="A514" s="95">
        <v>510</v>
      </c>
      <c r="B514" s="25">
        <v>43562</v>
      </c>
      <c r="C514" s="99" t="s">
        <v>174</v>
      </c>
      <c r="D514" s="7"/>
      <c r="E514" s="97">
        <v>1000</v>
      </c>
    </row>
    <row r="515" spans="1:5" ht="15.6" x14ac:dyDescent="0.3">
      <c r="A515" s="95">
        <v>511</v>
      </c>
      <c r="B515" s="25">
        <v>43562</v>
      </c>
      <c r="C515" s="100" t="s">
        <v>119</v>
      </c>
      <c r="D515" s="7"/>
      <c r="E515" s="97">
        <v>70</v>
      </c>
    </row>
    <row r="516" spans="1:5" ht="15.6" x14ac:dyDescent="0.3">
      <c r="A516" s="95">
        <v>512</v>
      </c>
      <c r="B516" s="25">
        <v>43562</v>
      </c>
      <c r="C516" s="100" t="s">
        <v>102</v>
      </c>
      <c r="D516" s="7"/>
      <c r="E516" s="97">
        <v>31000</v>
      </c>
    </row>
    <row r="517" spans="1:5" ht="15.6" x14ac:dyDescent="0.3">
      <c r="A517" s="95">
        <v>513</v>
      </c>
      <c r="B517" s="25">
        <v>43567</v>
      </c>
      <c r="C517" s="100" t="s">
        <v>113</v>
      </c>
      <c r="D517" s="7"/>
      <c r="E517" s="97">
        <v>400</v>
      </c>
    </row>
    <row r="518" spans="1:5" ht="15.6" x14ac:dyDescent="0.3">
      <c r="A518" s="95">
        <v>514</v>
      </c>
      <c r="B518" s="25">
        <v>43571</v>
      </c>
      <c r="C518" s="99" t="s">
        <v>173</v>
      </c>
      <c r="D518" s="7"/>
      <c r="E518" s="97">
        <v>1000</v>
      </c>
    </row>
    <row r="519" spans="1:5" ht="15.6" x14ac:dyDescent="0.3">
      <c r="A519" s="95">
        <v>515</v>
      </c>
      <c r="B519" s="25">
        <v>43571</v>
      </c>
      <c r="C519" s="99" t="s">
        <v>174</v>
      </c>
      <c r="D519" s="7"/>
      <c r="E519" s="97">
        <v>1000</v>
      </c>
    </row>
    <row r="520" spans="1:5" ht="15.6" x14ac:dyDescent="0.3">
      <c r="A520" s="95">
        <v>516</v>
      </c>
      <c r="B520" s="25">
        <v>43571</v>
      </c>
      <c r="C520" s="100" t="s">
        <v>86</v>
      </c>
      <c r="D520" s="7"/>
      <c r="E520" s="97">
        <v>60</v>
      </c>
    </row>
    <row r="521" spans="1:5" ht="15.6" x14ac:dyDescent="0.3">
      <c r="A521" s="95">
        <v>517</v>
      </c>
      <c r="B521" s="25">
        <v>43571</v>
      </c>
      <c r="C521" s="99" t="s">
        <v>174</v>
      </c>
      <c r="D521" s="7"/>
      <c r="E521" s="97">
        <v>1000</v>
      </c>
    </row>
    <row r="522" spans="1:5" ht="15.6" x14ac:dyDescent="0.3">
      <c r="A522" s="95">
        <v>518</v>
      </c>
      <c r="B522" s="25">
        <v>43572</v>
      </c>
      <c r="C522" s="105" t="s">
        <v>160</v>
      </c>
      <c r="D522" s="12">
        <v>200000</v>
      </c>
      <c r="E522" s="97"/>
    </row>
    <row r="523" spans="1:5" ht="15.6" x14ac:dyDescent="0.3">
      <c r="A523" s="95">
        <v>519</v>
      </c>
      <c r="B523" s="25">
        <v>43572</v>
      </c>
      <c r="C523" s="100" t="s">
        <v>31</v>
      </c>
      <c r="D523" s="7"/>
      <c r="E523" s="97">
        <v>100000</v>
      </c>
    </row>
    <row r="524" spans="1:5" ht="15.6" x14ac:dyDescent="0.3">
      <c r="A524" s="95">
        <v>520</v>
      </c>
      <c r="B524" s="25">
        <v>43572</v>
      </c>
      <c r="C524" s="100" t="s">
        <v>113</v>
      </c>
      <c r="D524" s="7"/>
      <c r="E524" s="97">
        <v>15000</v>
      </c>
    </row>
    <row r="525" spans="1:5" ht="15.6" x14ac:dyDescent="0.3">
      <c r="A525" s="95">
        <v>521</v>
      </c>
      <c r="B525" s="25">
        <v>43572</v>
      </c>
      <c r="C525" s="100" t="s">
        <v>69</v>
      </c>
      <c r="D525" s="7"/>
      <c r="E525" s="97">
        <v>30000</v>
      </c>
    </row>
    <row r="526" spans="1:5" ht="15.6" x14ac:dyDescent="0.3">
      <c r="A526" s="95">
        <v>522</v>
      </c>
      <c r="B526" s="25">
        <v>43574</v>
      </c>
      <c r="C526" s="100" t="s">
        <v>31</v>
      </c>
      <c r="D526" s="7"/>
      <c r="E526" s="97">
        <v>5000</v>
      </c>
    </row>
    <row r="527" spans="1:5" ht="15.6" x14ac:dyDescent="0.3">
      <c r="A527" s="95">
        <v>523</v>
      </c>
      <c r="B527" s="25">
        <v>43574</v>
      </c>
      <c r="C527" s="99" t="s">
        <v>173</v>
      </c>
      <c r="D527" s="7"/>
      <c r="E527" s="97">
        <v>2000</v>
      </c>
    </row>
    <row r="528" spans="1:5" ht="15.6" x14ac:dyDescent="0.3">
      <c r="A528" s="95">
        <v>524</v>
      </c>
      <c r="B528" s="25">
        <v>43574</v>
      </c>
      <c r="C528" s="99" t="s">
        <v>177</v>
      </c>
      <c r="D528" s="7"/>
      <c r="E528" s="97">
        <v>10450</v>
      </c>
    </row>
    <row r="529" spans="1:5" ht="15.6" x14ac:dyDescent="0.3">
      <c r="A529" s="95">
        <v>525</v>
      </c>
      <c r="B529" s="25">
        <v>43574</v>
      </c>
      <c r="C529" s="100" t="s">
        <v>178</v>
      </c>
      <c r="D529" s="7"/>
      <c r="E529" s="97">
        <v>700</v>
      </c>
    </row>
    <row r="530" spans="1:5" ht="15.6" x14ac:dyDescent="0.3">
      <c r="A530" s="95">
        <v>526</v>
      </c>
      <c r="B530" s="25">
        <v>43574</v>
      </c>
      <c r="C530" s="100" t="s">
        <v>179</v>
      </c>
      <c r="D530" s="7"/>
      <c r="E530" s="97">
        <v>220</v>
      </c>
    </row>
    <row r="531" spans="1:5" ht="15.6" x14ac:dyDescent="0.3">
      <c r="A531" s="95">
        <v>527</v>
      </c>
      <c r="B531" s="25">
        <v>43577</v>
      </c>
      <c r="C531" s="100" t="s">
        <v>42</v>
      </c>
      <c r="D531" s="7"/>
      <c r="E531" s="97">
        <v>100</v>
      </c>
    </row>
    <row r="532" spans="1:5" ht="15.6" x14ac:dyDescent="0.3">
      <c r="A532" s="95">
        <v>528</v>
      </c>
      <c r="B532" s="25">
        <v>43577</v>
      </c>
      <c r="C532" s="99" t="s">
        <v>173</v>
      </c>
      <c r="D532" s="7"/>
      <c r="E532" s="97">
        <v>2000</v>
      </c>
    </row>
    <row r="533" spans="1:5" ht="15.6" x14ac:dyDescent="0.3">
      <c r="A533" s="95">
        <v>529</v>
      </c>
      <c r="B533" s="25">
        <v>43577</v>
      </c>
      <c r="C533" s="105" t="s">
        <v>160</v>
      </c>
      <c r="D533" s="12">
        <v>150000</v>
      </c>
      <c r="E533" s="97"/>
    </row>
    <row r="534" spans="1:5" ht="15.6" x14ac:dyDescent="0.3">
      <c r="A534" s="95">
        <v>530</v>
      </c>
      <c r="B534" s="25">
        <v>43577</v>
      </c>
      <c r="C534" s="100" t="s">
        <v>31</v>
      </c>
      <c r="D534" s="7"/>
      <c r="E534" s="97">
        <v>150000</v>
      </c>
    </row>
    <row r="535" spans="1:5" ht="15.6" x14ac:dyDescent="0.3">
      <c r="A535" s="95">
        <v>531</v>
      </c>
      <c r="B535" s="25">
        <v>43577</v>
      </c>
      <c r="C535" s="109" t="s">
        <v>180</v>
      </c>
      <c r="D535" s="7"/>
      <c r="E535" s="97">
        <v>3600</v>
      </c>
    </row>
    <row r="536" spans="1:5" ht="15.6" x14ac:dyDescent="0.3">
      <c r="A536" s="95">
        <v>532</v>
      </c>
      <c r="B536" s="25">
        <v>43577</v>
      </c>
      <c r="C536" s="100" t="s">
        <v>181</v>
      </c>
      <c r="D536" s="7"/>
      <c r="E536" s="97">
        <v>2000</v>
      </c>
    </row>
    <row r="537" spans="1:5" ht="15.6" x14ac:dyDescent="0.3">
      <c r="A537" s="95">
        <v>533</v>
      </c>
      <c r="B537" s="25">
        <v>43578</v>
      </c>
      <c r="C537" s="100" t="s">
        <v>182</v>
      </c>
      <c r="D537" s="7"/>
      <c r="E537" s="97">
        <v>55000</v>
      </c>
    </row>
    <row r="538" spans="1:5" ht="15.6" x14ac:dyDescent="0.3">
      <c r="A538" s="95">
        <v>534</v>
      </c>
      <c r="B538" s="25">
        <v>43578</v>
      </c>
      <c r="C538" s="100" t="s">
        <v>181</v>
      </c>
      <c r="D538" s="7"/>
      <c r="E538" s="97">
        <v>3000</v>
      </c>
    </row>
    <row r="539" spans="1:5" ht="15.6" x14ac:dyDescent="0.3">
      <c r="A539" s="95">
        <v>535</v>
      </c>
      <c r="B539" s="25">
        <v>43578</v>
      </c>
      <c r="C539" s="99" t="s">
        <v>173</v>
      </c>
      <c r="D539" s="7"/>
      <c r="E539" s="97">
        <v>2000</v>
      </c>
    </row>
    <row r="540" spans="1:5" ht="15.6" x14ac:dyDescent="0.3">
      <c r="A540" s="95">
        <v>536</v>
      </c>
      <c r="B540" s="25">
        <v>43578</v>
      </c>
      <c r="C540" s="100" t="s">
        <v>42</v>
      </c>
      <c r="D540" s="7"/>
      <c r="E540" s="97">
        <v>100</v>
      </c>
    </row>
    <row r="541" spans="1:5" ht="15.6" x14ac:dyDescent="0.3">
      <c r="A541" s="95">
        <v>537</v>
      </c>
      <c r="B541" s="25">
        <v>43579</v>
      </c>
      <c r="C541" s="105" t="s">
        <v>183</v>
      </c>
      <c r="D541" s="12">
        <v>100000</v>
      </c>
      <c r="E541" s="97"/>
    </row>
    <row r="542" spans="1:5" ht="15.6" x14ac:dyDescent="0.3">
      <c r="A542" s="95">
        <v>538</v>
      </c>
      <c r="B542" s="25">
        <v>43579</v>
      </c>
      <c r="C542" s="100" t="s">
        <v>113</v>
      </c>
      <c r="D542" s="7"/>
      <c r="E542" s="97">
        <v>50000</v>
      </c>
    </row>
    <row r="543" spans="1:5" ht="15.6" x14ac:dyDescent="0.3">
      <c r="A543" s="95">
        <v>539</v>
      </c>
      <c r="B543" s="25">
        <v>43579</v>
      </c>
      <c r="C543" s="100" t="s">
        <v>50</v>
      </c>
      <c r="D543" s="7"/>
      <c r="E543" s="97">
        <v>6300</v>
      </c>
    </row>
    <row r="544" spans="1:5" ht="15.6" x14ac:dyDescent="0.3">
      <c r="A544" s="95">
        <v>540</v>
      </c>
      <c r="B544" s="25">
        <v>43582</v>
      </c>
      <c r="C544" s="100" t="s">
        <v>31</v>
      </c>
      <c r="D544" s="7"/>
      <c r="E544" s="97">
        <v>15000</v>
      </c>
    </row>
    <row r="545" spans="1:5" ht="15.6" x14ac:dyDescent="0.3">
      <c r="A545" s="95">
        <v>541</v>
      </c>
      <c r="B545" s="25">
        <v>43582</v>
      </c>
      <c r="C545" s="105" t="s">
        <v>160</v>
      </c>
      <c r="D545" s="12">
        <v>30000</v>
      </c>
      <c r="E545" s="97"/>
    </row>
    <row r="546" spans="1:5" ht="15.6" x14ac:dyDescent="0.3">
      <c r="A546" s="95">
        <v>542</v>
      </c>
      <c r="B546" s="25">
        <v>43582</v>
      </c>
      <c r="C546" s="100" t="s">
        <v>184</v>
      </c>
      <c r="D546" s="7"/>
      <c r="E546" s="97">
        <v>20000</v>
      </c>
    </row>
    <row r="547" spans="1:5" ht="15.6" x14ac:dyDescent="0.3">
      <c r="A547" s="95">
        <v>543</v>
      </c>
      <c r="B547" s="25">
        <v>43583</v>
      </c>
      <c r="C547" s="100" t="s">
        <v>42</v>
      </c>
      <c r="D547" s="7"/>
      <c r="E547" s="97">
        <v>125</v>
      </c>
    </row>
    <row r="548" spans="1:5" ht="15.6" x14ac:dyDescent="0.3">
      <c r="A548" s="95">
        <v>544</v>
      </c>
      <c r="B548" s="25">
        <v>43583</v>
      </c>
      <c r="C548" s="100" t="s">
        <v>86</v>
      </c>
      <c r="D548" s="7"/>
      <c r="E548" s="97">
        <v>60</v>
      </c>
    </row>
    <row r="549" spans="1:5" ht="15.6" x14ac:dyDescent="0.3">
      <c r="A549" s="95">
        <v>545</v>
      </c>
      <c r="B549" s="25">
        <v>43583</v>
      </c>
      <c r="C549" s="100" t="s">
        <v>185</v>
      </c>
      <c r="D549" s="7"/>
      <c r="E549" s="97">
        <v>10000</v>
      </c>
    </row>
    <row r="550" spans="1:5" ht="15.6" x14ac:dyDescent="0.3">
      <c r="A550" s="95">
        <v>546</v>
      </c>
      <c r="B550" s="25">
        <v>43583</v>
      </c>
      <c r="C550" s="99" t="s">
        <v>173</v>
      </c>
      <c r="D550" s="7"/>
      <c r="E550" s="97">
        <v>2000</v>
      </c>
    </row>
    <row r="551" spans="1:5" ht="15.6" x14ac:dyDescent="0.3">
      <c r="A551" s="95">
        <v>547</v>
      </c>
      <c r="B551" s="25">
        <v>43584</v>
      </c>
      <c r="C551" s="100" t="s">
        <v>26</v>
      </c>
      <c r="D551" s="7"/>
      <c r="E551" s="97">
        <v>2000</v>
      </c>
    </row>
    <row r="552" spans="1:5" ht="15.6" x14ac:dyDescent="0.3">
      <c r="A552" s="95">
        <v>548</v>
      </c>
      <c r="B552" s="25">
        <v>43584</v>
      </c>
      <c r="C552" s="100" t="s">
        <v>179</v>
      </c>
      <c r="D552" s="7"/>
      <c r="E552" s="97">
        <v>1240</v>
      </c>
    </row>
    <row r="553" spans="1:5" ht="15.6" x14ac:dyDescent="0.3">
      <c r="A553" s="95">
        <v>549</v>
      </c>
      <c r="B553" s="25">
        <v>43584</v>
      </c>
      <c r="C553" s="100" t="s">
        <v>42</v>
      </c>
      <c r="D553" s="7"/>
      <c r="E553" s="97">
        <v>100</v>
      </c>
    </row>
    <row r="554" spans="1:5" ht="15.6" x14ac:dyDescent="0.3">
      <c r="A554" s="95">
        <v>550</v>
      </c>
      <c r="B554" s="25">
        <v>43585</v>
      </c>
      <c r="C554" s="100" t="s">
        <v>119</v>
      </c>
      <c r="D554" s="7"/>
      <c r="E554" s="97">
        <v>120</v>
      </c>
    </row>
    <row r="555" spans="1:5" ht="15.6" x14ac:dyDescent="0.3">
      <c r="A555" s="95">
        <v>551</v>
      </c>
      <c r="B555" s="25">
        <v>43585</v>
      </c>
      <c r="C555" s="100" t="s">
        <v>42</v>
      </c>
      <c r="D555" s="7"/>
      <c r="E555" s="97">
        <v>50</v>
      </c>
    </row>
    <row r="556" spans="1:5" ht="15.6" x14ac:dyDescent="0.3">
      <c r="A556" s="95">
        <v>552</v>
      </c>
      <c r="B556" s="25">
        <v>43586</v>
      </c>
      <c r="C556" s="100" t="s">
        <v>31</v>
      </c>
      <c r="D556" s="7"/>
      <c r="E556" s="97">
        <v>12000</v>
      </c>
    </row>
    <row r="557" spans="1:5" ht="15.6" x14ac:dyDescent="0.3">
      <c r="A557" s="95">
        <v>553</v>
      </c>
      <c r="B557" s="25">
        <v>43586</v>
      </c>
      <c r="C557" s="100" t="s">
        <v>186</v>
      </c>
      <c r="D557" s="7"/>
      <c r="E557" s="97">
        <v>2000</v>
      </c>
    </row>
    <row r="558" spans="1:5" ht="15.6" x14ac:dyDescent="0.3">
      <c r="A558" s="95">
        <v>554</v>
      </c>
      <c r="B558" s="25">
        <v>43587</v>
      </c>
      <c r="C558" s="100" t="s">
        <v>69</v>
      </c>
      <c r="D558" s="7"/>
      <c r="E558" s="97">
        <v>10000</v>
      </c>
    </row>
    <row r="559" spans="1:5" ht="15.6" x14ac:dyDescent="0.3">
      <c r="A559" s="95">
        <v>555</v>
      </c>
      <c r="B559" s="25">
        <v>43587</v>
      </c>
      <c r="C559" s="100" t="s">
        <v>187</v>
      </c>
      <c r="D559" s="7"/>
      <c r="E559" s="97">
        <v>120</v>
      </c>
    </row>
    <row r="560" spans="1:5" ht="15.6" x14ac:dyDescent="0.3">
      <c r="A560" s="95">
        <v>556</v>
      </c>
      <c r="B560" s="25">
        <v>43587</v>
      </c>
      <c r="C560" s="100" t="s">
        <v>42</v>
      </c>
      <c r="D560" s="7"/>
      <c r="E560" s="97">
        <v>50</v>
      </c>
    </row>
    <row r="561" spans="1:5" ht="15.6" x14ac:dyDescent="0.3">
      <c r="A561" s="95">
        <v>557</v>
      </c>
      <c r="B561" s="25">
        <v>43587</v>
      </c>
      <c r="C561" s="100" t="s">
        <v>26</v>
      </c>
      <c r="D561" s="7"/>
      <c r="E561" s="97">
        <v>5000</v>
      </c>
    </row>
    <row r="562" spans="1:5" ht="15.6" x14ac:dyDescent="0.3">
      <c r="A562" s="95">
        <v>558</v>
      </c>
      <c r="B562" s="25">
        <v>43587</v>
      </c>
      <c r="C562" s="99" t="s">
        <v>188</v>
      </c>
      <c r="D562" s="7"/>
      <c r="E562" s="97">
        <v>1000</v>
      </c>
    </row>
    <row r="563" spans="1:5" ht="15.6" x14ac:dyDescent="0.3">
      <c r="A563" s="95">
        <v>559</v>
      </c>
      <c r="B563" s="25">
        <v>43588</v>
      </c>
      <c r="C563" s="100" t="s">
        <v>31</v>
      </c>
      <c r="D563" s="7"/>
      <c r="E563" s="97">
        <v>10000</v>
      </c>
    </row>
    <row r="564" spans="1:5" ht="15.6" x14ac:dyDescent="0.3">
      <c r="A564" s="95">
        <v>560</v>
      </c>
      <c r="B564" s="25">
        <v>43588</v>
      </c>
      <c r="C564" s="100" t="s">
        <v>179</v>
      </c>
      <c r="D564" s="7"/>
      <c r="E564" s="97">
        <v>1000</v>
      </c>
    </row>
    <row r="565" spans="1:5" ht="15.6" x14ac:dyDescent="0.3">
      <c r="A565" s="95">
        <v>561</v>
      </c>
      <c r="B565" s="25">
        <v>43588</v>
      </c>
      <c r="C565" s="100" t="s">
        <v>42</v>
      </c>
      <c r="D565" s="7"/>
      <c r="E565" s="97">
        <v>50</v>
      </c>
    </row>
    <row r="566" spans="1:5" ht="15.6" x14ac:dyDescent="0.3">
      <c r="A566" s="95">
        <v>562</v>
      </c>
      <c r="B566" s="25">
        <v>43589</v>
      </c>
      <c r="C566" s="100" t="s">
        <v>31</v>
      </c>
      <c r="D566" s="7"/>
      <c r="E566" s="97">
        <v>20000</v>
      </c>
    </row>
    <row r="567" spans="1:5" ht="15.6" x14ac:dyDescent="0.3">
      <c r="A567" s="95">
        <v>563</v>
      </c>
      <c r="B567" s="25">
        <v>43589</v>
      </c>
      <c r="C567" s="104" t="s">
        <v>189</v>
      </c>
      <c r="D567" s="7"/>
      <c r="E567" s="97">
        <v>20000</v>
      </c>
    </row>
    <row r="568" spans="1:5" ht="15.6" x14ac:dyDescent="0.3">
      <c r="A568" s="95">
        <v>564</v>
      </c>
      <c r="B568" s="25">
        <v>43589</v>
      </c>
      <c r="C568" s="99" t="s">
        <v>190</v>
      </c>
      <c r="D568" s="7"/>
      <c r="E568" s="97">
        <v>2550</v>
      </c>
    </row>
    <row r="569" spans="1:5" ht="15.6" x14ac:dyDescent="0.3">
      <c r="A569" s="95">
        <v>565</v>
      </c>
      <c r="B569" s="25">
        <v>43589</v>
      </c>
      <c r="C569" s="99" t="s">
        <v>191</v>
      </c>
      <c r="D569" s="7"/>
      <c r="E569" s="97">
        <v>13500</v>
      </c>
    </row>
    <row r="570" spans="1:5" ht="15.6" x14ac:dyDescent="0.3">
      <c r="A570" s="95">
        <v>566</v>
      </c>
      <c r="B570" s="25">
        <v>43589</v>
      </c>
      <c r="C570" s="105" t="s">
        <v>160</v>
      </c>
      <c r="D570" s="12">
        <v>160000</v>
      </c>
      <c r="E570" s="97"/>
    </row>
    <row r="571" spans="1:5" ht="15.6" x14ac:dyDescent="0.3">
      <c r="A571" s="95">
        <v>567</v>
      </c>
      <c r="B571" s="25">
        <v>43589</v>
      </c>
      <c r="C571" s="100" t="s">
        <v>192</v>
      </c>
      <c r="D571" s="7"/>
      <c r="E571" s="97">
        <v>60000</v>
      </c>
    </row>
    <row r="572" spans="1:5" ht="15.6" x14ac:dyDescent="0.3">
      <c r="A572" s="95">
        <v>568</v>
      </c>
      <c r="B572" s="25">
        <v>43589</v>
      </c>
      <c r="C572" s="99" t="s">
        <v>193</v>
      </c>
      <c r="D572" s="7"/>
      <c r="E572" s="97">
        <v>2400</v>
      </c>
    </row>
    <row r="573" spans="1:5" ht="15.6" x14ac:dyDescent="0.3">
      <c r="A573" s="95">
        <v>569</v>
      </c>
      <c r="B573" s="25">
        <v>43591</v>
      </c>
      <c r="C573" s="100" t="s">
        <v>69</v>
      </c>
      <c r="D573" s="7"/>
      <c r="E573" s="97">
        <v>5000</v>
      </c>
    </row>
    <row r="574" spans="1:5" ht="15.6" x14ac:dyDescent="0.3">
      <c r="A574" s="95">
        <v>570</v>
      </c>
      <c r="B574" s="25">
        <v>43591</v>
      </c>
      <c r="C574" s="100" t="s">
        <v>86</v>
      </c>
      <c r="D574" s="7"/>
      <c r="E574" s="97">
        <v>30</v>
      </c>
    </row>
    <row r="575" spans="1:5" ht="15.6" x14ac:dyDescent="0.3">
      <c r="A575" s="95">
        <v>571</v>
      </c>
      <c r="B575" s="25">
        <v>43593</v>
      </c>
      <c r="C575" s="100" t="s">
        <v>31</v>
      </c>
      <c r="D575" s="7"/>
      <c r="E575" s="97">
        <v>52000</v>
      </c>
    </row>
    <row r="576" spans="1:5" ht="15.6" x14ac:dyDescent="0.3">
      <c r="A576" s="95">
        <v>572</v>
      </c>
      <c r="B576" s="25">
        <v>43594</v>
      </c>
      <c r="C576" s="100" t="s">
        <v>26</v>
      </c>
      <c r="D576" s="7"/>
      <c r="E576" s="97">
        <v>5000</v>
      </c>
    </row>
    <row r="577" spans="1:5" ht="15.6" x14ac:dyDescent="0.3">
      <c r="A577" s="95">
        <v>573</v>
      </c>
      <c r="B577" s="25">
        <v>43596</v>
      </c>
      <c r="C577" s="100" t="s">
        <v>194</v>
      </c>
      <c r="D577" s="7"/>
      <c r="E577" s="97">
        <v>34200</v>
      </c>
    </row>
    <row r="578" spans="1:5" ht="15.6" x14ac:dyDescent="0.3">
      <c r="A578" s="95">
        <v>574</v>
      </c>
      <c r="B578" s="25">
        <v>43596</v>
      </c>
      <c r="C578" s="100" t="s">
        <v>195</v>
      </c>
      <c r="D578" s="7"/>
      <c r="E578" s="97">
        <v>1800</v>
      </c>
    </row>
    <row r="579" spans="1:5" ht="15.6" x14ac:dyDescent="0.3">
      <c r="A579" s="95">
        <v>575</v>
      </c>
      <c r="B579" s="25">
        <v>43596</v>
      </c>
      <c r="C579" s="100" t="s">
        <v>26</v>
      </c>
      <c r="D579" s="7"/>
      <c r="E579" s="97">
        <v>2500</v>
      </c>
    </row>
    <row r="580" spans="1:5" ht="15.6" x14ac:dyDescent="0.3">
      <c r="A580" s="95">
        <v>576</v>
      </c>
      <c r="B580" s="25">
        <v>43598</v>
      </c>
      <c r="C580" s="100" t="s">
        <v>196</v>
      </c>
      <c r="D580" s="7"/>
      <c r="E580" s="97">
        <v>4044</v>
      </c>
    </row>
    <row r="581" spans="1:5" ht="15.6" x14ac:dyDescent="0.3">
      <c r="A581" s="95">
        <v>577</v>
      </c>
      <c r="B581" s="25">
        <v>43598</v>
      </c>
      <c r="C581" s="99" t="s">
        <v>197</v>
      </c>
      <c r="D581" s="7"/>
      <c r="E581" s="97">
        <v>50000</v>
      </c>
    </row>
    <row r="582" spans="1:5" ht="15.6" x14ac:dyDescent="0.3">
      <c r="A582" s="95">
        <v>578</v>
      </c>
      <c r="B582" s="25">
        <v>43598</v>
      </c>
      <c r="C582" s="100" t="s">
        <v>26</v>
      </c>
      <c r="D582" s="7"/>
      <c r="E582" s="97">
        <v>5000</v>
      </c>
    </row>
    <row r="583" spans="1:5" ht="15.6" x14ac:dyDescent="0.3">
      <c r="A583" s="95">
        <v>579</v>
      </c>
      <c r="B583" s="25">
        <v>43598</v>
      </c>
      <c r="C583" s="100" t="s">
        <v>31</v>
      </c>
      <c r="D583" s="7"/>
      <c r="E583" s="97">
        <v>20000</v>
      </c>
    </row>
    <row r="584" spans="1:5" ht="15.6" x14ac:dyDescent="0.3">
      <c r="A584" s="95">
        <v>580</v>
      </c>
      <c r="B584" s="25">
        <v>43599</v>
      </c>
      <c r="C584" s="100" t="s">
        <v>198</v>
      </c>
      <c r="D584" s="7"/>
      <c r="E584" s="97">
        <v>4830</v>
      </c>
    </row>
    <row r="585" spans="1:5" ht="15.6" x14ac:dyDescent="0.3">
      <c r="A585" s="95">
        <v>581</v>
      </c>
      <c r="B585" s="25">
        <v>43599</v>
      </c>
      <c r="C585" s="100" t="s">
        <v>69</v>
      </c>
      <c r="D585" s="7"/>
      <c r="E585" s="97">
        <v>5000</v>
      </c>
    </row>
    <row r="586" spans="1:5" ht="15.6" x14ac:dyDescent="0.3">
      <c r="A586" s="95">
        <v>582</v>
      </c>
      <c r="B586" s="25">
        <v>43600</v>
      </c>
      <c r="C586" s="100" t="s">
        <v>31</v>
      </c>
      <c r="D586" s="7"/>
      <c r="E586" s="97">
        <v>9000</v>
      </c>
    </row>
    <row r="587" spans="1:5" ht="15.6" x14ac:dyDescent="0.3">
      <c r="A587" s="95">
        <v>583</v>
      </c>
      <c r="B587" s="25">
        <v>43601</v>
      </c>
      <c r="C587" s="105" t="s">
        <v>183</v>
      </c>
      <c r="D587" s="12">
        <v>150000</v>
      </c>
      <c r="E587" s="97"/>
    </row>
    <row r="588" spans="1:5" ht="15.6" x14ac:dyDescent="0.3">
      <c r="A588" s="95">
        <v>584</v>
      </c>
      <c r="B588" s="25">
        <v>43601</v>
      </c>
      <c r="C588" s="100" t="s">
        <v>31</v>
      </c>
      <c r="D588" s="7"/>
      <c r="E588" s="97">
        <v>20000</v>
      </c>
    </row>
    <row r="589" spans="1:5" ht="15.6" x14ac:dyDescent="0.3">
      <c r="A589" s="95">
        <v>585</v>
      </c>
      <c r="B589" s="25">
        <v>43601</v>
      </c>
      <c r="C589" s="104" t="s">
        <v>199</v>
      </c>
      <c r="D589" s="7"/>
      <c r="E589" s="97">
        <v>27000</v>
      </c>
    </row>
    <row r="590" spans="1:5" ht="15.6" x14ac:dyDescent="0.3">
      <c r="A590" s="95">
        <v>586</v>
      </c>
      <c r="B590" s="25">
        <v>43601</v>
      </c>
      <c r="C590" s="99" t="s">
        <v>200</v>
      </c>
      <c r="D590" s="7"/>
      <c r="E590" s="97">
        <v>3000</v>
      </c>
    </row>
    <row r="591" spans="1:5" ht="15.6" x14ac:dyDescent="0.3">
      <c r="A591" s="95">
        <v>587</v>
      </c>
      <c r="B591" s="25">
        <v>43604</v>
      </c>
      <c r="C591" s="99" t="s">
        <v>200</v>
      </c>
      <c r="D591" s="7"/>
      <c r="E591" s="97">
        <v>2000</v>
      </c>
    </row>
    <row r="592" spans="1:5" ht="15.6" x14ac:dyDescent="0.3">
      <c r="A592" s="95">
        <v>588</v>
      </c>
      <c r="B592" s="25">
        <v>43604</v>
      </c>
      <c r="C592" s="100" t="s">
        <v>31</v>
      </c>
      <c r="D592" s="7"/>
      <c r="E592" s="97">
        <v>25000</v>
      </c>
    </row>
    <row r="593" spans="1:5" ht="15.6" x14ac:dyDescent="0.3">
      <c r="A593" s="95">
        <v>589</v>
      </c>
      <c r="B593" s="25">
        <v>43604</v>
      </c>
      <c r="C593" s="100" t="s">
        <v>201</v>
      </c>
      <c r="D593" s="7"/>
      <c r="E593" s="97">
        <v>33700</v>
      </c>
    </row>
    <row r="594" spans="1:5" ht="15.6" x14ac:dyDescent="0.3">
      <c r="A594" s="95">
        <v>590</v>
      </c>
      <c r="B594" s="25">
        <v>43604</v>
      </c>
      <c r="C594" s="100" t="s">
        <v>203</v>
      </c>
      <c r="D594" s="7"/>
      <c r="E594" s="97">
        <v>437</v>
      </c>
    </row>
    <row r="595" spans="1:5" ht="15.6" x14ac:dyDescent="0.3">
      <c r="A595" s="95">
        <v>591</v>
      </c>
      <c r="B595" s="25">
        <v>43605</v>
      </c>
      <c r="C595" s="100" t="s">
        <v>205</v>
      </c>
      <c r="D595" s="7"/>
      <c r="E595" s="97">
        <v>2230</v>
      </c>
    </row>
    <row r="596" spans="1:5" ht="15.6" x14ac:dyDescent="0.3">
      <c r="A596" s="95">
        <v>592</v>
      </c>
      <c r="B596" s="25">
        <v>43605</v>
      </c>
      <c r="C596" s="100" t="s">
        <v>206</v>
      </c>
      <c r="D596" s="7"/>
      <c r="E596" s="97">
        <v>240</v>
      </c>
    </row>
    <row r="597" spans="1:5" ht="15.6" x14ac:dyDescent="0.3">
      <c r="A597" s="95">
        <v>593</v>
      </c>
      <c r="B597" s="25">
        <v>43606</v>
      </c>
      <c r="C597" s="100" t="s">
        <v>31</v>
      </c>
      <c r="D597" s="7"/>
      <c r="E597" s="97">
        <v>15000</v>
      </c>
    </row>
    <row r="598" spans="1:5" ht="15.6" x14ac:dyDescent="0.3">
      <c r="A598" s="95">
        <v>594</v>
      </c>
      <c r="B598" s="25">
        <v>43606</v>
      </c>
      <c r="C598" s="100" t="s">
        <v>26</v>
      </c>
      <c r="D598" s="7"/>
      <c r="E598" s="97">
        <v>5000</v>
      </c>
    </row>
    <row r="599" spans="1:5" ht="15.6" x14ac:dyDescent="0.3">
      <c r="A599" s="95">
        <v>595</v>
      </c>
      <c r="B599" s="25">
        <v>43606</v>
      </c>
      <c r="C599" s="99" t="s">
        <v>200</v>
      </c>
      <c r="D599" s="7"/>
      <c r="E599" s="97">
        <v>1000</v>
      </c>
    </row>
    <row r="600" spans="1:5" ht="15.6" x14ac:dyDescent="0.3">
      <c r="A600" s="95">
        <v>596</v>
      </c>
      <c r="B600" s="25">
        <v>43608</v>
      </c>
      <c r="C600" s="99" t="s">
        <v>200</v>
      </c>
      <c r="D600" s="7"/>
      <c r="E600" s="97">
        <v>5000</v>
      </c>
    </row>
    <row r="601" spans="1:5" ht="15.6" x14ac:dyDescent="0.3">
      <c r="A601" s="95">
        <v>597</v>
      </c>
      <c r="B601" s="25">
        <v>43608</v>
      </c>
      <c r="C601" s="100" t="s">
        <v>113</v>
      </c>
      <c r="D601" s="7"/>
      <c r="E601" s="97">
        <v>20000</v>
      </c>
    </row>
    <row r="602" spans="1:5" ht="15.6" x14ac:dyDescent="0.3">
      <c r="A602" s="95">
        <v>598</v>
      </c>
      <c r="B602" s="25">
        <v>43608</v>
      </c>
      <c r="C602" s="100" t="s">
        <v>31</v>
      </c>
      <c r="D602" s="7"/>
      <c r="E602" s="97">
        <v>5000</v>
      </c>
    </row>
    <row r="603" spans="1:5" ht="15.6" x14ac:dyDescent="0.3">
      <c r="A603" s="95">
        <v>599</v>
      </c>
      <c r="B603" s="25">
        <v>43609</v>
      </c>
      <c r="C603" s="100" t="s">
        <v>136</v>
      </c>
      <c r="D603" s="7"/>
      <c r="E603" s="97">
        <v>900</v>
      </c>
    </row>
    <row r="604" spans="1:5" ht="15.6" x14ac:dyDescent="0.3">
      <c r="A604" s="95">
        <v>600</v>
      </c>
      <c r="B604" s="25">
        <v>43610</v>
      </c>
      <c r="C604" s="105" t="s">
        <v>160</v>
      </c>
      <c r="D604" s="12">
        <v>180000</v>
      </c>
      <c r="E604" s="97"/>
    </row>
    <row r="605" spans="1:5" ht="15.6" x14ac:dyDescent="0.3">
      <c r="A605" s="95">
        <v>601</v>
      </c>
      <c r="B605" s="25">
        <v>43610</v>
      </c>
      <c r="C605" s="100" t="s">
        <v>31</v>
      </c>
      <c r="D605" s="7"/>
      <c r="E605" s="97">
        <v>100000</v>
      </c>
    </row>
    <row r="606" spans="1:5" ht="15.6" x14ac:dyDescent="0.3">
      <c r="A606" s="95">
        <v>602</v>
      </c>
      <c r="B606" s="25">
        <v>43613</v>
      </c>
      <c r="C606" s="99" t="s">
        <v>200</v>
      </c>
      <c r="D606" s="7"/>
      <c r="E606" s="97">
        <v>1000</v>
      </c>
    </row>
    <row r="607" spans="1:5" ht="15.6" x14ac:dyDescent="0.3">
      <c r="A607" s="95">
        <v>603</v>
      </c>
      <c r="B607" s="25">
        <v>43613</v>
      </c>
      <c r="C607" s="99" t="s">
        <v>207</v>
      </c>
      <c r="D607" s="7"/>
      <c r="E607" s="97">
        <v>1000</v>
      </c>
    </row>
    <row r="608" spans="1:5" ht="15.6" x14ac:dyDescent="0.3">
      <c r="A608" s="95">
        <v>604</v>
      </c>
      <c r="B608" s="25">
        <v>43613</v>
      </c>
      <c r="C608" s="99" t="s">
        <v>208</v>
      </c>
      <c r="D608" s="7"/>
      <c r="E608" s="97">
        <v>800</v>
      </c>
    </row>
    <row r="609" spans="1:5" ht="15.6" x14ac:dyDescent="0.3">
      <c r="A609" s="95">
        <v>605</v>
      </c>
      <c r="B609" s="25">
        <v>43613</v>
      </c>
      <c r="C609" s="99" t="s">
        <v>209</v>
      </c>
      <c r="D609" s="7"/>
      <c r="E609" s="97">
        <v>30000</v>
      </c>
    </row>
    <row r="610" spans="1:5" ht="15.6" x14ac:dyDescent="0.3">
      <c r="A610" s="95">
        <v>606</v>
      </c>
      <c r="B610" s="25">
        <v>43617</v>
      </c>
      <c r="C610" s="105" t="s">
        <v>160</v>
      </c>
      <c r="D610" s="12">
        <v>200000</v>
      </c>
      <c r="E610" s="97"/>
    </row>
    <row r="611" spans="1:5" ht="15.6" x14ac:dyDescent="0.3">
      <c r="A611" s="95">
        <v>607</v>
      </c>
      <c r="B611" s="25">
        <v>43617</v>
      </c>
      <c r="C611" s="100" t="s">
        <v>26</v>
      </c>
      <c r="D611" s="7"/>
      <c r="E611" s="97">
        <v>40000</v>
      </c>
    </row>
    <row r="612" spans="1:5" ht="15.6" x14ac:dyDescent="0.3">
      <c r="A612" s="95">
        <v>608</v>
      </c>
      <c r="B612" s="25">
        <v>43617</v>
      </c>
      <c r="C612" s="100" t="s">
        <v>69</v>
      </c>
      <c r="D612" s="7"/>
      <c r="E612" s="97">
        <v>40000</v>
      </c>
    </row>
    <row r="613" spans="1:5" ht="15.6" x14ac:dyDescent="0.3">
      <c r="A613" s="95">
        <v>609</v>
      </c>
      <c r="B613" s="25">
        <v>43617</v>
      </c>
      <c r="C613" s="100" t="s">
        <v>113</v>
      </c>
      <c r="D613" s="7"/>
      <c r="E613" s="97">
        <v>30000</v>
      </c>
    </row>
    <row r="614" spans="1:5" ht="15.6" x14ac:dyDescent="0.3">
      <c r="A614" s="95">
        <v>610</v>
      </c>
      <c r="B614" s="25">
        <v>43617</v>
      </c>
      <c r="C614" s="100" t="s">
        <v>31</v>
      </c>
      <c r="D614" s="7"/>
      <c r="E614" s="97">
        <v>20000</v>
      </c>
    </row>
    <row r="615" spans="1:5" ht="15.6" x14ac:dyDescent="0.3">
      <c r="A615" s="95">
        <v>611</v>
      </c>
      <c r="B615" s="25">
        <v>43617</v>
      </c>
      <c r="C615" s="100" t="s">
        <v>210</v>
      </c>
      <c r="D615" s="7"/>
      <c r="E615" s="97">
        <v>60000</v>
      </c>
    </row>
    <row r="616" spans="1:5" ht="15.6" x14ac:dyDescent="0.3">
      <c r="A616" s="95">
        <v>612</v>
      </c>
      <c r="B616" s="25">
        <v>43617</v>
      </c>
      <c r="C616" s="100" t="s">
        <v>211</v>
      </c>
      <c r="D616" s="7"/>
      <c r="E616" s="97">
        <v>10000</v>
      </c>
    </row>
    <row r="617" spans="1:5" ht="15.6" x14ac:dyDescent="0.3">
      <c r="A617" s="95">
        <v>613</v>
      </c>
      <c r="B617" s="25">
        <v>43617</v>
      </c>
      <c r="C617" s="99" t="s">
        <v>212</v>
      </c>
      <c r="D617" s="7"/>
      <c r="E617" s="97">
        <v>16500</v>
      </c>
    </row>
    <row r="618" spans="1:5" ht="15.6" x14ac:dyDescent="0.3">
      <c r="A618" s="95">
        <v>614</v>
      </c>
      <c r="B618" s="25">
        <v>43617</v>
      </c>
      <c r="C618" s="99" t="s">
        <v>213</v>
      </c>
      <c r="D618" s="7"/>
      <c r="E618" s="97">
        <v>1000</v>
      </c>
    </row>
    <row r="619" spans="1:5" ht="15.6" x14ac:dyDescent="0.3">
      <c r="A619" s="95">
        <v>615</v>
      </c>
      <c r="B619" s="25">
        <v>43617</v>
      </c>
      <c r="C619" s="99" t="s">
        <v>214</v>
      </c>
      <c r="D619" s="7"/>
      <c r="E619" s="97">
        <v>3250</v>
      </c>
    </row>
    <row r="620" spans="1:5" ht="15.6" x14ac:dyDescent="0.3">
      <c r="A620" s="95">
        <v>616</v>
      </c>
      <c r="B620" s="25">
        <v>43617</v>
      </c>
      <c r="C620" s="100" t="s">
        <v>31</v>
      </c>
      <c r="D620" s="7"/>
      <c r="E620" s="97">
        <v>15000</v>
      </c>
    </row>
    <row r="621" spans="1:5" ht="15.6" x14ac:dyDescent="0.3">
      <c r="A621" s="95">
        <v>617</v>
      </c>
      <c r="B621" s="25">
        <v>43626</v>
      </c>
      <c r="C621" s="100" t="s">
        <v>31</v>
      </c>
      <c r="D621" s="7"/>
      <c r="E621" s="97">
        <v>5000</v>
      </c>
    </row>
    <row r="622" spans="1:5" ht="15.6" x14ac:dyDescent="0.3">
      <c r="A622" s="95">
        <v>618</v>
      </c>
      <c r="B622" s="25">
        <v>43626</v>
      </c>
      <c r="C622" s="99" t="s">
        <v>200</v>
      </c>
      <c r="D622" s="7"/>
      <c r="E622" s="97">
        <v>1000</v>
      </c>
    </row>
    <row r="623" spans="1:5" ht="15.6" x14ac:dyDescent="0.3">
      <c r="A623" s="95">
        <v>619</v>
      </c>
      <c r="B623" s="25">
        <v>43626</v>
      </c>
      <c r="C623" s="100" t="s">
        <v>119</v>
      </c>
      <c r="D623" s="7"/>
      <c r="E623" s="97">
        <v>1250</v>
      </c>
    </row>
    <row r="624" spans="1:5" ht="15.6" x14ac:dyDescent="0.3">
      <c r="A624" s="95">
        <v>620</v>
      </c>
      <c r="B624" s="25">
        <v>43627</v>
      </c>
      <c r="C624" s="100" t="s">
        <v>31</v>
      </c>
      <c r="D624" s="7"/>
      <c r="E624" s="97">
        <v>5000</v>
      </c>
    </row>
    <row r="625" spans="1:5" ht="15.6" x14ac:dyDescent="0.3">
      <c r="A625" s="95">
        <v>621</v>
      </c>
      <c r="B625" s="25">
        <v>43629</v>
      </c>
      <c r="C625" s="105" t="s">
        <v>160</v>
      </c>
      <c r="D625" s="12">
        <v>150000</v>
      </c>
      <c r="E625" s="97"/>
    </row>
    <row r="626" spans="1:5" ht="15.6" x14ac:dyDescent="0.3">
      <c r="A626" s="95">
        <v>622</v>
      </c>
      <c r="B626" s="25">
        <v>43629</v>
      </c>
      <c r="C626" s="100" t="s">
        <v>31</v>
      </c>
      <c r="D626" s="7"/>
      <c r="E626" s="97">
        <v>45000</v>
      </c>
    </row>
    <row r="627" spans="1:5" ht="15.6" x14ac:dyDescent="0.3">
      <c r="A627" s="95">
        <v>623</v>
      </c>
      <c r="B627" s="25">
        <v>43629</v>
      </c>
      <c r="C627" s="100" t="s">
        <v>215</v>
      </c>
      <c r="D627" s="7"/>
      <c r="E627" s="97">
        <v>5000</v>
      </c>
    </row>
    <row r="628" spans="1:5" ht="15.6" x14ac:dyDescent="0.3">
      <c r="A628" s="95">
        <v>624</v>
      </c>
      <c r="B628" s="25">
        <v>43632</v>
      </c>
      <c r="C628" s="100" t="s">
        <v>216</v>
      </c>
      <c r="D628" s="7"/>
      <c r="E628" s="97">
        <v>300</v>
      </c>
    </row>
    <row r="629" spans="1:5" ht="15.6" x14ac:dyDescent="0.3">
      <c r="A629" s="95">
        <v>625</v>
      </c>
      <c r="B629" s="25">
        <v>43632</v>
      </c>
      <c r="C629" s="99" t="s">
        <v>200</v>
      </c>
      <c r="D629" s="7"/>
      <c r="E629" s="97">
        <v>5000</v>
      </c>
    </row>
    <row r="630" spans="1:5" ht="15.6" x14ac:dyDescent="0.3">
      <c r="A630" s="95">
        <v>626</v>
      </c>
      <c r="B630" s="44">
        <v>43632</v>
      </c>
      <c r="C630" s="100" t="s">
        <v>31</v>
      </c>
      <c r="D630" s="7"/>
      <c r="E630" s="97">
        <v>1000</v>
      </c>
    </row>
    <row r="631" spans="1:5" ht="15.6" x14ac:dyDescent="0.3">
      <c r="A631" s="95">
        <v>627</v>
      </c>
      <c r="B631" s="25">
        <v>43633</v>
      </c>
      <c r="C631" s="100" t="s">
        <v>113</v>
      </c>
      <c r="D631" s="7"/>
      <c r="E631" s="97">
        <v>15000</v>
      </c>
    </row>
    <row r="632" spans="1:5" ht="15.6" x14ac:dyDescent="0.3">
      <c r="A632" s="95">
        <v>628</v>
      </c>
      <c r="B632" s="25">
        <v>43633</v>
      </c>
      <c r="C632" s="100" t="s">
        <v>31</v>
      </c>
      <c r="D632" s="7"/>
      <c r="E632" s="97">
        <v>5000</v>
      </c>
    </row>
    <row r="633" spans="1:5" ht="15.6" x14ac:dyDescent="0.3">
      <c r="A633" s="95">
        <v>629</v>
      </c>
      <c r="B633" s="25">
        <v>43634</v>
      </c>
      <c r="C633" s="100" t="s">
        <v>31</v>
      </c>
      <c r="D633" s="7"/>
      <c r="E633" s="97">
        <v>4000</v>
      </c>
    </row>
    <row r="634" spans="1:5" ht="15.6" x14ac:dyDescent="0.3">
      <c r="A634" s="95">
        <v>630</v>
      </c>
      <c r="B634" s="25">
        <v>43634</v>
      </c>
      <c r="C634" s="100" t="s">
        <v>217</v>
      </c>
      <c r="D634" s="7"/>
      <c r="E634" s="97">
        <v>2000</v>
      </c>
    </row>
    <row r="635" spans="1:5" ht="15.6" x14ac:dyDescent="0.3">
      <c r="A635" s="95">
        <v>631</v>
      </c>
      <c r="B635" s="25">
        <v>43636</v>
      </c>
      <c r="C635" s="100" t="s">
        <v>218</v>
      </c>
      <c r="D635" s="7"/>
      <c r="E635" s="97">
        <v>60</v>
      </c>
    </row>
    <row r="636" spans="1:5" ht="15.6" x14ac:dyDescent="0.3">
      <c r="A636" s="95">
        <v>632</v>
      </c>
      <c r="B636" s="25">
        <v>43636</v>
      </c>
      <c r="C636" s="100" t="s">
        <v>42</v>
      </c>
      <c r="D636" s="7"/>
      <c r="E636" s="97">
        <v>25</v>
      </c>
    </row>
    <row r="637" spans="1:5" ht="15.6" x14ac:dyDescent="0.3">
      <c r="A637" s="95">
        <v>633</v>
      </c>
      <c r="B637" s="25">
        <v>43636</v>
      </c>
      <c r="C637" s="100" t="s">
        <v>31</v>
      </c>
      <c r="D637" s="7"/>
      <c r="E637" s="97">
        <v>6000</v>
      </c>
    </row>
    <row r="638" spans="1:5" ht="15.6" x14ac:dyDescent="0.3">
      <c r="A638" s="95">
        <v>634</v>
      </c>
      <c r="B638" s="25">
        <v>43636</v>
      </c>
      <c r="C638" s="100" t="s">
        <v>26</v>
      </c>
      <c r="D638" s="7"/>
      <c r="E638" s="97">
        <v>5000</v>
      </c>
    </row>
    <row r="639" spans="1:5" ht="15.6" x14ac:dyDescent="0.3">
      <c r="A639" s="95">
        <v>635</v>
      </c>
      <c r="B639" s="25">
        <v>43637</v>
      </c>
      <c r="C639" s="100" t="s">
        <v>31</v>
      </c>
      <c r="D639" s="7"/>
      <c r="E639" s="97">
        <v>5000</v>
      </c>
    </row>
    <row r="640" spans="1:5" ht="15.6" x14ac:dyDescent="0.3">
      <c r="A640" s="95">
        <v>636</v>
      </c>
      <c r="B640" s="25">
        <v>43638</v>
      </c>
      <c r="C640" s="100" t="s">
        <v>31</v>
      </c>
      <c r="D640" s="7"/>
      <c r="E640" s="97">
        <v>20000</v>
      </c>
    </row>
    <row r="641" spans="1:5" ht="15.6" x14ac:dyDescent="0.3">
      <c r="A641" s="95">
        <v>637</v>
      </c>
      <c r="B641" s="25">
        <v>43638</v>
      </c>
      <c r="C641" s="100" t="s">
        <v>113</v>
      </c>
      <c r="D641" s="7"/>
      <c r="E641" s="97">
        <v>25000</v>
      </c>
    </row>
    <row r="642" spans="1:5" ht="15.6" x14ac:dyDescent="0.3">
      <c r="A642" s="95">
        <v>638</v>
      </c>
      <c r="B642" s="25">
        <v>43639</v>
      </c>
      <c r="C642" s="100" t="s">
        <v>31</v>
      </c>
      <c r="D642" s="7"/>
      <c r="E642" s="97">
        <v>15000</v>
      </c>
    </row>
    <row r="643" spans="1:5" ht="15.6" x14ac:dyDescent="0.3">
      <c r="A643" s="95">
        <v>639</v>
      </c>
      <c r="B643" s="25">
        <v>43639</v>
      </c>
      <c r="C643" s="99" t="s">
        <v>200</v>
      </c>
      <c r="D643" s="7"/>
      <c r="E643" s="97">
        <v>1000</v>
      </c>
    </row>
    <row r="644" spans="1:5" ht="15.6" x14ac:dyDescent="0.3">
      <c r="A644" s="95">
        <v>640</v>
      </c>
      <c r="B644" s="25">
        <v>43639</v>
      </c>
      <c r="C644" s="100" t="s">
        <v>26</v>
      </c>
      <c r="D644" s="7"/>
      <c r="E644" s="97">
        <v>2000</v>
      </c>
    </row>
    <row r="645" spans="1:5" ht="15.6" x14ac:dyDescent="0.3">
      <c r="A645" s="95">
        <v>641</v>
      </c>
      <c r="B645" s="25">
        <v>43641</v>
      </c>
      <c r="C645" s="105" t="s">
        <v>160</v>
      </c>
      <c r="D645" s="12">
        <v>100000</v>
      </c>
      <c r="E645" s="97"/>
    </row>
    <row r="646" spans="1:5" ht="15.6" x14ac:dyDescent="0.3">
      <c r="A646" s="95">
        <v>642</v>
      </c>
      <c r="B646" s="25">
        <v>43641</v>
      </c>
      <c r="C646" s="100" t="s">
        <v>31</v>
      </c>
      <c r="D646" s="7"/>
      <c r="E646" s="97">
        <v>65000</v>
      </c>
    </row>
    <row r="647" spans="1:5" ht="15.6" x14ac:dyDescent="0.3">
      <c r="A647" s="95">
        <v>643</v>
      </c>
      <c r="B647" s="25">
        <v>43641</v>
      </c>
      <c r="C647" s="99" t="s">
        <v>200</v>
      </c>
      <c r="D647" s="7"/>
      <c r="E647" s="97">
        <v>5000</v>
      </c>
    </row>
    <row r="648" spans="1:5" ht="15.6" x14ac:dyDescent="0.3">
      <c r="A648" s="95">
        <v>644</v>
      </c>
      <c r="B648" s="25">
        <v>43642</v>
      </c>
      <c r="C648" s="100" t="s">
        <v>179</v>
      </c>
      <c r="D648" s="7"/>
      <c r="E648" s="97">
        <v>2950</v>
      </c>
    </row>
    <row r="649" spans="1:5" ht="15.6" x14ac:dyDescent="0.3">
      <c r="A649" s="95">
        <v>645</v>
      </c>
      <c r="B649" s="25">
        <v>43643</v>
      </c>
      <c r="C649" s="100" t="s">
        <v>113</v>
      </c>
      <c r="D649" s="7"/>
      <c r="E649" s="97">
        <v>10000</v>
      </c>
    </row>
    <row r="650" spans="1:5" ht="15.6" x14ac:dyDescent="0.3">
      <c r="A650" s="95">
        <v>646</v>
      </c>
      <c r="B650" s="25">
        <v>43643</v>
      </c>
      <c r="C650" s="100" t="s">
        <v>179</v>
      </c>
      <c r="D650" s="7"/>
      <c r="E650" s="97">
        <v>2060</v>
      </c>
    </row>
    <row r="651" spans="1:5" ht="15.6" x14ac:dyDescent="0.3">
      <c r="A651" s="95">
        <v>647</v>
      </c>
      <c r="B651" s="25">
        <v>43643</v>
      </c>
      <c r="C651" s="100" t="s">
        <v>219</v>
      </c>
      <c r="D651" s="7"/>
      <c r="E651" s="97">
        <v>250</v>
      </c>
    </row>
    <row r="652" spans="1:5" ht="15.6" x14ac:dyDescent="0.3">
      <c r="A652" s="95">
        <v>648</v>
      </c>
      <c r="B652" s="25">
        <v>43644</v>
      </c>
      <c r="C652" s="99" t="s">
        <v>200</v>
      </c>
      <c r="D652" s="7"/>
      <c r="E652" s="97">
        <v>1000</v>
      </c>
    </row>
    <row r="653" spans="1:5" ht="15.6" x14ac:dyDescent="0.3">
      <c r="A653" s="95">
        <v>649</v>
      </c>
      <c r="B653" s="25">
        <v>43644</v>
      </c>
      <c r="C653" s="100" t="s">
        <v>50</v>
      </c>
      <c r="D653" s="7"/>
      <c r="E653" s="97">
        <v>25200</v>
      </c>
    </row>
    <row r="654" spans="1:5" ht="15.6" x14ac:dyDescent="0.3">
      <c r="A654" s="95">
        <v>650</v>
      </c>
      <c r="B654" s="25">
        <v>43644</v>
      </c>
      <c r="C654" s="100"/>
      <c r="D654" s="7"/>
      <c r="E654" s="97">
        <v>600</v>
      </c>
    </row>
    <row r="655" spans="1:5" ht="15.6" x14ac:dyDescent="0.3">
      <c r="A655" s="95">
        <v>651</v>
      </c>
      <c r="B655" s="25">
        <v>43645</v>
      </c>
      <c r="C655" s="99" t="s">
        <v>200</v>
      </c>
      <c r="D655" s="7"/>
      <c r="E655" s="97">
        <v>250</v>
      </c>
    </row>
    <row r="656" spans="1:5" ht="15.6" x14ac:dyDescent="0.3">
      <c r="A656" s="95">
        <v>652</v>
      </c>
      <c r="B656" s="25">
        <v>43645</v>
      </c>
      <c r="C656" s="105" t="s">
        <v>220</v>
      </c>
      <c r="D656" s="12">
        <v>200000</v>
      </c>
      <c r="E656" s="97"/>
    </row>
    <row r="657" spans="1:5" ht="15.6" x14ac:dyDescent="0.3">
      <c r="A657" s="95">
        <v>653</v>
      </c>
      <c r="B657" s="25">
        <v>43646</v>
      </c>
      <c r="C657" s="100" t="s">
        <v>31</v>
      </c>
      <c r="D657" s="7"/>
      <c r="E657" s="97">
        <v>10000</v>
      </c>
    </row>
    <row r="658" spans="1:5" ht="15.6" x14ac:dyDescent="0.3">
      <c r="A658" s="95">
        <v>654</v>
      </c>
      <c r="B658" s="25">
        <v>43647</v>
      </c>
      <c r="C658" s="105" t="s">
        <v>160</v>
      </c>
      <c r="D658" s="12">
        <v>30000</v>
      </c>
      <c r="E658" s="97"/>
    </row>
    <row r="659" spans="1:5" ht="15.6" x14ac:dyDescent="0.3">
      <c r="A659" s="95">
        <v>655</v>
      </c>
      <c r="B659" s="25">
        <v>43647</v>
      </c>
      <c r="C659" s="100" t="s">
        <v>31</v>
      </c>
      <c r="D659" s="7"/>
      <c r="E659" s="97">
        <v>30000</v>
      </c>
    </row>
    <row r="660" spans="1:5" ht="15.6" x14ac:dyDescent="0.3">
      <c r="A660" s="95">
        <v>656</v>
      </c>
      <c r="B660" s="25">
        <v>43648</v>
      </c>
      <c r="C660" s="100" t="s">
        <v>113</v>
      </c>
      <c r="D660" s="7"/>
      <c r="E660" s="97">
        <v>10000</v>
      </c>
    </row>
    <row r="661" spans="1:5" ht="15.6" x14ac:dyDescent="0.3">
      <c r="A661" s="95">
        <v>657</v>
      </c>
      <c r="B661" s="25">
        <v>43648</v>
      </c>
      <c r="C661" s="99" t="s">
        <v>221</v>
      </c>
      <c r="D661" s="7"/>
      <c r="E661" s="97">
        <v>12400</v>
      </c>
    </row>
    <row r="662" spans="1:5" ht="15.6" x14ac:dyDescent="0.3">
      <c r="A662" s="95">
        <v>658</v>
      </c>
      <c r="B662" s="25">
        <v>43649</v>
      </c>
      <c r="C662" s="100" t="s">
        <v>31</v>
      </c>
      <c r="D662" s="7"/>
      <c r="E662" s="97">
        <v>20000</v>
      </c>
    </row>
    <row r="663" spans="1:5" ht="15.6" x14ac:dyDescent="0.3">
      <c r="A663" s="95">
        <v>659</v>
      </c>
      <c r="B663" s="25">
        <v>43649</v>
      </c>
      <c r="C663" s="100" t="s">
        <v>222</v>
      </c>
      <c r="D663" s="7"/>
      <c r="E663" s="97">
        <v>16850</v>
      </c>
    </row>
    <row r="664" spans="1:5" ht="15.6" x14ac:dyDescent="0.3">
      <c r="A664" s="95">
        <v>660</v>
      </c>
      <c r="B664" s="25">
        <v>43649</v>
      </c>
      <c r="C664" s="100" t="s">
        <v>42</v>
      </c>
      <c r="D664" s="7"/>
      <c r="E664" s="97">
        <v>50</v>
      </c>
    </row>
    <row r="665" spans="1:5" ht="15.6" x14ac:dyDescent="0.3">
      <c r="A665" s="95">
        <v>661</v>
      </c>
      <c r="B665" s="25">
        <v>43650</v>
      </c>
      <c r="C665" s="100" t="s">
        <v>31</v>
      </c>
      <c r="D665" s="7"/>
      <c r="E665" s="97">
        <v>2000</v>
      </c>
    </row>
    <row r="666" spans="1:5" ht="15.6" x14ac:dyDescent="0.3">
      <c r="A666" s="95">
        <v>662</v>
      </c>
      <c r="B666" s="25">
        <v>43650</v>
      </c>
      <c r="C666" s="100" t="s">
        <v>42</v>
      </c>
      <c r="D666" s="7"/>
      <c r="E666" s="97">
        <v>50</v>
      </c>
    </row>
    <row r="667" spans="1:5" ht="15.6" x14ac:dyDescent="0.3">
      <c r="A667" s="95">
        <v>663</v>
      </c>
      <c r="B667" s="25">
        <v>43650</v>
      </c>
      <c r="C667" s="100" t="s">
        <v>223</v>
      </c>
      <c r="D667" s="7"/>
      <c r="E667" s="97">
        <v>300</v>
      </c>
    </row>
    <row r="668" spans="1:5" ht="15.6" x14ac:dyDescent="0.3">
      <c r="A668" s="95">
        <v>664</v>
      </c>
      <c r="B668" s="25">
        <v>43652</v>
      </c>
      <c r="C668" s="100" t="s">
        <v>31</v>
      </c>
      <c r="D668" s="7"/>
      <c r="E668" s="97">
        <v>5000</v>
      </c>
    </row>
    <row r="669" spans="1:5" ht="15.6" x14ac:dyDescent="0.3">
      <c r="A669" s="95">
        <v>665</v>
      </c>
      <c r="B669" s="25">
        <v>43652</v>
      </c>
      <c r="C669" s="100" t="s">
        <v>224</v>
      </c>
      <c r="D669" s="7"/>
      <c r="E669" s="97">
        <v>1500</v>
      </c>
    </row>
    <row r="670" spans="1:5" ht="15.6" x14ac:dyDescent="0.3">
      <c r="A670" s="95">
        <v>666</v>
      </c>
      <c r="B670" s="25">
        <v>43652</v>
      </c>
      <c r="C670" s="100" t="s">
        <v>225</v>
      </c>
      <c r="D670" s="7"/>
      <c r="E670" s="97">
        <v>500</v>
      </c>
    </row>
    <row r="671" spans="1:5" ht="15.6" x14ac:dyDescent="0.3">
      <c r="A671" s="95">
        <v>667</v>
      </c>
      <c r="B671" s="25">
        <v>43652</v>
      </c>
      <c r="C671" s="100" t="s">
        <v>113</v>
      </c>
      <c r="D671" s="7"/>
      <c r="E671" s="97">
        <v>20000</v>
      </c>
    </row>
    <row r="672" spans="1:5" ht="15.6" x14ac:dyDescent="0.3">
      <c r="A672" s="95">
        <v>668</v>
      </c>
      <c r="B672" s="25">
        <v>43654</v>
      </c>
      <c r="C672" s="100" t="s">
        <v>31</v>
      </c>
      <c r="D672" s="7"/>
      <c r="E672" s="97">
        <v>6000</v>
      </c>
    </row>
    <row r="673" spans="1:5" ht="15.6" x14ac:dyDescent="0.3">
      <c r="A673" s="95">
        <v>669</v>
      </c>
      <c r="B673" s="25">
        <v>43654</v>
      </c>
      <c r="C673" s="100" t="s">
        <v>224</v>
      </c>
      <c r="D673" s="7"/>
      <c r="E673" s="97">
        <v>1500</v>
      </c>
    </row>
    <row r="674" spans="1:5" ht="15.6" x14ac:dyDescent="0.3">
      <c r="A674" s="95">
        <v>670</v>
      </c>
      <c r="B674" s="25">
        <v>43654</v>
      </c>
      <c r="C674" s="99" t="s">
        <v>226</v>
      </c>
      <c r="D674" s="7"/>
      <c r="E674" s="97">
        <v>50000</v>
      </c>
    </row>
    <row r="675" spans="1:5" ht="15.6" x14ac:dyDescent="0.3">
      <c r="A675" s="95">
        <v>671</v>
      </c>
      <c r="B675" s="25">
        <v>43655</v>
      </c>
      <c r="C675" s="105" t="s">
        <v>160</v>
      </c>
      <c r="D675" s="12">
        <v>100000</v>
      </c>
      <c r="E675" s="97"/>
    </row>
    <row r="676" spans="1:5" ht="15.6" x14ac:dyDescent="0.3">
      <c r="A676" s="95">
        <v>672</v>
      </c>
      <c r="B676" s="25">
        <v>43655</v>
      </c>
      <c r="C676" s="100" t="s">
        <v>224</v>
      </c>
      <c r="D676" s="7"/>
      <c r="E676" s="97">
        <v>1500</v>
      </c>
    </row>
    <row r="677" spans="1:5" ht="15.6" x14ac:dyDescent="0.3">
      <c r="A677" s="95">
        <v>673</v>
      </c>
      <c r="B677" s="25">
        <v>43655</v>
      </c>
      <c r="C677" s="100" t="s">
        <v>31</v>
      </c>
      <c r="D677" s="7"/>
      <c r="E677" s="97">
        <v>40000</v>
      </c>
    </row>
    <row r="678" spans="1:5" ht="15.6" x14ac:dyDescent="0.3">
      <c r="A678" s="95">
        <v>674</v>
      </c>
      <c r="B678" s="25">
        <v>43655</v>
      </c>
      <c r="C678" s="104" t="s">
        <v>227</v>
      </c>
      <c r="D678" s="7"/>
      <c r="E678" s="97">
        <v>40000</v>
      </c>
    </row>
    <row r="679" spans="1:5" ht="15.6" x14ac:dyDescent="0.3">
      <c r="A679" s="95">
        <v>675</v>
      </c>
      <c r="B679" s="25">
        <v>43655</v>
      </c>
      <c r="C679" s="99" t="s">
        <v>200</v>
      </c>
      <c r="D679" s="7"/>
      <c r="E679" s="97">
        <v>5000</v>
      </c>
    </row>
    <row r="680" spans="1:5" ht="15.6" x14ac:dyDescent="0.3">
      <c r="A680" s="95">
        <v>676</v>
      </c>
      <c r="B680" s="25">
        <v>43655</v>
      </c>
      <c r="C680" s="100" t="s">
        <v>228</v>
      </c>
      <c r="D680" s="7"/>
      <c r="E680" s="97">
        <v>60000</v>
      </c>
    </row>
    <row r="681" spans="1:5" ht="15.6" x14ac:dyDescent="0.3">
      <c r="A681" s="95">
        <v>677</v>
      </c>
      <c r="B681" s="25">
        <v>43657</v>
      </c>
      <c r="C681" s="100" t="s">
        <v>31</v>
      </c>
      <c r="D681" s="7"/>
      <c r="E681" s="97">
        <v>11000</v>
      </c>
    </row>
    <row r="682" spans="1:5" ht="15.6" x14ac:dyDescent="0.3">
      <c r="A682" s="95">
        <v>678</v>
      </c>
      <c r="B682" s="25">
        <v>43657</v>
      </c>
      <c r="C682" s="100" t="s">
        <v>224</v>
      </c>
      <c r="D682" s="7"/>
      <c r="E682" s="97">
        <v>3000</v>
      </c>
    </row>
    <row r="683" spans="1:5" ht="15.6" x14ac:dyDescent="0.3">
      <c r="A683" s="95">
        <v>679</v>
      </c>
      <c r="B683" s="25">
        <v>43658</v>
      </c>
      <c r="C683" s="100" t="s">
        <v>31</v>
      </c>
      <c r="D683" s="7"/>
      <c r="E683" s="97">
        <v>14000</v>
      </c>
    </row>
    <row r="684" spans="1:5" ht="15.6" x14ac:dyDescent="0.3">
      <c r="A684" s="95">
        <v>680</v>
      </c>
      <c r="B684" s="25">
        <v>43658</v>
      </c>
      <c r="C684" s="100" t="s">
        <v>224</v>
      </c>
      <c r="D684" s="7"/>
      <c r="E684" s="97">
        <v>5000</v>
      </c>
    </row>
    <row r="685" spans="1:5" ht="15.6" x14ac:dyDescent="0.3">
      <c r="A685" s="95">
        <v>681</v>
      </c>
      <c r="B685" s="25">
        <v>43659</v>
      </c>
      <c r="C685" s="100" t="s">
        <v>31</v>
      </c>
      <c r="D685" s="7"/>
      <c r="E685" s="97">
        <v>10000</v>
      </c>
    </row>
    <row r="686" spans="1:5" ht="15.6" x14ac:dyDescent="0.3">
      <c r="A686" s="95">
        <v>682</v>
      </c>
      <c r="B686" s="25">
        <v>43659</v>
      </c>
      <c r="C686" s="100" t="s">
        <v>224</v>
      </c>
      <c r="D686" s="7"/>
      <c r="E686" s="97">
        <v>1500</v>
      </c>
    </row>
    <row r="687" spans="1:5" ht="15.6" x14ac:dyDescent="0.3">
      <c r="A687" s="95">
        <v>683</v>
      </c>
      <c r="B687" s="25">
        <v>43659</v>
      </c>
      <c r="C687" s="105" t="s">
        <v>229</v>
      </c>
      <c r="D687" s="12">
        <v>100000</v>
      </c>
      <c r="E687" s="97"/>
    </row>
    <row r="688" spans="1:5" ht="15.6" x14ac:dyDescent="0.3">
      <c r="A688" s="95">
        <v>684</v>
      </c>
      <c r="B688" s="25">
        <v>43660</v>
      </c>
      <c r="C688" s="100" t="s">
        <v>31</v>
      </c>
      <c r="D688" s="7"/>
      <c r="E688" s="97">
        <v>20000</v>
      </c>
    </row>
    <row r="689" spans="1:5" ht="15.6" x14ac:dyDescent="0.3">
      <c r="A689" s="95">
        <v>685</v>
      </c>
      <c r="B689" s="25">
        <v>43660</v>
      </c>
      <c r="C689" s="100" t="s">
        <v>113</v>
      </c>
      <c r="D689" s="7"/>
      <c r="E689" s="97">
        <v>20000</v>
      </c>
    </row>
    <row r="690" spans="1:5" ht="15.6" x14ac:dyDescent="0.3">
      <c r="A690" s="95">
        <v>686</v>
      </c>
      <c r="B690" s="25">
        <v>43660</v>
      </c>
      <c r="C690" s="100" t="s">
        <v>224</v>
      </c>
      <c r="D690" s="7"/>
      <c r="E690" s="97">
        <v>1500</v>
      </c>
    </row>
    <row r="691" spans="1:5" ht="15.6" x14ac:dyDescent="0.3">
      <c r="A691" s="95">
        <v>687</v>
      </c>
      <c r="B691" s="25">
        <v>43662</v>
      </c>
      <c r="C691" s="100" t="s">
        <v>113</v>
      </c>
      <c r="D691" s="7"/>
      <c r="E691" s="97">
        <v>20000</v>
      </c>
    </row>
    <row r="692" spans="1:5" ht="15.6" x14ac:dyDescent="0.3">
      <c r="A692" s="95">
        <v>688</v>
      </c>
      <c r="B692" s="25">
        <v>43662</v>
      </c>
      <c r="C692" s="100" t="s">
        <v>224</v>
      </c>
      <c r="D692" s="7"/>
      <c r="E692" s="97">
        <v>1500</v>
      </c>
    </row>
    <row r="693" spans="1:5" ht="15.6" x14ac:dyDescent="0.3">
      <c r="A693" s="95">
        <v>689</v>
      </c>
      <c r="B693" s="25">
        <v>43662</v>
      </c>
      <c r="C693" s="100" t="s">
        <v>31</v>
      </c>
      <c r="D693" s="7"/>
      <c r="E693" s="97">
        <v>20000</v>
      </c>
    </row>
    <row r="694" spans="1:5" ht="15.6" x14ac:dyDescent="0.3">
      <c r="A694" s="95">
        <v>690</v>
      </c>
      <c r="B694" s="25">
        <v>43662</v>
      </c>
      <c r="C694" s="99" t="s">
        <v>200</v>
      </c>
      <c r="D694" s="7"/>
      <c r="E694" s="97">
        <v>2000</v>
      </c>
    </row>
    <row r="695" spans="1:5" ht="15.6" x14ac:dyDescent="0.3">
      <c r="A695" s="95">
        <v>691</v>
      </c>
      <c r="B695" s="25">
        <v>43663</v>
      </c>
      <c r="C695" s="100" t="s">
        <v>224</v>
      </c>
      <c r="D695" s="7"/>
      <c r="E695" s="97">
        <v>9000</v>
      </c>
    </row>
    <row r="696" spans="1:5" ht="15.6" x14ac:dyDescent="0.3">
      <c r="A696" s="95">
        <v>692</v>
      </c>
      <c r="B696" s="25">
        <v>43663</v>
      </c>
      <c r="C696" s="100" t="s">
        <v>31</v>
      </c>
      <c r="D696" s="7"/>
      <c r="E696" s="97">
        <v>20000</v>
      </c>
    </row>
    <row r="697" spans="1:5" ht="15.6" x14ac:dyDescent="0.3">
      <c r="A697" s="95">
        <v>693</v>
      </c>
      <c r="B697" s="25">
        <v>43664</v>
      </c>
      <c r="C697" s="100" t="s">
        <v>31</v>
      </c>
      <c r="D697" s="7"/>
      <c r="E697" s="97">
        <v>12000</v>
      </c>
    </row>
    <row r="698" spans="1:5" ht="15.6" x14ac:dyDescent="0.3">
      <c r="A698" s="95">
        <v>694</v>
      </c>
      <c r="B698" s="25">
        <v>43665</v>
      </c>
      <c r="C698" s="100" t="s">
        <v>31</v>
      </c>
      <c r="D698" s="7"/>
      <c r="E698" s="97">
        <v>12000</v>
      </c>
    </row>
    <row r="699" spans="1:5" ht="15.6" x14ac:dyDescent="0.3">
      <c r="A699" s="95">
        <v>695</v>
      </c>
      <c r="B699" s="25">
        <v>43665</v>
      </c>
      <c r="C699" s="100" t="s">
        <v>224</v>
      </c>
      <c r="D699" s="7"/>
      <c r="E699" s="97">
        <v>1500</v>
      </c>
    </row>
    <row r="700" spans="1:5" ht="15.6" x14ac:dyDescent="0.3">
      <c r="A700" s="95">
        <v>696</v>
      </c>
      <c r="B700" s="25">
        <v>43668</v>
      </c>
      <c r="C700" s="99" t="s">
        <v>200</v>
      </c>
      <c r="D700" s="7"/>
      <c r="E700" s="97">
        <v>5000</v>
      </c>
    </row>
    <row r="701" spans="1:5" ht="25.8" x14ac:dyDescent="0.3">
      <c r="A701" s="95">
        <v>697</v>
      </c>
      <c r="B701" s="25">
        <v>43668</v>
      </c>
      <c r="C701" s="105" t="s">
        <v>230</v>
      </c>
      <c r="D701" s="12">
        <v>80000</v>
      </c>
      <c r="E701" s="97"/>
    </row>
    <row r="702" spans="1:5" ht="15.6" x14ac:dyDescent="0.3">
      <c r="A702" s="95">
        <v>698</v>
      </c>
      <c r="B702" s="25">
        <v>43668</v>
      </c>
      <c r="C702" s="100" t="s">
        <v>31</v>
      </c>
      <c r="D702" s="7"/>
      <c r="E702" s="97">
        <v>40000</v>
      </c>
    </row>
    <row r="703" spans="1:5" ht="15.6" x14ac:dyDescent="0.3">
      <c r="A703" s="95">
        <v>699</v>
      </c>
      <c r="B703" s="25">
        <v>43668</v>
      </c>
      <c r="C703" s="100" t="s">
        <v>113</v>
      </c>
      <c r="D703" s="7"/>
      <c r="E703" s="97">
        <v>40000</v>
      </c>
    </row>
    <row r="704" spans="1:5" ht="15.6" x14ac:dyDescent="0.3">
      <c r="A704" s="95">
        <v>700</v>
      </c>
      <c r="B704" s="25">
        <v>43671</v>
      </c>
      <c r="C704" s="105" t="s">
        <v>160</v>
      </c>
      <c r="D704" s="12">
        <v>50000</v>
      </c>
      <c r="E704" s="97"/>
    </row>
    <row r="705" spans="1:5" ht="15.6" x14ac:dyDescent="0.3">
      <c r="A705" s="95">
        <v>701</v>
      </c>
      <c r="B705" s="25">
        <v>43671</v>
      </c>
      <c r="C705" s="100" t="s">
        <v>31</v>
      </c>
      <c r="D705" s="7"/>
      <c r="E705" s="97">
        <v>40000</v>
      </c>
    </row>
    <row r="706" spans="1:5" ht="15.6" x14ac:dyDescent="0.3">
      <c r="A706" s="95">
        <v>702</v>
      </c>
      <c r="B706" s="25">
        <v>43671</v>
      </c>
      <c r="C706" s="100" t="s">
        <v>113</v>
      </c>
      <c r="D706" s="7"/>
      <c r="E706" s="97">
        <v>20000</v>
      </c>
    </row>
    <row r="707" spans="1:5" ht="15.6" x14ac:dyDescent="0.3">
      <c r="A707" s="95">
        <v>703</v>
      </c>
      <c r="B707" s="25">
        <v>43674</v>
      </c>
      <c r="C707" s="99" t="s">
        <v>200</v>
      </c>
      <c r="D707" s="7"/>
      <c r="E707" s="97">
        <v>1000</v>
      </c>
    </row>
    <row r="708" spans="1:5" ht="15.6" x14ac:dyDescent="0.3">
      <c r="A708" s="95">
        <v>704</v>
      </c>
      <c r="B708" s="25">
        <v>43676</v>
      </c>
      <c r="C708" s="100" t="s">
        <v>31</v>
      </c>
      <c r="D708" s="7"/>
      <c r="E708" s="97">
        <v>10000</v>
      </c>
    </row>
    <row r="709" spans="1:5" ht="15.6" x14ac:dyDescent="0.3">
      <c r="A709" s="95">
        <v>705</v>
      </c>
      <c r="B709" s="25">
        <v>43678</v>
      </c>
      <c r="C709" s="105" t="s">
        <v>160</v>
      </c>
      <c r="D709" s="12">
        <v>150000</v>
      </c>
      <c r="E709" s="97"/>
    </row>
    <row r="710" spans="1:5" ht="15.6" x14ac:dyDescent="0.3">
      <c r="A710" s="95">
        <v>706</v>
      </c>
      <c r="B710" s="25">
        <v>43678</v>
      </c>
      <c r="C710" s="100" t="s">
        <v>31</v>
      </c>
      <c r="D710" s="7"/>
      <c r="E710" s="97">
        <v>100000</v>
      </c>
    </row>
    <row r="711" spans="1:5" ht="15.6" x14ac:dyDescent="0.3">
      <c r="A711" s="95">
        <v>707</v>
      </c>
      <c r="B711" s="25">
        <v>43678</v>
      </c>
      <c r="C711" s="99" t="s">
        <v>231</v>
      </c>
      <c r="D711" s="7"/>
      <c r="E711" s="97">
        <v>15500</v>
      </c>
    </row>
    <row r="712" spans="1:5" ht="15.6" x14ac:dyDescent="0.3">
      <c r="A712" s="95">
        <v>708</v>
      </c>
      <c r="B712" s="25">
        <v>43678</v>
      </c>
      <c r="C712" s="100" t="s">
        <v>232</v>
      </c>
      <c r="D712" s="7"/>
      <c r="E712" s="97">
        <v>1350</v>
      </c>
    </row>
    <row r="713" spans="1:5" ht="15.6" x14ac:dyDescent="0.3">
      <c r="A713" s="95">
        <v>709</v>
      </c>
      <c r="B713" s="25">
        <v>43678</v>
      </c>
      <c r="C713" s="100" t="s">
        <v>233</v>
      </c>
      <c r="D713" s="7"/>
      <c r="E713" s="97">
        <v>900</v>
      </c>
    </row>
    <row r="714" spans="1:5" ht="15.6" x14ac:dyDescent="0.3">
      <c r="A714" s="95">
        <v>710</v>
      </c>
      <c r="B714" s="25">
        <v>43678</v>
      </c>
      <c r="C714" s="100" t="s">
        <v>234</v>
      </c>
      <c r="D714" s="7"/>
      <c r="E714" s="97">
        <v>4500</v>
      </c>
    </row>
    <row r="715" spans="1:5" ht="15.6" x14ac:dyDescent="0.3">
      <c r="A715" s="95">
        <v>711</v>
      </c>
      <c r="B715" s="25">
        <v>43678</v>
      </c>
      <c r="C715" s="100" t="s">
        <v>235</v>
      </c>
      <c r="D715" s="7"/>
      <c r="E715" s="97">
        <v>2700</v>
      </c>
    </row>
    <row r="716" spans="1:5" ht="15.6" x14ac:dyDescent="0.3">
      <c r="A716" s="95">
        <v>712</v>
      </c>
      <c r="B716" s="25">
        <v>43678</v>
      </c>
      <c r="C716" s="100" t="s">
        <v>236</v>
      </c>
      <c r="D716" s="7"/>
      <c r="E716" s="97">
        <v>5400</v>
      </c>
    </row>
    <row r="717" spans="1:5" ht="15.6" x14ac:dyDescent="0.3">
      <c r="A717" s="95">
        <v>713</v>
      </c>
      <c r="B717" s="25">
        <v>43679</v>
      </c>
      <c r="C717" s="99" t="s">
        <v>200</v>
      </c>
      <c r="D717" s="7"/>
      <c r="E717" s="97">
        <v>500</v>
      </c>
    </row>
    <row r="718" spans="1:5" ht="28.2" x14ac:dyDescent="0.3">
      <c r="A718" s="95">
        <v>714</v>
      </c>
      <c r="B718" s="25">
        <v>43682</v>
      </c>
      <c r="C718" s="105" t="s">
        <v>237</v>
      </c>
      <c r="D718" s="12">
        <v>200000</v>
      </c>
      <c r="E718" s="97"/>
    </row>
    <row r="719" spans="1:5" ht="15.6" x14ac:dyDescent="0.3">
      <c r="A719" s="95">
        <v>715</v>
      </c>
      <c r="B719" s="25">
        <v>43682</v>
      </c>
      <c r="C719" s="100" t="s">
        <v>113</v>
      </c>
      <c r="D719" s="7"/>
      <c r="E719" s="97">
        <v>80000</v>
      </c>
    </row>
    <row r="720" spans="1:5" ht="15.6" x14ac:dyDescent="0.3">
      <c r="A720" s="95">
        <v>716</v>
      </c>
      <c r="B720" s="25">
        <v>43682</v>
      </c>
      <c r="C720" s="100" t="s">
        <v>31</v>
      </c>
      <c r="D720" s="7"/>
      <c r="E720" s="97">
        <v>70000</v>
      </c>
    </row>
    <row r="721" spans="1:5" ht="15.6" x14ac:dyDescent="0.3">
      <c r="A721" s="95">
        <v>717</v>
      </c>
      <c r="B721" s="25">
        <v>43682</v>
      </c>
      <c r="C721" s="99" t="s">
        <v>238</v>
      </c>
      <c r="D721" s="7"/>
      <c r="E721" s="97">
        <v>40000</v>
      </c>
    </row>
    <row r="722" spans="1:5" ht="15.6" x14ac:dyDescent="0.3">
      <c r="A722" s="95">
        <v>718</v>
      </c>
      <c r="B722" s="25">
        <v>43684</v>
      </c>
      <c r="C722" s="100" t="s">
        <v>119</v>
      </c>
      <c r="D722" s="7"/>
      <c r="E722" s="97">
        <v>200</v>
      </c>
    </row>
    <row r="723" spans="1:5" ht="15.6" x14ac:dyDescent="0.3">
      <c r="A723" s="95">
        <v>719</v>
      </c>
      <c r="B723" s="25">
        <v>43684</v>
      </c>
      <c r="C723" s="100" t="s">
        <v>239</v>
      </c>
      <c r="D723" s="7"/>
      <c r="E723" s="97">
        <v>1660</v>
      </c>
    </row>
    <row r="724" spans="1:5" ht="15.6" x14ac:dyDescent="0.3">
      <c r="A724" s="95">
        <v>720</v>
      </c>
      <c r="B724" s="25">
        <v>43685</v>
      </c>
      <c r="C724" s="100" t="s">
        <v>31</v>
      </c>
      <c r="D724" s="7"/>
      <c r="E724" s="97">
        <v>13000</v>
      </c>
    </row>
    <row r="725" spans="1:5" ht="15.6" x14ac:dyDescent="0.3">
      <c r="A725" s="95">
        <v>721</v>
      </c>
      <c r="B725" s="25">
        <v>43685</v>
      </c>
      <c r="C725" s="100" t="s">
        <v>240</v>
      </c>
      <c r="D725" s="7"/>
      <c r="E725" s="97">
        <v>60000</v>
      </c>
    </row>
    <row r="726" spans="1:5" ht="15.6" x14ac:dyDescent="0.3">
      <c r="A726" s="95">
        <v>722</v>
      </c>
      <c r="B726" s="25">
        <v>43685</v>
      </c>
      <c r="C726" s="100" t="s">
        <v>69</v>
      </c>
      <c r="D726" s="7"/>
      <c r="E726" s="97">
        <v>20000</v>
      </c>
    </row>
    <row r="727" spans="1:5" ht="15.6" x14ac:dyDescent="0.3">
      <c r="A727" s="95">
        <v>723</v>
      </c>
      <c r="B727" s="25">
        <v>43687</v>
      </c>
      <c r="C727" s="99" t="s">
        <v>200</v>
      </c>
      <c r="D727" s="7"/>
      <c r="E727" s="97">
        <v>5000</v>
      </c>
    </row>
    <row r="728" spans="1:5" ht="15.6" x14ac:dyDescent="0.3">
      <c r="A728" s="95">
        <v>724</v>
      </c>
      <c r="B728" s="25">
        <v>43687</v>
      </c>
      <c r="C728" s="100" t="s">
        <v>113</v>
      </c>
      <c r="D728" s="7"/>
      <c r="E728" s="97">
        <v>20000</v>
      </c>
    </row>
    <row r="729" spans="1:5" ht="15.6" x14ac:dyDescent="0.3">
      <c r="A729" s="95">
        <v>725</v>
      </c>
      <c r="B729" s="25">
        <v>43693</v>
      </c>
      <c r="C729" s="100" t="s">
        <v>31</v>
      </c>
      <c r="D729" s="7"/>
      <c r="E729" s="97">
        <v>40000</v>
      </c>
    </row>
    <row r="730" spans="1:5" ht="25.8" x14ac:dyDescent="0.3">
      <c r="A730" s="95">
        <v>726</v>
      </c>
      <c r="B730" s="25">
        <v>43694</v>
      </c>
      <c r="C730" s="105" t="s">
        <v>241</v>
      </c>
      <c r="D730" s="12">
        <v>200000</v>
      </c>
      <c r="E730" s="97"/>
    </row>
    <row r="731" spans="1:5" ht="15.6" x14ac:dyDescent="0.3">
      <c r="A731" s="95">
        <v>727</v>
      </c>
      <c r="B731" s="25">
        <v>43694</v>
      </c>
      <c r="C731" s="100" t="s">
        <v>242</v>
      </c>
      <c r="D731" s="7"/>
      <c r="E731" s="97">
        <v>4500</v>
      </c>
    </row>
    <row r="732" spans="1:5" ht="15.6" x14ac:dyDescent="0.3">
      <c r="A732" s="95">
        <v>728</v>
      </c>
      <c r="B732" s="25">
        <v>43694</v>
      </c>
      <c r="C732" s="100" t="s">
        <v>31</v>
      </c>
      <c r="D732" s="7"/>
      <c r="E732" s="97">
        <v>100000</v>
      </c>
    </row>
    <row r="733" spans="1:5" ht="15.6" x14ac:dyDescent="0.3">
      <c r="A733" s="95">
        <v>729</v>
      </c>
      <c r="B733" s="25">
        <v>43698</v>
      </c>
      <c r="C733" s="100" t="s">
        <v>31</v>
      </c>
      <c r="D733" s="7"/>
      <c r="E733" s="97">
        <v>25000</v>
      </c>
    </row>
    <row r="734" spans="1:5" ht="15.6" x14ac:dyDescent="0.3">
      <c r="A734" s="95">
        <v>730</v>
      </c>
      <c r="B734" s="25">
        <v>43702</v>
      </c>
      <c r="C734" s="100" t="s">
        <v>31</v>
      </c>
      <c r="D734" s="7"/>
      <c r="E734" s="97">
        <v>10000</v>
      </c>
    </row>
    <row r="735" spans="1:5" ht="15.6" x14ac:dyDescent="0.3">
      <c r="A735" s="95">
        <v>731</v>
      </c>
      <c r="B735" s="25">
        <v>43704</v>
      </c>
      <c r="C735" s="100" t="s">
        <v>31</v>
      </c>
      <c r="D735" s="7"/>
      <c r="E735" s="97">
        <v>25000</v>
      </c>
    </row>
    <row r="736" spans="1:5" ht="15.6" x14ac:dyDescent="0.3">
      <c r="A736" s="95">
        <v>732</v>
      </c>
      <c r="B736" s="25">
        <v>43704</v>
      </c>
      <c r="C736" s="99" t="s">
        <v>200</v>
      </c>
      <c r="D736" s="7"/>
      <c r="E736" s="97">
        <v>1000</v>
      </c>
    </row>
    <row r="737" spans="1:5" ht="15.6" x14ac:dyDescent="0.3">
      <c r="A737" s="95">
        <v>733</v>
      </c>
      <c r="B737" s="25">
        <v>43704</v>
      </c>
      <c r="C737" s="100" t="s">
        <v>243</v>
      </c>
      <c r="D737" s="7"/>
      <c r="E737" s="97">
        <v>3000</v>
      </c>
    </row>
    <row r="738" spans="1:5" ht="15.6" x14ac:dyDescent="0.3">
      <c r="A738" s="95">
        <v>734</v>
      </c>
      <c r="B738" s="25">
        <v>43708</v>
      </c>
      <c r="C738" s="105" t="s">
        <v>160</v>
      </c>
      <c r="D738" s="12">
        <v>20000</v>
      </c>
      <c r="E738" s="97"/>
    </row>
    <row r="739" spans="1:5" ht="15.6" x14ac:dyDescent="0.3">
      <c r="A739" s="95">
        <v>735</v>
      </c>
      <c r="B739" s="25">
        <v>43708</v>
      </c>
      <c r="C739" s="100" t="s">
        <v>31</v>
      </c>
      <c r="D739" s="7"/>
      <c r="E739" s="97">
        <v>17000</v>
      </c>
    </row>
    <row r="740" spans="1:5" ht="15.6" x14ac:dyDescent="0.3">
      <c r="A740" s="95">
        <v>736</v>
      </c>
      <c r="B740" s="25">
        <v>43708</v>
      </c>
      <c r="C740" s="100" t="s">
        <v>244</v>
      </c>
      <c r="D740" s="7"/>
      <c r="E740" s="97">
        <v>500</v>
      </c>
    </row>
    <row r="741" spans="1:5" ht="15.6" x14ac:dyDescent="0.3">
      <c r="A741" s="95">
        <v>737</v>
      </c>
      <c r="B741" s="25">
        <v>43710</v>
      </c>
      <c r="C741" s="105" t="s">
        <v>160</v>
      </c>
      <c r="D741" s="12">
        <v>100000</v>
      </c>
      <c r="E741" s="97"/>
    </row>
    <row r="742" spans="1:5" ht="15.6" x14ac:dyDescent="0.3">
      <c r="A742" s="95">
        <v>738</v>
      </c>
      <c r="B742" s="25">
        <v>43710</v>
      </c>
      <c r="C742" s="100" t="s">
        <v>113</v>
      </c>
      <c r="D742" s="7"/>
      <c r="E742" s="97">
        <v>30000</v>
      </c>
    </row>
    <row r="743" spans="1:5" ht="15.6" x14ac:dyDescent="0.3">
      <c r="A743" s="95">
        <v>739</v>
      </c>
      <c r="B743" s="25">
        <v>43710</v>
      </c>
      <c r="C743" s="100" t="s">
        <v>31</v>
      </c>
      <c r="D743" s="7"/>
      <c r="E743" s="97">
        <v>60000</v>
      </c>
    </row>
    <row r="744" spans="1:5" ht="15.6" x14ac:dyDescent="0.3">
      <c r="A744" s="95">
        <v>740</v>
      </c>
      <c r="B744" s="25">
        <v>43710</v>
      </c>
      <c r="C744" s="99" t="s">
        <v>245</v>
      </c>
      <c r="D744" s="7"/>
      <c r="E744" s="97">
        <v>9650</v>
      </c>
    </row>
    <row r="745" spans="1:5" ht="15.6" x14ac:dyDescent="0.3">
      <c r="A745" s="95">
        <v>741</v>
      </c>
      <c r="B745" s="25">
        <v>43711</v>
      </c>
      <c r="C745" s="99" t="s">
        <v>200</v>
      </c>
      <c r="D745" s="7"/>
      <c r="E745" s="97">
        <v>1350</v>
      </c>
    </row>
    <row r="746" spans="1:5" ht="15.6" x14ac:dyDescent="0.3">
      <c r="A746" s="95">
        <v>742</v>
      </c>
      <c r="B746" s="25">
        <v>43715</v>
      </c>
      <c r="C746" s="99" t="s">
        <v>200</v>
      </c>
      <c r="D746" s="7"/>
      <c r="E746" s="97">
        <v>2000</v>
      </c>
    </row>
    <row r="747" spans="1:5" ht="15.6" x14ac:dyDescent="0.3">
      <c r="A747" s="95">
        <v>743</v>
      </c>
      <c r="B747" s="25">
        <v>43715</v>
      </c>
      <c r="C747" s="105" t="s">
        <v>160</v>
      </c>
      <c r="D747" s="12">
        <v>100000</v>
      </c>
      <c r="E747" s="97"/>
    </row>
    <row r="748" spans="1:5" ht="15.6" x14ac:dyDescent="0.3">
      <c r="A748" s="95">
        <v>744</v>
      </c>
      <c r="B748" s="25">
        <v>43715</v>
      </c>
      <c r="C748" s="100" t="s">
        <v>31</v>
      </c>
      <c r="D748" s="7"/>
      <c r="E748" s="97">
        <v>100000</v>
      </c>
    </row>
    <row r="749" spans="1:5" ht="15.6" x14ac:dyDescent="0.3">
      <c r="A749" s="95">
        <v>745</v>
      </c>
      <c r="B749" s="25">
        <v>43720</v>
      </c>
      <c r="C749" s="105" t="s">
        <v>160</v>
      </c>
      <c r="D749" s="12">
        <v>150000</v>
      </c>
      <c r="E749" s="97"/>
    </row>
    <row r="750" spans="1:5" ht="15.6" x14ac:dyDescent="0.3">
      <c r="A750" s="95">
        <v>746</v>
      </c>
      <c r="B750" s="25">
        <v>43720</v>
      </c>
      <c r="C750" s="99" t="s">
        <v>200</v>
      </c>
      <c r="D750" s="7"/>
      <c r="E750" s="97">
        <v>5000</v>
      </c>
    </row>
    <row r="751" spans="1:5" ht="15.6" x14ac:dyDescent="0.3">
      <c r="A751" s="95">
        <v>747</v>
      </c>
      <c r="B751" s="25">
        <v>43720</v>
      </c>
      <c r="C751" s="100" t="s">
        <v>246</v>
      </c>
      <c r="D751" s="7"/>
      <c r="E751" s="97">
        <v>22000</v>
      </c>
    </row>
    <row r="752" spans="1:5" ht="15.6" x14ac:dyDescent="0.3">
      <c r="A752" s="95">
        <v>748</v>
      </c>
      <c r="B752" s="25">
        <v>43720</v>
      </c>
      <c r="C752" s="100" t="s">
        <v>247</v>
      </c>
      <c r="D752" s="7"/>
      <c r="E752" s="97">
        <v>60000</v>
      </c>
    </row>
    <row r="753" spans="1:5" ht="15.6" x14ac:dyDescent="0.3">
      <c r="A753" s="95">
        <v>749</v>
      </c>
      <c r="B753" s="25">
        <v>43722</v>
      </c>
      <c r="C753" s="100" t="s">
        <v>31</v>
      </c>
      <c r="D753" s="7"/>
      <c r="E753" s="97">
        <v>25000</v>
      </c>
    </row>
    <row r="754" spans="1:5" ht="15.6" x14ac:dyDescent="0.3">
      <c r="A754" s="95">
        <v>750</v>
      </c>
      <c r="B754" s="25">
        <v>43725</v>
      </c>
      <c r="C754" s="105" t="s">
        <v>160</v>
      </c>
      <c r="D754" s="12">
        <v>50000</v>
      </c>
      <c r="E754" s="97"/>
    </row>
    <row r="755" spans="1:5" ht="15.6" x14ac:dyDescent="0.3">
      <c r="A755" s="95">
        <v>751</v>
      </c>
      <c r="B755" s="25">
        <v>43725</v>
      </c>
      <c r="C755" s="100" t="s">
        <v>31</v>
      </c>
      <c r="D755" s="7"/>
      <c r="E755" s="97">
        <v>50000</v>
      </c>
    </row>
    <row r="756" spans="1:5" ht="15.6" x14ac:dyDescent="0.3">
      <c r="A756" s="95">
        <v>752</v>
      </c>
      <c r="B756" s="25">
        <v>43725</v>
      </c>
      <c r="C756" s="100" t="s">
        <v>119</v>
      </c>
      <c r="D756" s="7"/>
      <c r="E756" s="97">
        <v>70</v>
      </c>
    </row>
    <row r="757" spans="1:5" ht="15.6" x14ac:dyDescent="0.3">
      <c r="A757" s="95">
        <v>753</v>
      </c>
      <c r="B757" s="25">
        <v>43726</v>
      </c>
      <c r="C757" s="100" t="s">
        <v>31</v>
      </c>
      <c r="D757" s="7"/>
      <c r="E757" s="97">
        <v>10000</v>
      </c>
    </row>
    <row r="758" spans="1:5" ht="15.6" x14ac:dyDescent="0.3">
      <c r="A758" s="95">
        <v>754</v>
      </c>
      <c r="B758" s="25">
        <v>43728</v>
      </c>
      <c r="C758" s="100" t="s">
        <v>113</v>
      </c>
      <c r="D758" s="7"/>
      <c r="E758" s="97">
        <v>30000</v>
      </c>
    </row>
    <row r="759" spans="1:5" ht="15.6" x14ac:dyDescent="0.3">
      <c r="A759" s="95">
        <v>755</v>
      </c>
      <c r="B759" s="25">
        <v>43729</v>
      </c>
      <c r="C759" s="99" t="s">
        <v>200</v>
      </c>
      <c r="D759" s="7"/>
      <c r="E759" s="97">
        <v>2000</v>
      </c>
    </row>
    <row r="760" spans="1:5" ht="15.6" x14ac:dyDescent="0.3">
      <c r="A760" s="95">
        <v>756</v>
      </c>
      <c r="B760" s="25">
        <v>43729</v>
      </c>
      <c r="C760" s="105" t="s">
        <v>160</v>
      </c>
      <c r="D760" s="12">
        <v>50000</v>
      </c>
      <c r="E760" s="97"/>
    </row>
    <row r="761" spans="1:5" ht="15.6" x14ac:dyDescent="0.3">
      <c r="A761" s="95">
        <v>757</v>
      </c>
      <c r="B761" s="25">
        <v>43729</v>
      </c>
      <c r="C761" s="100" t="s">
        <v>31</v>
      </c>
      <c r="D761" s="7"/>
      <c r="E761" s="97">
        <v>30000</v>
      </c>
    </row>
    <row r="762" spans="1:5" ht="15.6" x14ac:dyDescent="0.3">
      <c r="A762" s="95">
        <v>758</v>
      </c>
      <c r="B762" s="25">
        <v>43731</v>
      </c>
      <c r="C762" s="100" t="s">
        <v>31</v>
      </c>
      <c r="D762" s="7"/>
      <c r="E762" s="97">
        <v>15000</v>
      </c>
    </row>
    <row r="763" spans="1:5" ht="15.6" x14ac:dyDescent="0.3">
      <c r="A763" s="95">
        <v>759</v>
      </c>
      <c r="B763" s="25">
        <v>43731</v>
      </c>
      <c r="C763" s="100" t="s">
        <v>248</v>
      </c>
      <c r="D763" s="7"/>
      <c r="E763" s="97">
        <v>5000</v>
      </c>
    </row>
    <row r="764" spans="1:5" ht="15.6" x14ac:dyDescent="0.3">
      <c r="A764" s="95">
        <v>760</v>
      </c>
      <c r="B764" s="25">
        <v>43731</v>
      </c>
      <c r="C764" s="100" t="s">
        <v>119</v>
      </c>
      <c r="D764" s="7"/>
      <c r="E764" s="97">
        <v>70</v>
      </c>
    </row>
    <row r="765" spans="1:5" ht="15.6" x14ac:dyDescent="0.3">
      <c r="A765" s="95">
        <v>761</v>
      </c>
      <c r="B765" s="25">
        <v>43731</v>
      </c>
      <c r="C765" s="100" t="s">
        <v>42</v>
      </c>
      <c r="D765" s="7"/>
      <c r="E765" s="97">
        <v>100</v>
      </c>
    </row>
    <row r="766" spans="1:5" ht="15.6" x14ac:dyDescent="0.3">
      <c r="A766" s="95">
        <v>762</v>
      </c>
      <c r="B766" s="25">
        <v>43733</v>
      </c>
      <c r="C766" s="100" t="s">
        <v>248</v>
      </c>
      <c r="D766" s="7"/>
      <c r="E766" s="97">
        <v>10000</v>
      </c>
    </row>
    <row r="767" spans="1:5" ht="15.6" x14ac:dyDescent="0.3">
      <c r="A767" s="95">
        <v>763</v>
      </c>
      <c r="B767" s="25">
        <v>43733</v>
      </c>
      <c r="C767" s="105" t="s">
        <v>160</v>
      </c>
      <c r="D767" s="12">
        <v>100000</v>
      </c>
      <c r="E767" s="97"/>
    </row>
    <row r="768" spans="1:5" ht="15.6" x14ac:dyDescent="0.3">
      <c r="A768" s="95">
        <v>764</v>
      </c>
      <c r="B768" s="25">
        <v>43734</v>
      </c>
      <c r="C768" s="100" t="s">
        <v>31</v>
      </c>
      <c r="D768" s="7"/>
      <c r="E768" s="97">
        <v>80000</v>
      </c>
    </row>
    <row r="769" spans="1:5" ht="15.6" x14ac:dyDescent="0.3">
      <c r="A769" s="95">
        <v>765</v>
      </c>
      <c r="B769" s="25">
        <v>43734</v>
      </c>
      <c r="C769" s="100" t="s">
        <v>113</v>
      </c>
      <c r="D769" s="7"/>
      <c r="E769" s="97">
        <v>20000</v>
      </c>
    </row>
    <row r="770" spans="1:5" ht="15.6" x14ac:dyDescent="0.3">
      <c r="A770" s="95">
        <v>766</v>
      </c>
      <c r="B770" s="25">
        <v>43736</v>
      </c>
      <c r="C770" s="100" t="s">
        <v>248</v>
      </c>
      <c r="D770" s="7"/>
      <c r="E770" s="97">
        <v>5000</v>
      </c>
    </row>
    <row r="771" spans="1:5" ht="15.6" x14ac:dyDescent="0.3">
      <c r="A771" s="95">
        <v>767</v>
      </c>
      <c r="B771" s="25">
        <v>43736</v>
      </c>
      <c r="C771" s="105" t="s">
        <v>160</v>
      </c>
      <c r="D771" s="12">
        <v>120000</v>
      </c>
      <c r="E771" s="97"/>
    </row>
    <row r="772" spans="1:5" ht="15.6" x14ac:dyDescent="0.3">
      <c r="A772" s="95">
        <v>768</v>
      </c>
      <c r="B772" s="25">
        <v>43736</v>
      </c>
      <c r="C772" s="100" t="s">
        <v>31</v>
      </c>
      <c r="D772" s="7"/>
      <c r="E772" s="97">
        <v>10000</v>
      </c>
    </row>
    <row r="773" spans="1:5" ht="15.6" x14ac:dyDescent="0.3">
      <c r="A773" s="95">
        <v>769</v>
      </c>
      <c r="B773" s="25">
        <v>43739</v>
      </c>
      <c r="C773" s="100" t="s">
        <v>31</v>
      </c>
      <c r="D773" s="7"/>
      <c r="E773" s="97">
        <v>30000</v>
      </c>
    </row>
    <row r="774" spans="1:5" ht="15.6" x14ac:dyDescent="0.3">
      <c r="A774" s="95">
        <v>770</v>
      </c>
      <c r="B774" s="25">
        <v>43739</v>
      </c>
      <c r="C774" s="99" t="s">
        <v>200</v>
      </c>
      <c r="D774" s="7"/>
      <c r="E774" s="97">
        <v>1000</v>
      </c>
    </row>
    <row r="775" spans="1:5" ht="15.6" x14ac:dyDescent="0.3">
      <c r="A775" s="95">
        <v>771</v>
      </c>
      <c r="B775" s="25">
        <v>43739</v>
      </c>
      <c r="C775" s="100" t="s">
        <v>113</v>
      </c>
      <c r="D775" s="7"/>
      <c r="E775" s="97">
        <v>2000</v>
      </c>
    </row>
    <row r="776" spans="1:5" ht="15.6" x14ac:dyDescent="0.3">
      <c r="A776" s="95">
        <v>772</v>
      </c>
      <c r="B776" s="25">
        <v>43740</v>
      </c>
      <c r="C776" s="100" t="s">
        <v>42</v>
      </c>
      <c r="D776" s="7"/>
      <c r="E776" s="97">
        <v>200</v>
      </c>
    </row>
    <row r="777" spans="1:5" ht="15.6" x14ac:dyDescent="0.3">
      <c r="A777" s="95">
        <v>773</v>
      </c>
      <c r="B777" s="25">
        <v>43740</v>
      </c>
      <c r="C777" s="100" t="s">
        <v>248</v>
      </c>
      <c r="D777" s="7"/>
      <c r="E777" s="97">
        <v>6000</v>
      </c>
    </row>
    <row r="778" spans="1:5" ht="15.6" x14ac:dyDescent="0.3">
      <c r="A778" s="95">
        <v>774</v>
      </c>
      <c r="B778" s="25">
        <v>43740</v>
      </c>
      <c r="C778" s="100" t="s">
        <v>102</v>
      </c>
      <c r="D778" s="7"/>
      <c r="E778" s="97">
        <v>1000</v>
      </c>
    </row>
    <row r="779" spans="1:5" ht="15.6" x14ac:dyDescent="0.3">
      <c r="A779" s="95">
        <v>775</v>
      </c>
      <c r="B779" s="25">
        <v>43740</v>
      </c>
      <c r="C779" s="105" t="s">
        <v>160</v>
      </c>
      <c r="D779" s="12">
        <v>50000</v>
      </c>
      <c r="E779" s="97"/>
    </row>
    <row r="780" spans="1:5" ht="15.6" x14ac:dyDescent="0.3">
      <c r="A780" s="95">
        <v>776</v>
      </c>
      <c r="B780" s="25">
        <v>43740</v>
      </c>
      <c r="C780" s="100" t="s">
        <v>119</v>
      </c>
      <c r="D780" s="7"/>
      <c r="E780" s="97">
        <v>70</v>
      </c>
    </row>
    <row r="781" spans="1:5" ht="15.6" x14ac:dyDescent="0.3">
      <c r="A781" s="95">
        <v>777</v>
      </c>
      <c r="B781" s="25">
        <v>43740</v>
      </c>
      <c r="C781" s="104" t="s">
        <v>227</v>
      </c>
      <c r="D781" s="7"/>
      <c r="E781" s="97">
        <v>23000</v>
      </c>
    </row>
    <row r="782" spans="1:5" ht="15.6" x14ac:dyDescent="0.3">
      <c r="A782" s="95">
        <v>778</v>
      </c>
      <c r="B782" s="25">
        <v>43745</v>
      </c>
      <c r="C782" s="105" t="s">
        <v>160</v>
      </c>
      <c r="D782" s="12">
        <v>30000</v>
      </c>
      <c r="E782" s="97"/>
    </row>
    <row r="783" spans="1:5" ht="15.6" x14ac:dyDescent="0.3">
      <c r="A783" s="95">
        <v>779</v>
      </c>
      <c r="B783" s="25">
        <v>43745</v>
      </c>
      <c r="C783" s="100" t="s">
        <v>31</v>
      </c>
      <c r="D783" s="7"/>
      <c r="E783" s="97">
        <v>30000</v>
      </c>
    </row>
    <row r="784" spans="1:5" ht="15.6" x14ac:dyDescent="0.3">
      <c r="A784" s="95">
        <v>780</v>
      </c>
      <c r="B784" s="25">
        <v>43745</v>
      </c>
      <c r="C784" s="99" t="s">
        <v>200</v>
      </c>
      <c r="D784" s="7"/>
      <c r="E784" s="97">
        <v>1000</v>
      </c>
    </row>
    <row r="785" spans="1:5" ht="15.6" x14ac:dyDescent="0.3">
      <c r="A785" s="95">
        <v>781</v>
      </c>
      <c r="B785" s="25">
        <v>43745</v>
      </c>
      <c r="C785" s="99" t="s">
        <v>246</v>
      </c>
      <c r="D785" s="7"/>
      <c r="E785" s="97">
        <v>14100</v>
      </c>
    </row>
    <row r="786" spans="1:5" ht="15.6" x14ac:dyDescent="0.3">
      <c r="A786" s="95">
        <v>782</v>
      </c>
      <c r="B786" s="25">
        <v>43746</v>
      </c>
      <c r="C786" s="99" t="s">
        <v>249</v>
      </c>
      <c r="D786" s="7"/>
      <c r="E786" s="97">
        <v>18150</v>
      </c>
    </row>
    <row r="787" spans="1:5" ht="15.6" x14ac:dyDescent="0.3">
      <c r="A787" s="95">
        <v>783</v>
      </c>
      <c r="B787" s="25">
        <v>43746</v>
      </c>
      <c r="C787" s="105" t="s">
        <v>160</v>
      </c>
      <c r="D787" s="12">
        <v>100000</v>
      </c>
      <c r="E787" s="97"/>
    </row>
    <row r="788" spans="1:5" ht="15.6" x14ac:dyDescent="0.3">
      <c r="A788" s="95">
        <v>784</v>
      </c>
      <c r="B788" s="25">
        <v>43746</v>
      </c>
      <c r="C788" s="100" t="s">
        <v>31</v>
      </c>
      <c r="D788" s="7"/>
      <c r="E788" s="97">
        <v>80000</v>
      </c>
    </row>
    <row r="789" spans="1:5" ht="15.6" x14ac:dyDescent="0.3">
      <c r="A789" s="95">
        <v>785</v>
      </c>
      <c r="B789" s="25">
        <v>43749</v>
      </c>
      <c r="C789" s="100" t="s">
        <v>248</v>
      </c>
      <c r="D789" s="7"/>
      <c r="E789" s="97">
        <v>10000</v>
      </c>
    </row>
    <row r="790" spans="1:5" ht="15.6" x14ac:dyDescent="0.3">
      <c r="A790" s="95">
        <v>786</v>
      </c>
      <c r="B790" s="25">
        <v>43749</v>
      </c>
      <c r="C790" s="100" t="s">
        <v>250</v>
      </c>
      <c r="D790" s="7"/>
      <c r="E790" s="97">
        <v>750</v>
      </c>
    </row>
    <row r="791" spans="1:5" ht="15.6" x14ac:dyDescent="0.3">
      <c r="A791" s="95">
        <v>787</v>
      </c>
      <c r="B791" s="25">
        <v>43749</v>
      </c>
      <c r="C791" s="100" t="s">
        <v>251</v>
      </c>
      <c r="D791" s="7"/>
      <c r="E791" s="97">
        <v>2300</v>
      </c>
    </row>
    <row r="792" spans="1:5" ht="15.6" x14ac:dyDescent="0.3">
      <c r="A792" s="95">
        <v>788</v>
      </c>
      <c r="B792" s="25">
        <v>43749</v>
      </c>
      <c r="C792" s="99" t="s">
        <v>200</v>
      </c>
      <c r="D792" s="7"/>
      <c r="E792" s="97">
        <v>2000</v>
      </c>
    </row>
    <row r="793" spans="1:5" ht="15.6" x14ac:dyDescent="0.3">
      <c r="A793" s="95">
        <v>789</v>
      </c>
      <c r="B793" s="25">
        <v>43749</v>
      </c>
      <c r="C793" s="100" t="s">
        <v>42</v>
      </c>
      <c r="D793" s="7"/>
      <c r="E793" s="97">
        <v>50</v>
      </c>
    </row>
    <row r="794" spans="1:5" ht="15.6" x14ac:dyDescent="0.3">
      <c r="A794" s="95">
        <v>790</v>
      </c>
      <c r="B794" s="25">
        <v>43751</v>
      </c>
      <c r="C794" s="105" t="s">
        <v>160</v>
      </c>
      <c r="D794" s="12">
        <v>100000</v>
      </c>
      <c r="E794" s="97"/>
    </row>
    <row r="795" spans="1:5" ht="15.6" x14ac:dyDescent="0.3">
      <c r="A795" s="95">
        <v>791</v>
      </c>
      <c r="B795" s="25">
        <v>43751</v>
      </c>
      <c r="C795" s="100" t="s">
        <v>248</v>
      </c>
      <c r="D795" s="7"/>
      <c r="E795" s="97">
        <v>500</v>
      </c>
    </row>
    <row r="796" spans="1:5" ht="15.6" x14ac:dyDescent="0.3">
      <c r="A796" s="95">
        <v>792</v>
      </c>
      <c r="B796" s="25">
        <v>43751</v>
      </c>
      <c r="C796" s="100" t="s">
        <v>31</v>
      </c>
      <c r="D796" s="7"/>
      <c r="E796" s="97">
        <v>30000</v>
      </c>
    </row>
    <row r="797" spans="1:5" ht="15.6" x14ac:dyDescent="0.3">
      <c r="A797" s="95">
        <v>793</v>
      </c>
      <c r="B797" s="25">
        <v>43751</v>
      </c>
      <c r="C797" s="100" t="s">
        <v>113</v>
      </c>
      <c r="D797" s="7"/>
      <c r="E797" s="97">
        <v>50000</v>
      </c>
    </row>
    <row r="798" spans="1:5" ht="15.6" x14ac:dyDescent="0.3">
      <c r="A798" s="95">
        <v>794</v>
      </c>
      <c r="B798" s="25">
        <v>43751</v>
      </c>
      <c r="C798" s="99" t="s">
        <v>200</v>
      </c>
      <c r="D798" s="7"/>
      <c r="E798" s="97">
        <v>1000</v>
      </c>
    </row>
    <row r="799" spans="1:5" ht="15.6" x14ac:dyDescent="0.3">
      <c r="A799" s="95">
        <v>795</v>
      </c>
      <c r="B799" s="25">
        <v>43753</v>
      </c>
      <c r="C799" s="99" t="s">
        <v>252</v>
      </c>
      <c r="D799" s="7"/>
      <c r="E799" s="97">
        <v>100000</v>
      </c>
    </row>
    <row r="800" spans="1:5" ht="15.6" x14ac:dyDescent="0.3">
      <c r="A800" s="95">
        <v>796</v>
      </c>
      <c r="B800" s="25">
        <v>43754</v>
      </c>
      <c r="C800" s="105" t="s">
        <v>253</v>
      </c>
      <c r="D800" s="12">
        <v>175000</v>
      </c>
      <c r="E800" s="97"/>
    </row>
    <row r="801" spans="1:5" ht="15.6" x14ac:dyDescent="0.3">
      <c r="A801" s="95">
        <v>797</v>
      </c>
      <c r="B801" s="25">
        <v>43754</v>
      </c>
      <c r="C801" s="105" t="s">
        <v>160</v>
      </c>
      <c r="D801" s="12">
        <v>25000</v>
      </c>
      <c r="E801" s="97"/>
    </row>
    <row r="802" spans="1:5" ht="15.6" x14ac:dyDescent="0.3">
      <c r="A802" s="95">
        <v>798</v>
      </c>
      <c r="B802" s="25">
        <v>43754</v>
      </c>
      <c r="C802" s="100" t="s">
        <v>254</v>
      </c>
      <c r="D802" s="7"/>
      <c r="E802" s="97">
        <v>60000</v>
      </c>
    </row>
    <row r="803" spans="1:5" ht="15.6" x14ac:dyDescent="0.3">
      <c r="A803" s="95">
        <v>799</v>
      </c>
      <c r="B803" s="25">
        <v>43755</v>
      </c>
      <c r="C803" s="100" t="s">
        <v>31</v>
      </c>
      <c r="D803" s="7"/>
      <c r="E803" s="97">
        <v>50000</v>
      </c>
    </row>
    <row r="804" spans="1:5" ht="15.6" x14ac:dyDescent="0.3">
      <c r="A804" s="95">
        <v>800</v>
      </c>
      <c r="B804" s="25">
        <v>43756</v>
      </c>
      <c r="C804" s="99" t="s">
        <v>200</v>
      </c>
      <c r="D804" s="7"/>
      <c r="E804" s="97">
        <v>5000</v>
      </c>
    </row>
    <row r="805" spans="1:5" ht="15.6" x14ac:dyDescent="0.3">
      <c r="A805" s="95">
        <v>801</v>
      </c>
      <c r="B805" s="25">
        <v>43757</v>
      </c>
      <c r="C805" s="100" t="s">
        <v>31</v>
      </c>
      <c r="D805" s="7"/>
      <c r="E805" s="97">
        <v>40000</v>
      </c>
    </row>
    <row r="806" spans="1:5" ht="15.6" x14ac:dyDescent="0.3">
      <c r="A806" s="95">
        <v>802</v>
      </c>
      <c r="B806" s="25">
        <v>43757</v>
      </c>
      <c r="C806" s="100" t="s">
        <v>248</v>
      </c>
      <c r="D806" s="7"/>
      <c r="E806" s="97">
        <v>1000</v>
      </c>
    </row>
    <row r="807" spans="1:5" ht="15.6" x14ac:dyDescent="0.3">
      <c r="A807" s="95">
        <v>803</v>
      </c>
      <c r="B807" s="25">
        <v>43758</v>
      </c>
      <c r="C807" s="100" t="s">
        <v>255</v>
      </c>
      <c r="D807" s="7"/>
      <c r="E807" s="97">
        <v>500</v>
      </c>
    </row>
    <row r="808" spans="1:5" ht="15.6" x14ac:dyDescent="0.3">
      <c r="A808" s="95">
        <v>804</v>
      </c>
      <c r="B808" s="25">
        <v>43758</v>
      </c>
      <c r="C808" s="100" t="s">
        <v>113</v>
      </c>
      <c r="D808" s="7"/>
      <c r="E808" s="97">
        <v>45100</v>
      </c>
    </row>
    <row r="809" spans="1:5" ht="15.6" x14ac:dyDescent="0.3">
      <c r="A809" s="95">
        <v>805</v>
      </c>
      <c r="B809" s="25">
        <v>43758</v>
      </c>
      <c r="C809" s="109" t="s">
        <v>50</v>
      </c>
      <c r="D809" s="7"/>
      <c r="E809" s="97">
        <v>10200</v>
      </c>
    </row>
    <row r="810" spans="1:5" ht="15.6" x14ac:dyDescent="0.3">
      <c r="A810" s="95">
        <v>806</v>
      </c>
      <c r="B810" s="25">
        <v>43758</v>
      </c>
      <c r="C810" s="100" t="s">
        <v>31</v>
      </c>
      <c r="D810" s="7"/>
      <c r="E810" s="97">
        <v>20000</v>
      </c>
    </row>
    <row r="811" spans="1:5" ht="15.6" x14ac:dyDescent="0.3">
      <c r="A811" s="95">
        <v>807</v>
      </c>
      <c r="B811" s="25">
        <v>43759</v>
      </c>
      <c r="C811" s="100" t="s">
        <v>31</v>
      </c>
      <c r="D811" s="7"/>
      <c r="E811" s="97">
        <v>15000</v>
      </c>
    </row>
    <row r="812" spans="1:5" ht="15.6" x14ac:dyDescent="0.3">
      <c r="A812" s="95">
        <v>808</v>
      </c>
      <c r="B812" s="25">
        <v>43760</v>
      </c>
      <c r="C812" s="100" t="s">
        <v>256</v>
      </c>
      <c r="D812" s="7"/>
      <c r="E812" s="97">
        <v>2442</v>
      </c>
    </row>
    <row r="813" spans="1:5" ht="15.6" x14ac:dyDescent="0.3">
      <c r="A813" s="95">
        <v>809</v>
      </c>
      <c r="B813" s="25">
        <v>43760</v>
      </c>
      <c r="C813" s="100" t="s">
        <v>255</v>
      </c>
      <c r="D813" s="7"/>
      <c r="E813" s="97">
        <v>1000</v>
      </c>
    </row>
    <row r="814" spans="1:5" ht="15.6" x14ac:dyDescent="0.3">
      <c r="A814" s="95">
        <v>810</v>
      </c>
      <c r="B814" s="25">
        <v>43762</v>
      </c>
      <c r="C814" s="99" t="s">
        <v>200</v>
      </c>
      <c r="D814" s="7"/>
      <c r="E814" s="97">
        <v>1000</v>
      </c>
    </row>
    <row r="815" spans="1:5" ht="15.6" x14ac:dyDescent="0.3">
      <c r="A815" s="95">
        <v>811</v>
      </c>
      <c r="B815" s="25">
        <v>43762</v>
      </c>
      <c r="C815" s="100" t="s">
        <v>119</v>
      </c>
      <c r="D815" s="7"/>
      <c r="E815" s="97">
        <v>120</v>
      </c>
    </row>
    <row r="816" spans="1:5" ht="15.6" x14ac:dyDescent="0.3">
      <c r="A816" s="95">
        <v>812</v>
      </c>
      <c r="B816" s="25">
        <v>43762</v>
      </c>
      <c r="C816" s="100" t="s">
        <v>42</v>
      </c>
      <c r="D816" s="7"/>
      <c r="E816" s="97">
        <v>50</v>
      </c>
    </row>
    <row r="817" spans="1:5" ht="15.6" x14ac:dyDescent="0.3">
      <c r="A817" s="95">
        <v>813</v>
      </c>
      <c r="B817" s="25">
        <v>43762</v>
      </c>
      <c r="C817" s="100" t="s">
        <v>257</v>
      </c>
      <c r="D817" s="7"/>
      <c r="E817" s="97">
        <v>500</v>
      </c>
    </row>
    <row r="818" spans="1:5" ht="15.6" x14ac:dyDescent="0.3">
      <c r="A818" s="95">
        <v>814</v>
      </c>
      <c r="B818" s="25">
        <v>43762</v>
      </c>
      <c r="C818" s="100" t="s">
        <v>255</v>
      </c>
      <c r="D818" s="7"/>
      <c r="E818" s="97">
        <v>1000</v>
      </c>
    </row>
    <row r="819" spans="1:5" ht="15.6" x14ac:dyDescent="0.3">
      <c r="A819" s="95">
        <v>815</v>
      </c>
      <c r="B819" s="25">
        <v>43762</v>
      </c>
      <c r="C819" s="100" t="s">
        <v>258</v>
      </c>
      <c r="D819" s="7"/>
      <c r="E819" s="97">
        <v>560</v>
      </c>
    </row>
    <row r="820" spans="1:5" ht="15.6" x14ac:dyDescent="0.3">
      <c r="A820" s="95">
        <v>816</v>
      </c>
      <c r="B820" s="25">
        <v>43763</v>
      </c>
      <c r="C820" s="100" t="s">
        <v>259</v>
      </c>
      <c r="D820" s="7"/>
      <c r="E820" s="97">
        <v>500</v>
      </c>
    </row>
    <row r="821" spans="1:5" ht="15.6" x14ac:dyDescent="0.3">
      <c r="A821" s="95">
        <v>817</v>
      </c>
      <c r="B821" s="25">
        <v>43763</v>
      </c>
      <c r="C821" s="100" t="s">
        <v>260</v>
      </c>
      <c r="D821" s="7"/>
      <c r="E821" s="97">
        <v>90</v>
      </c>
    </row>
    <row r="822" spans="1:5" ht="15.6" x14ac:dyDescent="0.3">
      <c r="A822" s="95">
        <v>818</v>
      </c>
      <c r="B822" s="25">
        <v>43763</v>
      </c>
      <c r="C822" s="100" t="s">
        <v>42</v>
      </c>
      <c r="D822" s="7"/>
      <c r="E822" s="97">
        <v>60</v>
      </c>
    </row>
    <row r="823" spans="1:5" ht="15.6" x14ac:dyDescent="0.3">
      <c r="A823" s="95">
        <v>819</v>
      </c>
      <c r="B823" s="25">
        <v>43765</v>
      </c>
      <c r="C823" s="100" t="s">
        <v>255</v>
      </c>
      <c r="D823" s="7"/>
      <c r="E823" s="97">
        <v>1000</v>
      </c>
    </row>
    <row r="824" spans="1:5" ht="15.6" x14ac:dyDescent="0.3">
      <c r="A824" s="95">
        <v>820</v>
      </c>
      <c r="B824" s="25">
        <v>43765</v>
      </c>
      <c r="C824" s="99" t="s">
        <v>200</v>
      </c>
      <c r="D824" s="7"/>
      <c r="E824" s="97">
        <v>1000</v>
      </c>
    </row>
    <row r="825" spans="1:5" ht="15.6" x14ac:dyDescent="0.3">
      <c r="A825" s="95">
        <v>821</v>
      </c>
      <c r="B825" s="25">
        <v>43765</v>
      </c>
      <c r="C825" s="100" t="s">
        <v>259</v>
      </c>
      <c r="D825" s="7"/>
      <c r="E825" s="97">
        <v>1000</v>
      </c>
    </row>
    <row r="826" spans="1:5" ht="15.6" x14ac:dyDescent="0.3">
      <c r="A826" s="95">
        <v>822</v>
      </c>
      <c r="B826" s="25">
        <v>43765</v>
      </c>
      <c r="C826" s="100" t="s">
        <v>261</v>
      </c>
      <c r="D826" s="7"/>
      <c r="E826" s="97">
        <v>1000</v>
      </c>
    </row>
    <row r="827" spans="1:5" ht="15.6" x14ac:dyDescent="0.3">
      <c r="A827" s="95">
        <v>823</v>
      </c>
      <c r="B827" s="25">
        <v>43765</v>
      </c>
      <c r="C827" s="100" t="s">
        <v>42</v>
      </c>
      <c r="D827" s="7"/>
      <c r="E827" s="97">
        <v>80</v>
      </c>
    </row>
    <row r="828" spans="1:5" ht="15.6" x14ac:dyDescent="0.3">
      <c r="A828" s="95">
        <v>824</v>
      </c>
      <c r="B828" s="25">
        <v>43765</v>
      </c>
      <c r="C828" s="100" t="s">
        <v>250</v>
      </c>
      <c r="D828" s="7"/>
      <c r="E828" s="97">
        <v>300</v>
      </c>
    </row>
    <row r="829" spans="1:5" ht="15.6" x14ac:dyDescent="0.3">
      <c r="A829" s="95">
        <v>825</v>
      </c>
      <c r="B829" s="25">
        <v>43766</v>
      </c>
      <c r="C829" s="100" t="s">
        <v>261</v>
      </c>
      <c r="D829" s="7"/>
      <c r="E829" s="97">
        <v>2000</v>
      </c>
    </row>
    <row r="830" spans="1:5" ht="15.6" x14ac:dyDescent="0.3">
      <c r="A830" s="95">
        <v>826</v>
      </c>
      <c r="B830" s="25">
        <v>43766</v>
      </c>
      <c r="C830" s="105" t="s">
        <v>160</v>
      </c>
      <c r="D830" s="12">
        <v>100000</v>
      </c>
      <c r="E830" s="97"/>
    </row>
    <row r="831" spans="1:5" ht="15.6" x14ac:dyDescent="0.3">
      <c r="A831" s="95">
        <v>827</v>
      </c>
      <c r="B831" s="25">
        <v>43766</v>
      </c>
      <c r="C831" s="100" t="s">
        <v>113</v>
      </c>
      <c r="D831" s="7"/>
      <c r="E831" s="97">
        <v>25000</v>
      </c>
    </row>
    <row r="832" spans="1:5" ht="15.6" x14ac:dyDescent="0.3">
      <c r="A832" s="95">
        <v>828</v>
      </c>
      <c r="B832" s="25">
        <v>43766</v>
      </c>
      <c r="C832" s="100" t="s">
        <v>31</v>
      </c>
      <c r="D832" s="7"/>
      <c r="E832" s="97">
        <v>20000</v>
      </c>
    </row>
    <row r="833" spans="1:5" ht="15.6" x14ac:dyDescent="0.3">
      <c r="A833" s="95">
        <v>829</v>
      </c>
      <c r="B833" s="25">
        <v>43766</v>
      </c>
      <c r="C833" s="100" t="s">
        <v>257</v>
      </c>
      <c r="D833" s="7"/>
      <c r="E833" s="97">
        <v>3000</v>
      </c>
    </row>
    <row r="834" spans="1:5" ht="15.6" x14ac:dyDescent="0.3">
      <c r="A834" s="95">
        <v>830</v>
      </c>
      <c r="B834" s="25">
        <v>43768</v>
      </c>
      <c r="C834" s="100" t="s">
        <v>255</v>
      </c>
      <c r="D834" s="7"/>
      <c r="E834" s="97">
        <v>2000</v>
      </c>
    </row>
    <row r="835" spans="1:5" ht="15.6" x14ac:dyDescent="0.3">
      <c r="A835" s="95">
        <v>831</v>
      </c>
      <c r="B835" s="25">
        <v>43768</v>
      </c>
      <c r="C835" s="100" t="s">
        <v>261</v>
      </c>
      <c r="D835" s="7"/>
      <c r="E835" s="97">
        <v>3000</v>
      </c>
    </row>
    <row r="836" spans="1:5" ht="15.6" x14ac:dyDescent="0.3">
      <c r="A836" s="95">
        <v>832</v>
      </c>
      <c r="B836" s="25">
        <v>43768</v>
      </c>
      <c r="C836" s="100" t="s">
        <v>31</v>
      </c>
      <c r="D836" s="7"/>
      <c r="E836" s="97">
        <v>40000</v>
      </c>
    </row>
    <row r="837" spans="1:5" ht="15.6" x14ac:dyDescent="0.3">
      <c r="A837" s="95">
        <v>833</v>
      </c>
      <c r="B837" s="25">
        <v>43768</v>
      </c>
      <c r="C837" s="105" t="s">
        <v>160</v>
      </c>
      <c r="D837" s="12">
        <v>100000</v>
      </c>
      <c r="E837" s="97"/>
    </row>
    <row r="838" spans="1:5" ht="15.6" x14ac:dyDescent="0.3">
      <c r="A838" s="95">
        <v>834</v>
      </c>
      <c r="B838" s="25">
        <v>43768</v>
      </c>
      <c r="C838" s="100" t="s">
        <v>259</v>
      </c>
      <c r="D838" s="7"/>
      <c r="E838" s="97">
        <v>50000</v>
      </c>
    </row>
    <row r="839" spans="1:5" ht="15.6" x14ac:dyDescent="0.3">
      <c r="A839" s="95">
        <v>835</v>
      </c>
      <c r="B839" s="25">
        <v>43769</v>
      </c>
      <c r="C839" s="100" t="s">
        <v>261</v>
      </c>
      <c r="D839" s="7"/>
      <c r="E839" s="97">
        <v>2000</v>
      </c>
    </row>
    <row r="840" spans="1:5" ht="15.6" x14ac:dyDescent="0.3">
      <c r="A840" s="95">
        <v>836</v>
      </c>
      <c r="B840" s="25">
        <v>43771</v>
      </c>
      <c r="C840" s="100" t="s">
        <v>248</v>
      </c>
      <c r="D840" s="7"/>
      <c r="E840" s="97">
        <v>1000</v>
      </c>
    </row>
    <row r="841" spans="1:5" ht="15.6" x14ac:dyDescent="0.3">
      <c r="A841" s="95">
        <v>837</v>
      </c>
      <c r="B841" s="25">
        <v>43771</v>
      </c>
      <c r="C841" s="100" t="s">
        <v>261</v>
      </c>
      <c r="D841" s="7"/>
      <c r="E841" s="97">
        <v>1500</v>
      </c>
    </row>
    <row r="842" spans="1:5" ht="15.6" x14ac:dyDescent="0.3">
      <c r="A842" s="95">
        <v>838</v>
      </c>
      <c r="B842" s="25">
        <v>43771</v>
      </c>
      <c r="C842" s="99" t="s">
        <v>262</v>
      </c>
      <c r="D842" s="7"/>
      <c r="E842" s="97">
        <v>17450</v>
      </c>
    </row>
    <row r="843" spans="1:5" ht="15.6" x14ac:dyDescent="0.3">
      <c r="A843" s="95">
        <v>839</v>
      </c>
      <c r="B843" s="25">
        <v>43771</v>
      </c>
      <c r="C843" s="99" t="s">
        <v>263</v>
      </c>
      <c r="D843" s="7"/>
      <c r="E843" s="97">
        <v>3500</v>
      </c>
    </row>
    <row r="844" spans="1:5" ht="15.6" x14ac:dyDescent="0.3">
      <c r="A844" s="95">
        <v>840</v>
      </c>
      <c r="B844" s="25">
        <v>43771</v>
      </c>
      <c r="C844" s="100" t="s">
        <v>31</v>
      </c>
      <c r="D844" s="7"/>
      <c r="E844" s="97">
        <v>10000</v>
      </c>
    </row>
    <row r="845" spans="1:5" ht="15.6" x14ac:dyDescent="0.3">
      <c r="A845" s="95">
        <v>841</v>
      </c>
      <c r="B845" s="25">
        <v>43773</v>
      </c>
      <c r="C845" s="100" t="s">
        <v>264</v>
      </c>
      <c r="D845" s="7"/>
      <c r="E845" s="97">
        <v>15050</v>
      </c>
    </row>
    <row r="846" spans="1:5" ht="15.6" x14ac:dyDescent="0.3">
      <c r="A846" s="95">
        <v>842</v>
      </c>
      <c r="B846" s="25">
        <v>43774</v>
      </c>
      <c r="C846" s="100" t="s">
        <v>248</v>
      </c>
      <c r="D846" s="7"/>
      <c r="E846" s="97">
        <v>500</v>
      </c>
    </row>
    <row r="847" spans="1:5" ht="15.6" x14ac:dyDescent="0.3">
      <c r="A847" s="95">
        <v>843</v>
      </c>
      <c r="B847" s="25">
        <v>43774</v>
      </c>
      <c r="C847" s="100" t="s">
        <v>261</v>
      </c>
      <c r="D847" s="7"/>
      <c r="E847" s="97">
        <v>1500</v>
      </c>
    </row>
    <row r="848" spans="1:5" ht="15.6" x14ac:dyDescent="0.3">
      <c r="A848" s="95">
        <v>844</v>
      </c>
      <c r="B848" s="25">
        <v>43774</v>
      </c>
      <c r="C848" s="100" t="s">
        <v>42</v>
      </c>
      <c r="D848" s="7"/>
      <c r="E848" s="97">
        <v>90</v>
      </c>
    </row>
    <row r="849" spans="1:5" ht="15.6" x14ac:dyDescent="0.3">
      <c r="A849" s="95">
        <v>845</v>
      </c>
      <c r="B849" s="25">
        <v>43774</v>
      </c>
      <c r="C849" s="105" t="s">
        <v>160</v>
      </c>
      <c r="D849" s="12">
        <v>250000</v>
      </c>
      <c r="E849" s="97"/>
    </row>
    <row r="850" spans="1:5" ht="15.6" x14ac:dyDescent="0.3">
      <c r="A850" s="95">
        <v>846</v>
      </c>
      <c r="B850" s="25">
        <v>43774</v>
      </c>
      <c r="C850" s="100" t="s">
        <v>31</v>
      </c>
      <c r="D850" s="7"/>
      <c r="E850" s="97">
        <v>130000</v>
      </c>
    </row>
    <row r="851" spans="1:5" ht="15.6" x14ac:dyDescent="0.3">
      <c r="A851" s="95">
        <v>847</v>
      </c>
      <c r="B851" s="25">
        <v>43774</v>
      </c>
      <c r="C851" s="100" t="s">
        <v>113</v>
      </c>
      <c r="D851" s="7"/>
      <c r="E851" s="97">
        <v>60000</v>
      </c>
    </row>
    <row r="852" spans="1:5" ht="15.6" x14ac:dyDescent="0.3">
      <c r="A852" s="95">
        <v>848</v>
      </c>
      <c r="B852" s="25">
        <v>43774</v>
      </c>
      <c r="C852" s="100" t="s">
        <v>255</v>
      </c>
      <c r="D852" s="7"/>
      <c r="E852" s="97">
        <v>1000</v>
      </c>
    </row>
    <row r="853" spans="1:5" ht="15.6" x14ac:dyDescent="0.3">
      <c r="A853" s="95">
        <v>849</v>
      </c>
      <c r="B853" s="25">
        <v>43774</v>
      </c>
      <c r="C853" s="99" t="s">
        <v>200</v>
      </c>
      <c r="D853" s="7"/>
      <c r="E853" s="97">
        <v>3000</v>
      </c>
    </row>
    <row r="854" spans="1:5" ht="15.6" x14ac:dyDescent="0.3">
      <c r="A854" s="95">
        <v>850</v>
      </c>
      <c r="B854" s="25">
        <v>43774</v>
      </c>
      <c r="C854" s="100" t="s">
        <v>265</v>
      </c>
      <c r="D854" s="7"/>
      <c r="E854" s="97">
        <v>60000</v>
      </c>
    </row>
    <row r="855" spans="1:5" ht="15.6" x14ac:dyDescent="0.3">
      <c r="A855" s="95">
        <v>851</v>
      </c>
      <c r="B855" s="25">
        <v>43774</v>
      </c>
      <c r="C855" s="100" t="s">
        <v>119</v>
      </c>
      <c r="D855" s="7"/>
      <c r="E855" s="97">
        <v>500</v>
      </c>
    </row>
    <row r="856" spans="1:5" ht="15.6" x14ac:dyDescent="0.3">
      <c r="A856" s="95">
        <v>852</v>
      </c>
      <c r="B856" s="25">
        <v>43774</v>
      </c>
      <c r="C856" s="100" t="s">
        <v>261</v>
      </c>
      <c r="D856" s="7"/>
      <c r="E856" s="97">
        <v>2000</v>
      </c>
    </row>
    <row r="857" spans="1:5" ht="15.6" x14ac:dyDescent="0.3">
      <c r="A857" s="95">
        <v>853</v>
      </c>
      <c r="B857" s="25">
        <v>43774</v>
      </c>
      <c r="C857" s="100" t="s">
        <v>42</v>
      </c>
      <c r="D857" s="7"/>
      <c r="E857" s="97">
        <v>50</v>
      </c>
    </row>
    <row r="858" spans="1:5" ht="15.6" x14ac:dyDescent="0.3">
      <c r="A858" s="95">
        <v>854</v>
      </c>
      <c r="B858" s="25">
        <v>43776</v>
      </c>
      <c r="C858" s="100" t="s">
        <v>255</v>
      </c>
      <c r="D858" s="7"/>
      <c r="E858" s="97">
        <v>1000</v>
      </c>
    </row>
    <row r="859" spans="1:5" ht="15.6" x14ac:dyDescent="0.3">
      <c r="A859" s="95">
        <v>855</v>
      </c>
      <c r="B859" s="25">
        <v>43776</v>
      </c>
      <c r="C859" s="100" t="s">
        <v>261</v>
      </c>
      <c r="D859" s="7"/>
      <c r="E859" s="97">
        <v>9500</v>
      </c>
    </row>
    <row r="860" spans="1:5" ht="15.6" x14ac:dyDescent="0.3">
      <c r="A860" s="95">
        <v>856</v>
      </c>
      <c r="B860" s="25">
        <v>43778</v>
      </c>
      <c r="C860" s="100" t="s">
        <v>31</v>
      </c>
      <c r="D860" s="7"/>
      <c r="E860" s="97">
        <v>1000</v>
      </c>
    </row>
    <row r="861" spans="1:5" ht="15.6" x14ac:dyDescent="0.3">
      <c r="A861" s="95">
        <v>857</v>
      </c>
      <c r="B861" s="25">
        <v>43780</v>
      </c>
      <c r="C861" s="105" t="s">
        <v>69</v>
      </c>
      <c r="D861" s="7"/>
      <c r="E861" s="97">
        <v>20000</v>
      </c>
    </row>
    <row r="862" spans="1:5" ht="15.6" x14ac:dyDescent="0.3">
      <c r="A862" s="95">
        <v>858</v>
      </c>
      <c r="B862" s="25">
        <v>43780</v>
      </c>
      <c r="C862" s="99" t="s">
        <v>200</v>
      </c>
      <c r="D862" s="7"/>
      <c r="E862" s="97">
        <v>1000</v>
      </c>
    </row>
    <row r="863" spans="1:5" ht="15.6" x14ac:dyDescent="0.3">
      <c r="A863" s="95">
        <v>859</v>
      </c>
      <c r="B863" s="25">
        <v>43780</v>
      </c>
      <c r="C863" s="105" t="s">
        <v>266</v>
      </c>
      <c r="D863" s="7"/>
      <c r="E863" s="97">
        <v>700</v>
      </c>
    </row>
    <row r="864" spans="1:5" ht="15.6" x14ac:dyDescent="0.3">
      <c r="A864" s="95">
        <v>860</v>
      </c>
      <c r="B864" s="25">
        <v>43781</v>
      </c>
      <c r="C864" s="105" t="s">
        <v>259</v>
      </c>
      <c r="D864" s="7"/>
      <c r="E864" s="97">
        <v>30000</v>
      </c>
    </row>
    <row r="865" spans="1:5" ht="15.6" x14ac:dyDescent="0.3">
      <c r="A865" s="95">
        <v>861</v>
      </c>
      <c r="B865" s="25">
        <v>43781</v>
      </c>
      <c r="C865" s="105" t="s">
        <v>160</v>
      </c>
      <c r="D865" s="7">
        <v>100000</v>
      </c>
      <c r="E865" s="97"/>
    </row>
    <row r="866" spans="1:5" ht="15.6" x14ac:dyDescent="0.3">
      <c r="A866" s="95">
        <v>862</v>
      </c>
      <c r="B866" s="25">
        <v>43782</v>
      </c>
      <c r="C866" s="100" t="s">
        <v>31</v>
      </c>
      <c r="D866" s="7"/>
      <c r="E866" s="97">
        <v>2000</v>
      </c>
    </row>
    <row r="867" spans="1:5" ht="15.6" x14ac:dyDescent="0.3">
      <c r="A867" s="95">
        <v>863</v>
      </c>
      <c r="B867" s="25">
        <v>43782</v>
      </c>
      <c r="C867" s="105" t="s">
        <v>42</v>
      </c>
      <c r="D867" s="7"/>
      <c r="E867" s="97">
        <v>90</v>
      </c>
    </row>
    <row r="868" spans="1:5" ht="15.6" x14ac:dyDescent="0.3">
      <c r="A868" s="95">
        <v>864</v>
      </c>
      <c r="B868" s="25">
        <v>43782</v>
      </c>
      <c r="C868" s="99" t="s">
        <v>200</v>
      </c>
      <c r="D868" s="12"/>
      <c r="E868" s="97">
        <v>1000</v>
      </c>
    </row>
    <row r="869" spans="1:5" ht="15.6" x14ac:dyDescent="0.3">
      <c r="A869" s="95">
        <v>865</v>
      </c>
      <c r="B869" s="25">
        <v>43782</v>
      </c>
      <c r="C869" s="110" t="s">
        <v>1394</v>
      </c>
      <c r="D869" s="12"/>
      <c r="E869" s="97">
        <v>1000</v>
      </c>
    </row>
    <row r="870" spans="1:5" ht="15.6" x14ac:dyDescent="0.3">
      <c r="A870" s="95">
        <v>866</v>
      </c>
      <c r="B870" s="25">
        <v>43782</v>
      </c>
      <c r="C870" s="111" t="s">
        <v>136</v>
      </c>
      <c r="D870" s="12"/>
      <c r="E870" s="97">
        <v>1000</v>
      </c>
    </row>
    <row r="871" spans="1:5" ht="15.6" x14ac:dyDescent="0.3">
      <c r="A871" s="95">
        <v>867</v>
      </c>
      <c r="B871" s="25">
        <v>43783</v>
      </c>
      <c r="C871" s="100" t="s">
        <v>113</v>
      </c>
      <c r="D871" s="12"/>
      <c r="E871" s="97">
        <v>50000</v>
      </c>
    </row>
    <row r="872" spans="1:5" ht="15.6" x14ac:dyDescent="0.3">
      <c r="A872" s="95">
        <v>868</v>
      </c>
      <c r="B872" s="25">
        <v>43783</v>
      </c>
      <c r="C872" s="100" t="s">
        <v>255</v>
      </c>
      <c r="D872" s="12"/>
      <c r="E872" s="97">
        <v>1000</v>
      </c>
    </row>
    <row r="873" spans="1:5" ht="15.6" x14ac:dyDescent="0.3">
      <c r="A873" s="95">
        <v>869</v>
      </c>
      <c r="B873" s="25">
        <v>43783</v>
      </c>
      <c r="C873" s="105" t="s">
        <v>259</v>
      </c>
      <c r="D873" s="12"/>
      <c r="E873" s="97">
        <v>2000</v>
      </c>
    </row>
    <row r="874" spans="1:5" ht="15.6" x14ac:dyDescent="0.3">
      <c r="A874" s="95">
        <v>870</v>
      </c>
      <c r="B874" s="25">
        <v>43783</v>
      </c>
      <c r="C874" s="100" t="s">
        <v>42</v>
      </c>
      <c r="D874" s="12"/>
      <c r="E874" s="97">
        <v>90</v>
      </c>
    </row>
    <row r="875" spans="1:5" ht="15.6" x14ac:dyDescent="0.3">
      <c r="A875" s="95">
        <v>871</v>
      </c>
      <c r="B875" s="25">
        <v>43783</v>
      </c>
      <c r="C875" s="105" t="s">
        <v>160</v>
      </c>
      <c r="D875" s="7">
        <v>50000</v>
      </c>
      <c r="E875" s="97"/>
    </row>
    <row r="876" spans="1:5" ht="15.6" x14ac:dyDescent="0.3">
      <c r="A876" s="95">
        <v>872</v>
      </c>
      <c r="B876" s="25">
        <v>43785</v>
      </c>
      <c r="C876" s="99" t="s">
        <v>200</v>
      </c>
      <c r="D876" s="12"/>
      <c r="E876" s="97">
        <v>1000</v>
      </c>
    </row>
    <row r="877" spans="1:5" ht="15.6" x14ac:dyDescent="0.3">
      <c r="A877" s="95">
        <v>873</v>
      </c>
      <c r="B877" s="25">
        <v>43785</v>
      </c>
      <c r="C877" s="111" t="s">
        <v>255</v>
      </c>
      <c r="D877" s="12"/>
      <c r="E877" s="97">
        <v>1000</v>
      </c>
    </row>
    <row r="878" spans="1:5" ht="15.6" x14ac:dyDescent="0.3">
      <c r="A878" s="95">
        <v>874</v>
      </c>
      <c r="B878" s="25">
        <v>43785</v>
      </c>
      <c r="C878" s="110" t="s">
        <v>1394</v>
      </c>
      <c r="D878" s="12"/>
      <c r="E878" s="97">
        <v>5000</v>
      </c>
    </row>
    <row r="879" spans="1:5" ht="15.6" x14ac:dyDescent="0.3">
      <c r="A879" s="95">
        <v>875</v>
      </c>
      <c r="B879" s="25">
        <v>43785</v>
      </c>
      <c r="C879" s="111" t="s">
        <v>136</v>
      </c>
      <c r="D879" s="12"/>
      <c r="E879" s="97">
        <v>2000</v>
      </c>
    </row>
    <row r="880" spans="1:5" ht="15.6" x14ac:dyDescent="0.3">
      <c r="A880" s="95">
        <v>876</v>
      </c>
      <c r="B880" s="25">
        <v>43785</v>
      </c>
      <c r="C880" s="111" t="s">
        <v>42</v>
      </c>
      <c r="D880" s="12"/>
      <c r="E880" s="97">
        <v>90</v>
      </c>
    </row>
    <row r="881" spans="1:5" ht="15.6" x14ac:dyDescent="0.3">
      <c r="A881" s="95">
        <v>877</v>
      </c>
      <c r="B881" s="25">
        <v>43785</v>
      </c>
      <c r="C881" s="100" t="s">
        <v>119</v>
      </c>
      <c r="D881" s="12"/>
      <c r="E881" s="97">
        <v>350</v>
      </c>
    </row>
    <row r="882" spans="1:5" ht="15.6" x14ac:dyDescent="0.3">
      <c r="A882" s="95">
        <v>878</v>
      </c>
      <c r="B882" s="25">
        <v>43786</v>
      </c>
      <c r="C882" s="100" t="s">
        <v>31</v>
      </c>
      <c r="D882" s="12"/>
      <c r="E882" s="97">
        <v>1000</v>
      </c>
    </row>
    <row r="883" spans="1:5" ht="15.6" x14ac:dyDescent="0.3">
      <c r="A883" s="95">
        <v>879</v>
      </c>
      <c r="B883" s="25">
        <v>43786</v>
      </c>
      <c r="C883" s="112" t="s">
        <v>1395</v>
      </c>
      <c r="D883" s="12"/>
      <c r="E883" s="97">
        <v>5000</v>
      </c>
    </row>
    <row r="884" spans="1:5" ht="15.6" x14ac:dyDescent="0.3">
      <c r="A884" s="95">
        <v>880</v>
      </c>
      <c r="B884" s="25">
        <v>43786</v>
      </c>
      <c r="C884" s="112" t="s">
        <v>42</v>
      </c>
      <c r="D884" s="12"/>
      <c r="E884" s="97">
        <v>120</v>
      </c>
    </row>
    <row r="885" spans="1:5" ht="15.6" x14ac:dyDescent="0.3">
      <c r="A885" s="95">
        <v>881</v>
      </c>
      <c r="B885" s="25">
        <v>43786</v>
      </c>
      <c r="C885" s="112" t="s">
        <v>1396</v>
      </c>
      <c r="D885" s="12"/>
      <c r="E885" s="97">
        <v>1000</v>
      </c>
    </row>
    <row r="886" spans="1:5" ht="15.6" x14ac:dyDescent="0.3">
      <c r="A886" s="95">
        <v>882</v>
      </c>
      <c r="B886" s="25">
        <v>43787</v>
      </c>
      <c r="C886" s="112" t="s">
        <v>255</v>
      </c>
      <c r="D886" s="12"/>
      <c r="E886" s="97">
        <v>2000</v>
      </c>
    </row>
    <row r="887" spans="1:5" ht="15.6" x14ac:dyDescent="0.3">
      <c r="A887" s="95">
        <v>883</v>
      </c>
      <c r="B887" s="25">
        <v>43787</v>
      </c>
      <c r="C887" s="99" t="s">
        <v>1397</v>
      </c>
      <c r="D887" s="12"/>
      <c r="E887" s="97">
        <v>20000</v>
      </c>
    </row>
    <row r="888" spans="1:5" ht="15.6" x14ac:dyDescent="0.3">
      <c r="A888" s="95">
        <v>884</v>
      </c>
      <c r="B888" s="25">
        <v>43787</v>
      </c>
      <c r="C888" s="111" t="s">
        <v>42</v>
      </c>
      <c r="D888" s="12"/>
      <c r="E888" s="97">
        <v>150</v>
      </c>
    </row>
    <row r="889" spans="1:5" ht="15.6" x14ac:dyDescent="0.3">
      <c r="A889" s="95">
        <v>885</v>
      </c>
      <c r="B889" s="25">
        <v>43787</v>
      </c>
      <c r="C889" s="99" t="s">
        <v>50</v>
      </c>
      <c r="D889" s="12"/>
      <c r="E889" s="97">
        <v>3420</v>
      </c>
    </row>
    <row r="890" spans="1:5" ht="15.6" x14ac:dyDescent="0.3">
      <c r="A890" s="95">
        <v>886</v>
      </c>
      <c r="B890" s="25">
        <v>43788</v>
      </c>
      <c r="C890" s="111" t="s">
        <v>1394</v>
      </c>
      <c r="D890" s="12"/>
      <c r="E890" s="97">
        <v>3000</v>
      </c>
    </row>
    <row r="891" spans="1:5" ht="15.6" x14ac:dyDescent="0.3">
      <c r="A891" s="95">
        <v>887</v>
      </c>
      <c r="B891" s="25">
        <v>43788</v>
      </c>
      <c r="C891" s="111" t="s">
        <v>42</v>
      </c>
      <c r="D891" s="12"/>
      <c r="E891" s="97">
        <v>150</v>
      </c>
    </row>
    <row r="892" spans="1:5" ht="15.6" x14ac:dyDescent="0.3">
      <c r="A892" s="95">
        <v>888</v>
      </c>
      <c r="B892" s="25">
        <v>43788</v>
      </c>
      <c r="C892" s="111" t="s">
        <v>259</v>
      </c>
      <c r="D892" s="12"/>
      <c r="E892" s="97">
        <v>15000</v>
      </c>
    </row>
    <row r="893" spans="1:5" ht="15.6" x14ac:dyDescent="0.3">
      <c r="A893" s="95">
        <v>889</v>
      </c>
      <c r="B893" s="25">
        <v>43788</v>
      </c>
      <c r="C893" s="111" t="s">
        <v>50</v>
      </c>
      <c r="D893" s="12"/>
      <c r="E893" s="97">
        <v>2700</v>
      </c>
    </row>
    <row r="894" spans="1:5" ht="15.6" x14ac:dyDescent="0.3">
      <c r="A894" s="95">
        <v>890</v>
      </c>
      <c r="B894" s="25">
        <v>43788</v>
      </c>
      <c r="C894" s="105" t="s">
        <v>160</v>
      </c>
      <c r="D894" s="7">
        <v>60000</v>
      </c>
      <c r="E894" s="97"/>
    </row>
    <row r="895" spans="1:5" ht="15.6" x14ac:dyDescent="0.3">
      <c r="A895" s="95">
        <v>891</v>
      </c>
      <c r="B895" s="25">
        <v>43789</v>
      </c>
      <c r="C895" s="111" t="s">
        <v>42</v>
      </c>
      <c r="D895" s="12"/>
      <c r="E895" s="97">
        <v>100</v>
      </c>
    </row>
    <row r="896" spans="1:5" ht="15.6" x14ac:dyDescent="0.3">
      <c r="A896" s="95">
        <v>892</v>
      </c>
      <c r="B896" s="25">
        <v>43789</v>
      </c>
      <c r="C896" s="99" t="s">
        <v>1398</v>
      </c>
      <c r="D896" s="12"/>
      <c r="E896" s="97">
        <v>5700</v>
      </c>
    </row>
    <row r="897" spans="1:5" ht="15.6" x14ac:dyDescent="0.3">
      <c r="A897" s="95">
        <v>893</v>
      </c>
      <c r="B897" s="25">
        <v>43790</v>
      </c>
      <c r="C897" s="111" t="s">
        <v>1395</v>
      </c>
      <c r="D897" s="12"/>
      <c r="E897" s="97">
        <v>5000</v>
      </c>
    </row>
    <row r="898" spans="1:5" ht="15.6" x14ac:dyDescent="0.3">
      <c r="A898" s="95">
        <v>894</v>
      </c>
      <c r="B898" s="25">
        <v>43790</v>
      </c>
      <c r="C898" s="111" t="s">
        <v>42</v>
      </c>
      <c r="D898" s="12"/>
      <c r="E898" s="97">
        <v>100</v>
      </c>
    </row>
    <row r="899" spans="1:5" ht="15.6" x14ac:dyDescent="0.3">
      <c r="A899" s="95">
        <v>895</v>
      </c>
      <c r="B899" s="25">
        <v>43790</v>
      </c>
      <c r="C899" s="100" t="s">
        <v>31</v>
      </c>
      <c r="D899" s="12"/>
      <c r="E899" s="97">
        <v>50000</v>
      </c>
    </row>
    <row r="900" spans="1:5" ht="15.6" x14ac:dyDescent="0.3">
      <c r="A900" s="95">
        <v>896</v>
      </c>
      <c r="B900" s="25">
        <v>43790</v>
      </c>
      <c r="C900" s="99" t="s">
        <v>200</v>
      </c>
      <c r="D900" s="12"/>
      <c r="E900" s="97">
        <v>2000</v>
      </c>
    </row>
    <row r="901" spans="1:5" ht="15.6" x14ac:dyDescent="0.3">
      <c r="A901" s="95">
        <v>897</v>
      </c>
      <c r="B901" s="25">
        <v>43790</v>
      </c>
      <c r="C901" s="105" t="s">
        <v>160</v>
      </c>
      <c r="D901" s="7">
        <v>30000</v>
      </c>
      <c r="E901" s="97"/>
    </row>
    <row r="902" spans="1:5" ht="15.6" x14ac:dyDescent="0.3">
      <c r="A902" s="95">
        <v>898</v>
      </c>
      <c r="B902" s="25">
        <v>43793</v>
      </c>
      <c r="C902" s="100" t="s">
        <v>31</v>
      </c>
      <c r="D902" s="12"/>
      <c r="E902" s="97">
        <v>50000</v>
      </c>
    </row>
    <row r="903" spans="1:5" ht="15.6" x14ac:dyDescent="0.3">
      <c r="A903" s="95">
        <v>899</v>
      </c>
      <c r="B903" s="25">
        <v>43793</v>
      </c>
      <c r="C903" s="112" t="s">
        <v>259</v>
      </c>
      <c r="D903" s="12"/>
      <c r="E903" s="97">
        <v>10000</v>
      </c>
    </row>
    <row r="904" spans="1:5" ht="15.6" x14ac:dyDescent="0.3">
      <c r="A904" s="95">
        <v>900</v>
      </c>
      <c r="B904" s="25">
        <v>43793</v>
      </c>
      <c r="C904" s="105" t="s">
        <v>160</v>
      </c>
      <c r="D904" s="7">
        <v>60000</v>
      </c>
      <c r="E904" s="97"/>
    </row>
    <row r="905" spans="1:5" ht="15.6" x14ac:dyDescent="0.3">
      <c r="A905" s="95">
        <v>901</v>
      </c>
      <c r="B905" s="25">
        <v>43794</v>
      </c>
      <c r="C905" s="100" t="s">
        <v>248</v>
      </c>
      <c r="D905" s="12"/>
      <c r="E905" s="97">
        <v>1000</v>
      </c>
    </row>
    <row r="906" spans="1:5" ht="15.6" x14ac:dyDescent="0.3">
      <c r="A906" s="95">
        <v>902</v>
      </c>
      <c r="B906" s="25">
        <v>43794</v>
      </c>
      <c r="C906" s="112" t="s">
        <v>113</v>
      </c>
      <c r="D906" s="12"/>
      <c r="E906" s="97">
        <v>5000</v>
      </c>
    </row>
    <row r="907" spans="1:5" ht="15.6" x14ac:dyDescent="0.3">
      <c r="A907" s="95">
        <v>903</v>
      </c>
      <c r="B907" s="25">
        <v>43794</v>
      </c>
      <c r="C907" s="99" t="s">
        <v>200</v>
      </c>
      <c r="D907" s="12"/>
      <c r="E907" s="97">
        <v>1000</v>
      </c>
    </row>
    <row r="908" spans="1:5" ht="15.6" x14ac:dyDescent="0.3">
      <c r="A908" s="95">
        <v>904</v>
      </c>
      <c r="B908" s="25">
        <v>43799</v>
      </c>
      <c r="C908" s="100" t="s">
        <v>31</v>
      </c>
      <c r="D908" s="12"/>
      <c r="E908" s="97">
        <v>105000</v>
      </c>
    </row>
    <row r="909" spans="1:5" ht="15.6" x14ac:dyDescent="0.3">
      <c r="A909" s="95">
        <v>905</v>
      </c>
      <c r="B909" s="25">
        <v>43799</v>
      </c>
      <c r="C909" s="112" t="s">
        <v>259</v>
      </c>
      <c r="D909" s="12"/>
      <c r="E909" s="97">
        <v>40000</v>
      </c>
    </row>
    <row r="910" spans="1:5" ht="15.6" x14ac:dyDescent="0.3">
      <c r="A910" s="95">
        <v>906</v>
      </c>
      <c r="B910" s="25">
        <v>43799</v>
      </c>
      <c r="C910" s="105" t="s">
        <v>160</v>
      </c>
      <c r="D910" s="7">
        <v>60000</v>
      </c>
      <c r="E910" s="97"/>
    </row>
    <row r="911" spans="1:5" ht="15.6" x14ac:dyDescent="0.3">
      <c r="A911" s="95">
        <v>907</v>
      </c>
      <c r="B911" s="25">
        <v>43799</v>
      </c>
      <c r="C911" s="105" t="s">
        <v>160</v>
      </c>
      <c r="D911" s="7">
        <v>120000</v>
      </c>
      <c r="E911" s="97"/>
    </row>
    <row r="913" spans="4:5" x14ac:dyDescent="0.3">
      <c r="D913" s="15">
        <f>SUM(D5:D911)</f>
        <v>11369000</v>
      </c>
      <c r="E913" s="15">
        <f>SUM(E5:E911)</f>
        <v>12025863</v>
      </c>
    </row>
    <row r="914" spans="4:5" x14ac:dyDescent="0.3">
      <c r="E914" s="94">
        <f>E913-D913</f>
        <v>656863</v>
      </c>
    </row>
  </sheetData>
  <customSheetViews>
    <customSheetView guid="{80F19098-3ACC-4F0A-B214-68DF3421AAAA}" showPageBreaks="1" state="hidden" view="pageBreakPreview">
      <selection activeCell="D17" sqref="D17"/>
      <pageMargins left="0.7" right="0.7" top="0.75" bottom="0.75" header="0.3" footer="0.3"/>
      <pageSetup paperSize="9" orientation="portrait" horizontalDpi="300" verticalDpi="300" r:id="rId1"/>
    </customSheetView>
  </customSheetView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Sheet1</vt:lpstr>
      <vt:lpstr>Zada</vt:lpstr>
      <vt:lpstr>Summary (Zada)</vt:lpstr>
      <vt:lpstr>Arif</vt:lpstr>
      <vt:lpstr>Summary (Arif)</vt:lpstr>
      <vt:lpstr>Basic Data</vt:lpstr>
      <vt:lpstr>Arif Acc</vt:lpstr>
      <vt:lpstr>Zada Acc</vt:lpstr>
      <vt:lpstr>Total Receipt -Payment</vt:lpstr>
      <vt:lpstr>Zada R_P</vt:lpstr>
      <vt:lpstr>Arif R-P</vt:lpstr>
      <vt:lpstr>'Arif Acc'!Print_Area</vt:lpstr>
      <vt:lpstr>'Basic Data'!Print_Area</vt:lpstr>
      <vt:lpstr>Sheet1!Print_Area</vt:lpstr>
      <vt:lpstr>'Zada Acc'!Print_Area</vt:lpstr>
      <vt:lpstr>'Zada R_P'!Print_Area</vt:lpstr>
      <vt:lpstr>'Basic Data'!Print_Titles</vt:lpstr>
      <vt:lpstr>Sheet1!Print_Titles</vt:lpstr>
      <vt:lpstr>'Zada R_P'!Print_Titles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</dc:creator>
  <cp:lastModifiedBy>Ibti Lenovo</cp:lastModifiedBy>
  <cp:lastPrinted>2020-04-19T09:54:40Z</cp:lastPrinted>
  <dcterms:created xsi:type="dcterms:W3CDTF">2019-11-25T15:07:24Z</dcterms:created>
  <dcterms:modified xsi:type="dcterms:W3CDTF">2025-11-25T13:41:51Z</dcterms:modified>
</cp:coreProperties>
</file>